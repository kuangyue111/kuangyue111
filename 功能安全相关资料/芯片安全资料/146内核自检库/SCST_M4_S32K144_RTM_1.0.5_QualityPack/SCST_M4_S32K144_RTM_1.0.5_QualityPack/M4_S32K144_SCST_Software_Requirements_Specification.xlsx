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codeName="ThisWorkbook" defaultThemeVersion="124226"/>
  <mc:AlternateContent xmlns:mc="http://schemas.openxmlformats.org/markup-compatibility/2006">
    <mc:Choice Requires="x15">
      <x15ac:absPath xmlns:x15ac="http://schemas.microsoft.com/office/spreadsheetml/2010/11/ac" url="C:\gitwork\safety_project_docs\ARM_M4_S32K144_SCST\Requirements\"/>
    </mc:Choice>
  </mc:AlternateContent>
  <xr:revisionPtr revIDLastSave="0" documentId="13_ncr:1_{4BD380E6-F88B-479F-B3EB-CEE4749DBD73}" xr6:coauthVersionLast="41" xr6:coauthVersionMax="41" xr10:uidLastSave="{00000000-0000-0000-0000-000000000000}"/>
  <bookViews>
    <workbookView xWindow="-120" yWindow="-120" windowWidth="29040" windowHeight="17640" xr2:uid="{00000000-000D-0000-FFFF-FFFF00000000}"/>
  </bookViews>
  <sheets>
    <sheet name="Revision History" sheetId="1" r:id="rId1"/>
    <sheet name="Consist. Checks &amp; Conventions" sheetId="4" r:id="rId2"/>
    <sheet name="Requirements_Analysis" sheetId="2" r:id="rId3"/>
    <sheet name="Traceability Matrix" sheetId="3" r:id="rId4"/>
  </sheets>
  <definedNames>
    <definedName name="_xlnm._FilterDatabase" localSheetId="2" hidden="1">Requirements_Analysis!$A$3:$AX$52</definedName>
    <definedName name="_xlnm._FilterDatabase" localSheetId="3" hidden="1">'Traceability Matrix'!$A$1:$L$36</definedName>
    <definedName name="_xlnm.Print_Area" localSheetId="2">Requirements_Analysis!$D$3:$R$107</definedName>
    <definedName name="_xlnm.Print_Area" localSheetId="0">'Revision History'!$A$1:$F$23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50" i="3" l="1"/>
  <c r="AA5" i="2" l="1"/>
  <c r="L45"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L41" i="3" s="1"/>
  <c r="C42" i="3"/>
  <c r="C43" i="3"/>
  <c r="C44" i="3"/>
  <c r="C45" i="3"/>
  <c r="C46" i="3"/>
  <c r="C47" i="3"/>
  <c r="C48" i="3"/>
  <c r="C49" i="3"/>
  <c r="L49" i="3" s="1"/>
  <c r="C50" i="3"/>
  <c r="L50" i="3" s="1"/>
  <c r="C3" i="3"/>
  <c r="C2" i="3"/>
  <c r="E38" i="3"/>
  <c r="E39" i="3"/>
  <c r="E40" i="3"/>
  <c r="E41" i="3"/>
  <c r="E42" i="3"/>
  <c r="E43" i="3"/>
  <c r="E44" i="3"/>
  <c r="E45" i="3"/>
  <c r="E46" i="3"/>
  <c r="E47" i="3"/>
  <c r="E48" i="3"/>
  <c r="E49" i="3"/>
  <c r="E50" i="3"/>
  <c r="D38" i="3"/>
  <c r="L38" i="3" s="1"/>
  <c r="D39" i="3"/>
  <c r="L39" i="3" s="1"/>
  <c r="D40" i="3"/>
  <c r="L40" i="3" s="1"/>
  <c r="D41" i="3"/>
  <c r="D42" i="3"/>
  <c r="D43" i="3"/>
  <c r="D44" i="3"/>
  <c r="L44" i="3" s="1"/>
  <c r="D45" i="3"/>
  <c r="D46" i="3"/>
  <c r="L46" i="3" s="1"/>
  <c r="D47" i="3"/>
  <c r="D48" i="3"/>
  <c r="L48" i="3" s="1"/>
  <c r="D49" i="3"/>
  <c r="AA52" i="2"/>
  <c r="AA51" i="2"/>
  <c r="AA50" i="2"/>
  <c r="AA49" i="2"/>
  <c r="AA48" i="2"/>
  <c r="L47" i="3" l="1"/>
  <c r="L43" i="3"/>
  <c r="L42" i="3"/>
  <c r="J47" i="3"/>
  <c r="J43" i="3"/>
  <c r="J39" i="3"/>
  <c r="J50" i="3"/>
  <c r="J46" i="3"/>
  <c r="J42" i="3"/>
  <c r="J38" i="3"/>
  <c r="I44" i="3"/>
  <c r="I49" i="3"/>
  <c r="I45" i="3"/>
  <c r="I41" i="3"/>
  <c r="J48" i="3"/>
  <c r="J44" i="3"/>
  <c r="J40" i="3"/>
  <c r="J45" i="3"/>
  <c r="I47" i="3"/>
  <c r="I43" i="3"/>
  <c r="I39" i="3"/>
  <c r="I40" i="3"/>
  <c r="J49" i="3"/>
  <c r="J41" i="3"/>
  <c r="I48" i="3"/>
  <c r="I50" i="3"/>
  <c r="I46" i="3"/>
  <c r="I42" i="3"/>
  <c r="I38" i="3"/>
  <c r="K50" i="3" l="1"/>
  <c r="E37" i="3"/>
  <c r="D37" i="3"/>
  <c r="L37" i="3" s="1"/>
  <c r="I37" i="3" l="1"/>
  <c r="J37" i="3"/>
  <c r="E27" i="3"/>
  <c r="E28" i="3"/>
  <c r="E29" i="3"/>
  <c r="E30" i="3"/>
  <c r="E31" i="3"/>
  <c r="E32" i="3"/>
  <c r="E33" i="3"/>
  <c r="E34" i="3"/>
  <c r="E35" i="3"/>
  <c r="E36" i="3"/>
  <c r="D27" i="3"/>
  <c r="L27" i="3" s="1"/>
  <c r="D28" i="3"/>
  <c r="L28" i="3" s="1"/>
  <c r="D29" i="3"/>
  <c r="L29" i="3" s="1"/>
  <c r="D30" i="3"/>
  <c r="L30" i="3" s="1"/>
  <c r="D31" i="3"/>
  <c r="L31" i="3" s="1"/>
  <c r="D32" i="3"/>
  <c r="L32" i="3" s="1"/>
  <c r="D33" i="3"/>
  <c r="L33" i="3" s="1"/>
  <c r="D34" i="3"/>
  <c r="L34" i="3" s="1"/>
  <c r="D35" i="3"/>
  <c r="L35" i="3" s="1"/>
  <c r="D36" i="3"/>
  <c r="L36" i="3" s="1"/>
  <c r="J36" i="3" l="1"/>
  <c r="I36" i="3"/>
  <c r="J32" i="3"/>
  <c r="I32" i="3"/>
  <c r="J28" i="3"/>
  <c r="I28" i="3"/>
  <c r="J35" i="3"/>
  <c r="I35" i="3"/>
  <c r="J31" i="3"/>
  <c r="I31" i="3"/>
  <c r="J27" i="3"/>
  <c r="I27" i="3"/>
  <c r="I34" i="3"/>
  <c r="J34" i="3"/>
  <c r="I30" i="3"/>
  <c r="J30" i="3"/>
  <c r="I33" i="3"/>
  <c r="J33" i="3"/>
  <c r="I29" i="3"/>
  <c r="J29" i="3"/>
  <c r="AB38" i="2"/>
  <c r="AA38" i="2"/>
  <c r="AB37" i="2"/>
  <c r="AA37" i="2"/>
  <c r="AB36" i="2"/>
  <c r="AA36" i="2"/>
  <c r="AB35" i="2"/>
  <c r="AA35" i="2"/>
  <c r="AB34" i="2"/>
  <c r="AA34" i="2"/>
  <c r="AB33" i="2"/>
  <c r="AA33" i="2"/>
  <c r="AB32" i="2"/>
  <c r="AA32" i="2"/>
  <c r="AB31" i="2"/>
  <c r="AA31" i="2"/>
  <c r="AB30" i="2"/>
  <c r="AA30" i="2"/>
  <c r="AB29" i="2"/>
  <c r="AA29" i="2"/>
  <c r="D22" i="3"/>
  <c r="L22" i="3" s="1"/>
  <c r="E22" i="3"/>
  <c r="D23" i="3"/>
  <c r="L23" i="3" s="1"/>
  <c r="E23" i="3"/>
  <c r="D24" i="3"/>
  <c r="L24" i="3" s="1"/>
  <c r="E24" i="3"/>
  <c r="D25" i="3"/>
  <c r="L25" i="3" s="1"/>
  <c r="E25" i="3"/>
  <c r="D26" i="3"/>
  <c r="L26" i="3" s="1"/>
  <c r="E26" i="3"/>
  <c r="D21" i="3"/>
  <c r="L21" i="3" s="1"/>
  <c r="E21" i="3"/>
  <c r="D20" i="3"/>
  <c r="L20" i="3" s="1"/>
  <c r="E20" i="3"/>
  <c r="E4" i="3"/>
  <c r="E5" i="3"/>
  <c r="E6" i="3"/>
  <c r="E7" i="3"/>
  <c r="E8" i="3"/>
  <c r="E9" i="3"/>
  <c r="E10" i="3"/>
  <c r="E11" i="3"/>
  <c r="E12" i="3"/>
  <c r="E13" i="3"/>
  <c r="E14" i="3"/>
  <c r="E15" i="3"/>
  <c r="E16" i="3"/>
  <c r="E17" i="3"/>
  <c r="E18" i="3"/>
  <c r="E19" i="3"/>
  <c r="D18" i="3"/>
  <c r="L18" i="3" s="1"/>
  <c r="D19" i="3"/>
  <c r="L19" i="3" s="1"/>
  <c r="D16" i="3"/>
  <c r="L16" i="3" s="1"/>
  <c r="D17" i="3"/>
  <c r="L17" i="3" s="1"/>
  <c r="AB5" i="2"/>
  <c r="AA6" i="2"/>
  <c r="AB6" i="2"/>
  <c r="AA7" i="2"/>
  <c r="AB7" i="2"/>
  <c r="AA8" i="2"/>
  <c r="AB8" i="2"/>
  <c r="AA9" i="2"/>
  <c r="AB9" i="2"/>
  <c r="AA10" i="2"/>
  <c r="AB10" i="2"/>
  <c r="AA11" i="2"/>
  <c r="AB11" i="2"/>
  <c r="AA12" i="2"/>
  <c r="AB12" i="2"/>
  <c r="AA13" i="2"/>
  <c r="AB13" i="2"/>
  <c r="AA14" i="2"/>
  <c r="AB14" i="2"/>
  <c r="AA15" i="2"/>
  <c r="AB15" i="2"/>
  <c r="AA16" i="2"/>
  <c r="AB16" i="2"/>
  <c r="AA17" i="2"/>
  <c r="AB17" i="2"/>
  <c r="AA18" i="2"/>
  <c r="AB18" i="2"/>
  <c r="AA19" i="2"/>
  <c r="AB19" i="2"/>
  <c r="AA20" i="2"/>
  <c r="AB20" i="2"/>
  <c r="AA21" i="2"/>
  <c r="AB21" i="2"/>
  <c r="AA22" i="2"/>
  <c r="AB22" i="2"/>
  <c r="AA23" i="2"/>
  <c r="AB23" i="2"/>
  <c r="AA24" i="2"/>
  <c r="AB24" i="2"/>
  <c r="AA25" i="2"/>
  <c r="AB25" i="2"/>
  <c r="AA26" i="2"/>
  <c r="AB26" i="2"/>
  <c r="AA27" i="2"/>
  <c r="AB27" i="2"/>
  <c r="AA28" i="2"/>
  <c r="AB28" i="2"/>
  <c r="AA39" i="2"/>
  <c r="AB39" i="2"/>
  <c r="AA40" i="2"/>
  <c r="AB40" i="2"/>
  <c r="AA41" i="2"/>
  <c r="AB41" i="2"/>
  <c r="AA42" i="2"/>
  <c r="AB42" i="2"/>
  <c r="AA43" i="2"/>
  <c r="AB43" i="2"/>
  <c r="AA44" i="2"/>
  <c r="AB44" i="2"/>
  <c r="AA45" i="2"/>
  <c r="AB45" i="2"/>
  <c r="AA46" i="2"/>
  <c r="AB46" i="2"/>
  <c r="AA47" i="2"/>
  <c r="AB47" i="2"/>
  <c r="AB48" i="2"/>
  <c r="AB49" i="2"/>
  <c r="AB50" i="2"/>
  <c r="AB51" i="2"/>
  <c r="AB52" i="2"/>
  <c r="AA53" i="2"/>
  <c r="AB53" i="2"/>
  <c r="AC53" i="2"/>
  <c r="AA54" i="2"/>
  <c r="AB54" i="2"/>
  <c r="AC54" i="2"/>
  <c r="AA55" i="2"/>
  <c r="AB55" i="2"/>
  <c r="AC55" i="2"/>
  <c r="AA56" i="2"/>
  <c r="AB56" i="2"/>
  <c r="AC56" i="2"/>
  <c r="AA57" i="2"/>
  <c r="AB57" i="2"/>
  <c r="AC57" i="2"/>
  <c r="AA58" i="2"/>
  <c r="AB58" i="2"/>
  <c r="AC58" i="2"/>
  <c r="AA59" i="2"/>
  <c r="AB59" i="2"/>
  <c r="AC59" i="2"/>
  <c r="AA60" i="2"/>
  <c r="AB60" i="2"/>
  <c r="AC60" i="2"/>
  <c r="AA61" i="2"/>
  <c r="AB61" i="2"/>
  <c r="AC61" i="2"/>
  <c r="AA62" i="2"/>
  <c r="AB62" i="2"/>
  <c r="AC62" i="2"/>
  <c r="AA63" i="2"/>
  <c r="AB63" i="2"/>
  <c r="AC63" i="2"/>
  <c r="AA64" i="2"/>
  <c r="AB64" i="2"/>
  <c r="AC64" i="2"/>
  <c r="AA65" i="2"/>
  <c r="AB65" i="2"/>
  <c r="AC65" i="2"/>
  <c r="AA66" i="2"/>
  <c r="AB66" i="2"/>
  <c r="AC66" i="2"/>
  <c r="AA67" i="2"/>
  <c r="AB67" i="2"/>
  <c r="AC67" i="2"/>
  <c r="AA68" i="2"/>
  <c r="AB68" i="2"/>
  <c r="AC68" i="2"/>
  <c r="AA69" i="2"/>
  <c r="AB69" i="2"/>
  <c r="AC69" i="2"/>
  <c r="AA70" i="2"/>
  <c r="AB70" i="2"/>
  <c r="AC70" i="2"/>
  <c r="AA71" i="2"/>
  <c r="AB71" i="2"/>
  <c r="AC71" i="2"/>
  <c r="AA72" i="2"/>
  <c r="AB72" i="2"/>
  <c r="AC72" i="2"/>
  <c r="AA73" i="2"/>
  <c r="AB73" i="2"/>
  <c r="AC73" i="2"/>
  <c r="AA74" i="2"/>
  <c r="AB74" i="2"/>
  <c r="AC74" i="2"/>
  <c r="AA75" i="2"/>
  <c r="AB75" i="2"/>
  <c r="AC75" i="2"/>
  <c r="AA76" i="2"/>
  <c r="AB76" i="2"/>
  <c r="AC76" i="2"/>
  <c r="AA77" i="2"/>
  <c r="AB77" i="2"/>
  <c r="AC77" i="2"/>
  <c r="AA78" i="2"/>
  <c r="AB78" i="2"/>
  <c r="AC78" i="2"/>
  <c r="AA79" i="2"/>
  <c r="AB79" i="2"/>
  <c r="AC79" i="2"/>
  <c r="AA80" i="2"/>
  <c r="AB80" i="2"/>
  <c r="AC80" i="2"/>
  <c r="AA81" i="2"/>
  <c r="AB81" i="2"/>
  <c r="AC81" i="2"/>
  <c r="AA82" i="2"/>
  <c r="AB82" i="2"/>
  <c r="AC82" i="2"/>
  <c r="AA83" i="2"/>
  <c r="AB83" i="2"/>
  <c r="AC83" i="2"/>
  <c r="AA84" i="2"/>
  <c r="AB84" i="2"/>
  <c r="AC84" i="2"/>
  <c r="AA85" i="2"/>
  <c r="AB85" i="2"/>
  <c r="AC85" i="2"/>
  <c r="AA86" i="2"/>
  <c r="AB86" i="2"/>
  <c r="AC86" i="2"/>
  <c r="AA87" i="2"/>
  <c r="AB87" i="2"/>
  <c r="AC87" i="2"/>
  <c r="AA88" i="2"/>
  <c r="AB88" i="2"/>
  <c r="AC88" i="2"/>
  <c r="AA89" i="2"/>
  <c r="AB89" i="2"/>
  <c r="AC89" i="2"/>
  <c r="AA90" i="2"/>
  <c r="AB90" i="2"/>
  <c r="AC90" i="2"/>
  <c r="AA91" i="2"/>
  <c r="AB91" i="2"/>
  <c r="AC91" i="2"/>
  <c r="AA92" i="2"/>
  <c r="AB92" i="2"/>
  <c r="AC92" i="2"/>
  <c r="AA93" i="2"/>
  <c r="AB93" i="2"/>
  <c r="AC93" i="2"/>
  <c r="AA94" i="2"/>
  <c r="AB94" i="2"/>
  <c r="AC94" i="2"/>
  <c r="AA95" i="2"/>
  <c r="AB95" i="2"/>
  <c r="AC95" i="2"/>
  <c r="AA96" i="2"/>
  <c r="AB96" i="2"/>
  <c r="AC96" i="2"/>
  <c r="AA97" i="2"/>
  <c r="AB97" i="2"/>
  <c r="AC97" i="2"/>
  <c r="AA98" i="2"/>
  <c r="AB98" i="2"/>
  <c r="AC98" i="2"/>
  <c r="AA99" i="2"/>
  <c r="AB99" i="2"/>
  <c r="AC99" i="2"/>
  <c r="AA100" i="2"/>
  <c r="AB100" i="2"/>
  <c r="AC100" i="2"/>
  <c r="AA101" i="2"/>
  <c r="AB101" i="2"/>
  <c r="AC101" i="2"/>
  <c r="AA102" i="2"/>
  <c r="AB102" i="2"/>
  <c r="AC102" i="2"/>
  <c r="AA103" i="2"/>
  <c r="AB103" i="2"/>
  <c r="AC103" i="2"/>
  <c r="AA104" i="2"/>
  <c r="AB104" i="2"/>
  <c r="AC104" i="2"/>
  <c r="AA105" i="2"/>
  <c r="AB105" i="2"/>
  <c r="AC105" i="2"/>
  <c r="AA106" i="2"/>
  <c r="AB106" i="2"/>
  <c r="AC106" i="2"/>
  <c r="AA107" i="2"/>
  <c r="AB107" i="2"/>
  <c r="AC107" i="2"/>
  <c r="AA108" i="2"/>
  <c r="AB108" i="2"/>
  <c r="AC108" i="2"/>
  <c r="AA109" i="2"/>
  <c r="AB109" i="2"/>
  <c r="AC109" i="2"/>
  <c r="AA110" i="2"/>
  <c r="AB110" i="2"/>
  <c r="AC110" i="2"/>
  <c r="AA111" i="2"/>
  <c r="AB111" i="2"/>
  <c r="AC111" i="2"/>
  <c r="AA112" i="2"/>
  <c r="AB112" i="2"/>
  <c r="AC112" i="2"/>
  <c r="AA113" i="2"/>
  <c r="AB113" i="2"/>
  <c r="AC113" i="2"/>
  <c r="AA114" i="2"/>
  <c r="AB114" i="2"/>
  <c r="AC114" i="2"/>
  <c r="AA115" i="2"/>
  <c r="AB115" i="2"/>
  <c r="AC115" i="2"/>
  <c r="AA116" i="2"/>
  <c r="AB116" i="2"/>
  <c r="AC116" i="2"/>
  <c r="AA117" i="2"/>
  <c r="AB117" i="2"/>
  <c r="AC117" i="2"/>
  <c r="AA118" i="2"/>
  <c r="AB118" i="2"/>
  <c r="AC118" i="2"/>
  <c r="AA119" i="2"/>
  <c r="AB119" i="2"/>
  <c r="AC119" i="2"/>
  <c r="AA120" i="2"/>
  <c r="AB120" i="2"/>
  <c r="AC120" i="2"/>
  <c r="AA121" i="2"/>
  <c r="AB121" i="2"/>
  <c r="AC121" i="2"/>
  <c r="AA122" i="2"/>
  <c r="AB122" i="2"/>
  <c r="AC122" i="2"/>
  <c r="AA123" i="2"/>
  <c r="AB123" i="2"/>
  <c r="AC123" i="2"/>
  <c r="AA124" i="2"/>
  <c r="AB124" i="2"/>
  <c r="AC124" i="2"/>
  <c r="AA125" i="2"/>
  <c r="AB125" i="2"/>
  <c r="AC125" i="2"/>
  <c r="AA126" i="2"/>
  <c r="AB126" i="2"/>
  <c r="AC126" i="2"/>
  <c r="AA127" i="2"/>
  <c r="AB127" i="2"/>
  <c r="AC127" i="2"/>
  <c r="AA128" i="2"/>
  <c r="AB128" i="2"/>
  <c r="AC128" i="2"/>
  <c r="AA129" i="2"/>
  <c r="AB129" i="2"/>
  <c r="AC129" i="2"/>
  <c r="AA130" i="2"/>
  <c r="AB130" i="2"/>
  <c r="AC130" i="2"/>
  <c r="AA131" i="2"/>
  <c r="AB131" i="2"/>
  <c r="AC131" i="2"/>
  <c r="AA132" i="2"/>
  <c r="AB132" i="2"/>
  <c r="AC132" i="2"/>
  <c r="AA133" i="2"/>
  <c r="AB133" i="2"/>
  <c r="AC133" i="2"/>
  <c r="AA134" i="2"/>
  <c r="AB134" i="2"/>
  <c r="AC134" i="2"/>
  <c r="AA135" i="2"/>
  <c r="AB135" i="2"/>
  <c r="AC135" i="2"/>
  <c r="AA136" i="2"/>
  <c r="AB136" i="2"/>
  <c r="AC136" i="2"/>
  <c r="AA137" i="2"/>
  <c r="AB137" i="2"/>
  <c r="AC137" i="2"/>
  <c r="AA138" i="2"/>
  <c r="AB138" i="2"/>
  <c r="AC138" i="2"/>
  <c r="D15" i="3"/>
  <c r="L15" i="3" s="1"/>
  <c r="K43" i="3"/>
  <c r="K46" i="3"/>
  <c r="D14" i="3"/>
  <c r="L14" i="3" s="1"/>
  <c r="D10" i="3"/>
  <c r="L10" i="3" s="1"/>
  <c r="D11" i="3"/>
  <c r="L11" i="3" s="1"/>
  <c r="D12" i="3"/>
  <c r="L12" i="3" s="1"/>
  <c r="D13" i="3"/>
  <c r="L13" i="3" s="1"/>
  <c r="D7" i="3"/>
  <c r="L7" i="3" s="1"/>
  <c r="D8" i="3"/>
  <c r="L8" i="3" s="1"/>
  <c r="D9" i="3"/>
  <c r="L9" i="3" s="1"/>
  <c r="D6" i="3"/>
  <c r="L6" i="3" s="1"/>
  <c r="D4" i="3"/>
  <c r="L4" i="3" s="1"/>
  <c r="AA4" i="2"/>
  <c r="D5" i="3"/>
  <c r="L5" i="3" s="1"/>
  <c r="AB4" i="2"/>
  <c r="E3" i="3"/>
  <c r="E2" i="3"/>
  <c r="D3" i="3"/>
  <c r="L3" i="3" s="1"/>
  <c r="D2" i="3"/>
  <c r="L2" i="3" s="1"/>
  <c r="I25" i="3" l="1"/>
  <c r="J25" i="3"/>
  <c r="I9" i="3"/>
  <c r="J9" i="3"/>
  <c r="J8" i="3"/>
  <c r="I8" i="3"/>
  <c r="I17" i="3"/>
  <c r="J17" i="3"/>
  <c r="K17" i="3" s="1"/>
  <c r="I21" i="3"/>
  <c r="J21" i="3"/>
  <c r="J23" i="3"/>
  <c r="I23" i="3"/>
  <c r="J3" i="3"/>
  <c r="I3" i="3"/>
  <c r="J4" i="3"/>
  <c r="I4" i="3"/>
  <c r="K4" i="3" s="1"/>
  <c r="J7" i="3"/>
  <c r="I7" i="3"/>
  <c r="I10" i="3"/>
  <c r="J10" i="3"/>
  <c r="K10" i="3" s="1"/>
  <c r="J16" i="3"/>
  <c r="I16" i="3"/>
  <c r="J20" i="3"/>
  <c r="I20" i="3"/>
  <c r="J24" i="3"/>
  <c r="I24" i="3"/>
  <c r="I13" i="3"/>
  <c r="J13" i="3"/>
  <c r="I14" i="3"/>
  <c r="J14" i="3"/>
  <c r="K14" i="3" s="1"/>
  <c r="J15" i="3"/>
  <c r="I15" i="3"/>
  <c r="J19" i="3"/>
  <c r="I19" i="3"/>
  <c r="J12" i="3"/>
  <c r="I12" i="3"/>
  <c r="I18" i="3"/>
  <c r="J18" i="3"/>
  <c r="I26" i="3"/>
  <c r="J26" i="3"/>
  <c r="I22" i="3"/>
  <c r="J22" i="3"/>
  <c r="I6" i="3"/>
  <c r="J6" i="3"/>
  <c r="I5" i="3"/>
  <c r="J5" i="3"/>
  <c r="K5" i="3" s="1"/>
  <c r="J2" i="3"/>
  <c r="I2" i="3"/>
  <c r="J11" i="3"/>
  <c r="I11" i="3"/>
  <c r="AC42" i="2"/>
  <c r="AC41" i="2"/>
  <c r="AC44" i="2"/>
  <c r="AC40" i="2"/>
  <c r="AC46" i="2"/>
  <c r="AC51" i="2"/>
  <c r="AC49" i="2"/>
  <c r="AC47" i="2"/>
  <c r="AC43" i="2"/>
  <c r="AC52" i="2"/>
  <c r="AC50" i="2"/>
  <c r="AC48" i="2"/>
  <c r="AC45" i="2"/>
  <c r="K44" i="3"/>
  <c r="K49" i="3"/>
  <c r="K47" i="3"/>
  <c r="K39" i="3"/>
  <c r="K48" i="3"/>
  <c r="K45" i="3"/>
  <c r="K42" i="3"/>
  <c r="AC39" i="2"/>
  <c r="K38" i="3"/>
  <c r="AC5" i="2"/>
  <c r="K41" i="3"/>
  <c r="K37" i="3"/>
  <c r="K40" i="3"/>
  <c r="AC23" i="2"/>
  <c r="AC6" i="2"/>
  <c r="AC8" i="2"/>
  <c r="AC21" i="2"/>
  <c r="AC29" i="2"/>
  <c r="AC7" i="2"/>
  <c r="AC17" i="2"/>
  <c r="AC18" i="2"/>
  <c r="AC19" i="2"/>
  <c r="AC20" i="2"/>
  <c r="AC22" i="2"/>
  <c r="AC24" i="2"/>
  <c r="AC4" i="2"/>
  <c r="AC13" i="2"/>
  <c r="AC14" i="2"/>
  <c r="AC15" i="2"/>
  <c r="AC16" i="2"/>
  <c r="AC35" i="2"/>
  <c r="K22" i="3"/>
  <c r="AC9" i="2"/>
  <c r="AC10" i="2"/>
  <c r="AC11" i="2"/>
  <c r="AC12" i="2"/>
  <c r="AC27" i="2"/>
  <c r="K34" i="3"/>
  <c r="K28" i="3"/>
  <c r="K30" i="3"/>
  <c r="K35" i="3"/>
  <c r="K31" i="3"/>
  <c r="K36" i="3"/>
  <c r="K32" i="3"/>
  <c r="K27" i="3"/>
  <c r="K33" i="3"/>
  <c r="K29" i="3"/>
  <c r="AC31" i="2"/>
  <c r="AC37" i="2"/>
  <c r="AC28" i="2"/>
  <c r="AC30" i="2"/>
  <c r="AC32" i="2"/>
  <c r="AC33" i="2"/>
  <c r="AC38" i="2"/>
  <c r="AC26" i="2"/>
  <c r="AC25" i="2"/>
  <c r="AC34" i="2"/>
  <c r="AC36" i="2"/>
  <c r="K8" i="3" l="1"/>
  <c r="K18" i="3"/>
  <c r="K12" i="3"/>
  <c r="K11" i="3"/>
  <c r="K19" i="3"/>
  <c r="K6" i="3"/>
  <c r="K9" i="3"/>
  <c r="K16" i="3"/>
  <c r="K13" i="3"/>
  <c r="K3" i="3"/>
  <c r="K24" i="3"/>
  <c r="K15" i="3"/>
  <c r="K20" i="3"/>
  <c r="K21" i="3"/>
  <c r="K7" i="3"/>
  <c r="K26" i="3"/>
  <c r="K25" i="3"/>
  <c r="K23" i="3"/>
  <c r="K2" i="3"/>
</calcChain>
</file>

<file path=xl/sharedStrings.xml><?xml version="1.0" encoding="utf-8"?>
<sst xmlns="http://schemas.openxmlformats.org/spreadsheetml/2006/main" count="976" uniqueCount="251">
  <si>
    <t>Date</t>
  </si>
  <si>
    <t>Description</t>
  </si>
  <si>
    <t>Technically Feasible</t>
  </si>
  <si>
    <t>Target Release</t>
  </si>
  <si>
    <t>Testable</t>
  </si>
  <si>
    <t>Verification Criteria</t>
  </si>
  <si>
    <t xml:space="preserve"> Requirement ID</t>
  </si>
  <si>
    <t>Priority</t>
  </si>
  <si>
    <t>No</t>
  </si>
  <si>
    <t xml:space="preserve"> Description</t>
  </si>
  <si>
    <t xml:space="preserve">Remarks </t>
  </si>
  <si>
    <t>Functional</t>
  </si>
  <si>
    <t>High</t>
  </si>
  <si>
    <t>Author's name</t>
  </si>
  <si>
    <t>1.0-D01</t>
  </si>
  <si>
    <t>Document revision</t>
  </si>
  <si>
    <t>History of change</t>
  </si>
  <si>
    <t>Yes</t>
  </si>
  <si>
    <t>Review</t>
  </si>
  <si>
    <t>Test case</t>
  </si>
  <si>
    <t>ASIL</t>
  </si>
  <si>
    <t>Contains internal contradiction</t>
  </si>
  <si>
    <t>Status</t>
  </si>
  <si>
    <t>Changed</t>
  </si>
  <si>
    <t>New</t>
  </si>
  <si>
    <t>A</t>
  </si>
  <si>
    <t>B</t>
  </si>
  <si>
    <t>C</t>
  </si>
  <si>
    <t>D</t>
  </si>
  <si>
    <t>Low</t>
  </si>
  <si>
    <t>Lists' values definition</t>
  </si>
  <si>
    <t>Duplicates requirement(s)</t>
  </si>
  <si>
    <t>Contradicts
to other requirement(s)</t>
  </si>
  <si>
    <t>Safety-Related</t>
  </si>
  <si>
    <t>Medium</t>
  </si>
  <si>
    <t>Software Requirements Specification and Analysis</t>
  </si>
  <si>
    <t>Requirement Type</t>
  </si>
  <si>
    <t>Safety Concept Reference</t>
  </si>
  <si>
    <t>SOW Reference</t>
  </si>
  <si>
    <t>Safety Analysis Reference</t>
  </si>
  <si>
    <t>Safety Concept Requirement ID</t>
  </si>
  <si>
    <t>SOW
Requirement ID</t>
  </si>
  <si>
    <t>Safety Analysis
Requirement ID</t>
  </si>
  <si>
    <t>Reviewed</t>
  </si>
  <si>
    <t>Interface</t>
  </si>
  <si>
    <t>Performance</t>
  </si>
  <si>
    <t>Documentation</t>
  </si>
  <si>
    <t>Software Code</t>
  </si>
  <si>
    <t>Design Element</t>
  </si>
  <si>
    <t>Requirement ID</t>
  </si>
  <si>
    <t>Test ID</t>
  </si>
  <si>
    <t>Review result</t>
  </si>
  <si>
    <t>The following conditional formatting is applied to the document:</t>
  </si>
  <si>
    <t xml:space="preserve">On the "Requirements_Analysis " sheet:  </t>
  </si>
  <si>
    <t>Cells in the "Requirement ID" column can be automatically formatted as described below:</t>
  </si>
  <si>
    <t>&lt;&lt; Req. ID &gt;&gt;</t>
  </si>
  <si>
    <t xml:space="preserve"> - there is an inconsistency with the safety status of this requirement. It could be one of the following:</t>
  </si>
  <si>
    <t>1) If both "Safety Concept Requirement ID" and "Safety Analysis
Requirement ID" fields are empty, then "Safety Related" is set to "Yes" and/or "ASIL" field is not empty.</t>
  </si>
  <si>
    <t>In this case, it can not be justified why a requirement is specified as safety-related.</t>
  </si>
  <si>
    <t>2) If at least one of the "Safety Concept Requirement ID" and "Safety Analysis
Requirement ID" fields is not empty, then "Safety Related" is set to "No" and/or "ASIL" is empty.</t>
  </si>
  <si>
    <t>In this case, a safety status is not assigned to a lower-level requirement which is mapped to the higher-level safety requirement.</t>
  </si>
  <si>
    <t xml:space="preserve"> - this requirement ID cannot be found in column B on the "Traceability Matrix" sheet.</t>
  </si>
  <si>
    <t xml:space="preserve"> - no consistency check violation is detected for this requirement ID.</t>
  </si>
  <si>
    <t xml:space="preserve">On the "Traceability Matrix" sheet:  </t>
  </si>
  <si>
    <t xml:space="preserve"> - if verification method "Review" is defined for this non-obsolete requirement, then the corresponding "Review result" field is empty for this requirement;
 - if verification method "Test case" is defined for this non-obsolete requirements, then the corresponding "Test ID" field is empty.</t>
  </si>
  <si>
    <t xml:space="preserve"> - one of the fields in "Software Code" or "Design Element" or both are empty for the given non-obsolete requirement ID.</t>
  </si>
  <si>
    <t xml:space="preserve"> - this requirement ID is already used in some of the ID in the rows above.</t>
  </si>
  <si>
    <t>The SCST library shall return an aggregated by means of XOR operation 32-bit result of all requisted for execution tests if none of the tests failed.</t>
  </si>
  <si>
    <t>Every test shall return a unique 32-bit result which can be used for differentiating correct and erroneous test execution.</t>
  </si>
  <si>
    <t>The SCST library shall not store correct result of the tests in direct form. The reference test results, stored in internal array, shall be derived from a test execution result produced ina fault-free case by applying a non-trivial transformation function.</t>
  </si>
  <si>
    <t>The code of the SCST library shall store the content of non-volatile, dedicated, configuration and control registers before test execution and restore their content after completion of the test before returning control to application. This is applicable only to those regsiters which are changed by the test code.</t>
  </si>
  <si>
    <t>The SCST library when executed shall assure that application ISRs gets execution control for all interrupts and exceptions (except for those which are intentionally triggered by the SCST library for the testing purpose) once they occur. Possible latency has to be documented.</t>
  </si>
  <si>
    <t>When execution control is incorrectly passed to the SCST library, it shall trigger an exception by means of executing illegal opcode.</t>
  </si>
  <si>
    <t>Core tests should perform explicit checking of correctness of every intermediate result as soon as resonably possible for avoiding or minimizing possible fault masking.</t>
  </si>
  <si>
    <t>Every core test should progressively update a value in accordance to the process of its execution. This value is supposed to be used in final test result calculation.</t>
  </si>
  <si>
    <t>Every core test shall limit its testing scope to well defined core logic or function.</t>
  </si>
  <si>
    <t>All symbol names should start with "m4_scst_" prefix for avoiding compilation conflicts when compiling and linking with other products.</t>
  </si>
  <si>
    <t>Core test shall achieve a diagnostic coverage of at least 90% for the relevant core modules.</t>
  </si>
  <si>
    <t>The SCST library shall return control after detection of interruption of the executed test, and signal it to the application by returning a pre-defined result.</t>
  </si>
  <si>
    <t>Every test shall store its execution result to a global variable. This global variable is supposed to be used as a redundant path of test result propagation to application (comparing to a standard way of result returning in accordance to C / Assembly calling conventions), possibly for enabling test execution result comparison from a remote core.</t>
  </si>
  <si>
    <t>The SCST library shall return control and execution result of the first failed test out of the requested for execution set of tests.</t>
  </si>
  <si>
    <t>The SCST library shall check consistency of input parameters, through which a range of core tests to execute is specified.</t>
  </si>
  <si>
    <t>REQ_M4_SCST_01</t>
  </si>
  <si>
    <t>REQ_M4_SCST_02</t>
  </si>
  <si>
    <t>REQ_M4_SCST_03</t>
  </si>
  <si>
    <t>REQ_M4_SCST_04</t>
  </si>
  <si>
    <t>REQ_M4_SCST_05</t>
  </si>
  <si>
    <t>REQ_M4_SCST_06</t>
  </si>
  <si>
    <t>REQ_M4_SCST_07</t>
  </si>
  <si>
    <t>REQ_M4_SCST_08</t>
  </si>
  <si>
    <t>REQ_M4_SCST_09</t>
  </si>
  <si>
    <t>REQ_M4_SCST_10</t>
  </si>
  <si>
    <t>REQ_M4_SCST_11</t>
  </si>
  <si>
    <t>REQ_M4_SCST_12</t>
  </si>
  <si>
    <t>REQ_M4_SCST_13</t>
  </si>
  <si>
    <t>REQ_M4_SCST_14</t>
  </si>
  <si>
    <t>REQ_M4_SCST_15</t>
  </si>
  <si>
    <t>REQ_M4_SCST_16</t>
  </si>
  <si>
    <t>REQ_M4_SCST_17</t>
  </si>
  <si>
    <t>REQ_M4_SCST_18</t>
  </si>
  <si>
    <t>Created initial list of software requirements. Document is ready for review with the development team.</t>
  </si>
  <si>
    <t>According to the customer requirement provided in the e-mail from: Wed 3/18/2015 11:54 AM.</t>
  </si>
  <si>
    <t>REQ_M4_SCST_19</t>
  </si>
  <si>
    <t>REQ_M4_SCST_20</t>
  </si>
  <si>
    <t>According to the customer requirement provided in the e-mail from: Fri 3/20/2015 1:51 PM.</t>
  </si>
  <si>
    <t>The maximum runtime for all tests in the SCST library shall not exceed 400ms (Instruction and data caches enabled but invalidated before execution of every individual test).</t>
  </si>
  <si>
    <t>SCST library shall provide mechanism for error injection into execution of core tests.</t>
  </si>
  <si>
    <t xml:space="preserve">SCST library shall provide the function prototype "uint32_t m4_scst_execute_core_tests(uint32_t start, uint32_t end)" for invocation atomic tests. </t>
  </si>
  <si>
    <t>REQ_M4_SCST_21</t>
  </si>
  <si>
    <t>Descriptors of core tests will be groupped in the internal array in a way to minimise fragmentation of the test groups requiring invocation in the "kernel" mode (idealy only one group of such tests should exist to be references with a single pair of "start" and "end" parameter values).</t>
  </si>
  <si>
    <t>REQ_M4_SCST_22</t>
  </si>
  <si>
    <t>Descriptors of core tests will be groupped in the internal array in a way to minimise fragmentation of the test groups requiring invocation in the "user" mode (idealy only one group of such tests should exist to be references with a single pair of "start" and "end" parameter values).</t>
  </si>
  <si>
    <t>REQ_M4_SCST_23</t>
  </si>
  <si>
    <t>REQ_M4_SCST_24</t>
  </si>
  <si>
    <t>Global (static) RAM consumption by load and store test should not exceed 64 Bytes. The tests must be executed in Kernel mode, to allow granularity in the range of bytes.</t>
  </si>
  <si>
    <t>REQ_M4_SCST_25</t>
  </si>
  <si>
    <t>In case of core test execution interruption, a corresponding value should be stored to the dedicated global variable m4_scst_test_was_interrupted. This global variable is supposed to be used as a redundant path of test result propagation to application (comparing to a standard way of result returning in accordance to C / Assembly calling conventions), possibly for enabling test execution result comparison from a remote core.</t>
  </si>
  <si>
    <t>The SCST library shall contain a global variable m4_scst_last_executed_test_number holding an index of the last executed test. This variable shall be accessible to application.</t>
  </si>
  <si>
    <t>According to the customer requirement provided in the Excel sheet SCST_FSC_ChgF1.xlsm rev. 1.3 17th April 2015, and confirmed by Freescale.</t>
  </si>
  <si>
    <t>SC_SCST_Req01</t>
  </si>
  <si>
    <t>SC_SCST_Req02</t>
  </si>
  <si>
    <t>M4_SCST_SA_Req01</t>
  </si>
  <si>
    <t>M4_SCST_SA_Req03</t>
  </si>
  <si>
    <t>M4_SCST_SA_Req05</t>
  </si>
  <si>
    <t>M4_SCST_SA_Req06</t>
  </si>
  <si>
    <t>M4_SCST_SA_Req07</t>
  </si>
  <si>
    <t>M4_SCST_SA_Req08</t>
  </si>
  <si>
    <t>M4_SCST_SA_Req09</t>
  </si>
  <si>
    <t>David Svrcek</t>
  </si>
  <si>
    <t>REQ_M4_SCST_26</t>
  </si>
  <si>
    <t>REQ_M4_SCST_27</t>
  </si>
  <si>
    <t>REQ_M4_SCST_28</t>
  </si>
  <si>
    <t>REQ_M4_SCST_29</t>
  </si>
  <si>
    <t>REQ_M4_SCST_30</t>
  </si>
  <si>
    <t>REQ_M4_SCST_31</t>
  </si>
  <si>
    <t>REQ_M4_SCST_32</t>
  </si>
  <si>
    <t>REQ_M4_SCST_33</t>
  </si>
  <si>
    <t>MSG SW quality processes have to be applied to the core self test products development.</t>
  </si>
  <si>
    <t>Development of the SCST library shall be compliant to ASIL B level requirements.</t>
  </si>
  <si>
    <t>Freescale/NXP copyright text (given in Appendix A) has to be included in C and assembly source code.</t>
  </si>
  <si>
    <t>Installation package should be created in a form of self-extracting archive file, generated by the “Freescale Archive Packer” utility.</t>
  </si>
  <si>
    <t>Non−functional</t>
  </si>
  <si>
    <t>Cortex-M4 Structural Core Self Test Library for S32K144</t>
  </si>
  <si>
    <t>03 February, 2016</t>
  </si>
  <si>
    <t>Confidential and Proprietary</t>
  </si>
  <si>
    <t>CortexM4 SCST for S32K144 Statement of Work, Rev.1.0</t>
  </si>
  <si>
    <t>SCST package has to be implemented for ARM Cortex-M4 core integrated within S32K144 device.</t>
  </si>
  <si>
    <t>1.0-D02</t>
  </si>
  <si>
    <t>17 February, 2016</t>
  </si>
  <si>
    <t>REQ_M4_SCST_34</t>
  </si>
  <si>
    <t>REQ_M4_SCST_35</t>
  </si>
  <si>
    <t>Added two requirements REQ_M4_SCST_34 and REQ_M4_SCST_35 with IAR and GCC compiler versions</t>
  </si>
  <si>
    <t>1.0-D03</t>
  </si>
  <si>
    <t>Roman Chovanec</t>
  </si>
  <si>
    <t>Latency, with which interrupt request reaches user application / OS ISR, shall not exceed 50 microseconds. Maximum chip frequency. Caches enabled but invalidated before execution of every core test.</t>
  </si>
  <si>
    <t>Execution time for one atomic coretest function shall not exceed 300 Microseconds at maximum chip frequency. Caches enabled but invalidated before execution of every core test.</t>
  </si>
  <si>
    <t xml:space="preserve">Updated requirements REQ_M4_SCST_19, REQ_M4_SCST_24 </t>
  </si>
  <si>
    <t>15 March, 2016</t>
  </si>
  <si>
    <t>Prepared Traceability for RTM 1.0.0 release</t>
  </si>
  <si>
    <t>All elements</t>
  </si>
  <si>
    <t>"SCST execution" diagram</t>
  </si>
  <si>
    <t>n/a</t>
  </si>
  <si>
    <t>"SCST_unexpected_interrupt_handling" diagram</t>
  </si>
  <si>
    <t>"SCST_registers_storing_restoring" diagram</t>
  </si>
  <si>
    <t>All code</t>
  </si>
  <si>
    <t>m4_scst_test_shell.c</t>
  </si>
  <si>
    <t>m4_scst_lib.s</t>
  </si>
  <si>
    <t>m4_scst_test_shell.c
m4_scst_data.c</t>
  </si>
  <si>
    <t>m4_scst_test_shell.c
m4_scst_test_shell.h</t>
  </si>
  <si>
    <t>m4_scst_exception_wrappers.s</t>
  </si>
  <si>
    <t>m4_scst_test_shell.c
m4_scst_exception_wrappers.s</t>
  </si>
  <si>
    <t>m4_scst_test_shell.c
m4_scst_lib.s</t>
  </si>
  <si>
    <t>m4_scst_loadstore_test1
m4_scst_loadstore_test2
m4_scst_loadstore_test3
m4_scst_loadstore_test4
m4_scst_loadstore_test5
m4_scst_loadstore_test6</t>
  </si>
  <si>
    <t>M4_SCST_UT_T10</t>
  </si>
  <si>
    <t>M4_SCST_UT_T13</t>
  </si>
  <si>
    <t>M4_SCST_UT_T01</t>
  </si>
  <si>
    <t>M4_SCST_UT_T12</t>
  </si>
  <si>
    <t>M4_SCST_EXECUTION_TIME_REPORT_FLASH</t>
  </si>
  <si>
    <t>M4_SCST_UT_T05</t>
  </si>
  <si>
    <t>M4_SCST_ATOMIC_LATENCY_TIME_REPORT_FLASH</t>
  </si>
  <si>
    <t>M4_SCST_UT_T06</t>
  </si>
  <si>
    <t>M4_SCST_UT_T14</t>
  </si>
  <si>
    <t>12 October, 2016</t>
  </si>
  <si>
    <t>M4_SCST_UT_T02
M4_SCST_UT_T15</t>
  </si>
  <si>
    <t>Prepared Traceability for RTM 1.0.1 release, Updated requirement REQ_M4_SCST_30</t>
  </si>
  <si>
    <t>23 January, 2017</t>
  </si>
  <si>
    <t>Prepared Traceability for RTM 1.0.2 release</t>
  </si>
  <si>
    <t>M4_SCST_UT_T09
M4_SCST_UT_T11 M4_SCST_UT_T12
M4_SCST_UT_T13</t>
  </si>
  <si>
    <t>M4_SCST_UT_T07
M4_SCST_UT_T16</t>
  </si>
  <si>
    <t>M4_SCST_UT_T07
M4_SCST_UT_T09
M4_SCST_UT_T16</t>
  </si>
  <si>
    <t>M4_SCST_UT_T16
M4_SCST_UT_T17</t>
  </si>
  <si>
    <t>19 September, 2017</t>
  </si>
  <si>
    <t>Prepared Traceability for RTM 1.0.3 release</t>
  </si>
  <si>
    <t>BLN_SCST_M4_S32K144_RTM_1.0.3</t>
  </si>
  <si>
    <t>Text of the license agreement v1.6 has to be incorporated into the self-extracting archive file. Installation process should complete successfully only when a user reads and accepts terms and conditions of the provided license agreement.</t>
  </si>
  <si>
    <t>REQ_M4_SCST_36</t>
  </si>
  <si>
    <t>The SCST Library shall be able to exetute core tests either for SP_main (MSP) active cofiguration or SP_process (PSP) active configuration.</t>
  </si>
  <si>
    <t>SCST package should be delivered in a form of source/assembly code, or object code if requested .</t>
  </si>
  <si>
    <t>M4_SCST_UT_T01
M4_SCST_UT_T02
M4_SCST_UT_T15
M4_SCST_UT_T16
M4_SCST_UT_T17</t>
  </si>
  <si>
    <t>"SCST_Invocation" diagram</t>
  </si>
  <si>
    <t>BLN_SCST_M4_S32K144_RTM_1.0.4</t>
  </si>
  <si>
    <t>The SCST package has to be compilable with GCC compiler for ARM v. 6.3.1 20170509.</t>
  </si>
  <si>
    <t>The SCST package has to be compilable with IAR compiler v. 8.11.2.</t>
  </si>
  <si>
    <t>27 July, 2018</t>
  </si>
  <si>
    <t>Updated compilers vesions REQ_M4_SCST_31, REQ_M4_SCST_34, REQ_M4_SCST_35 for RTM 1.0.4 release</t>
  </si>
  <si>
    <t>20 February, 2020</t>
  </si>
  <si>
    <t>Copyright 2016-2018,2020 NXP</t>
  </si>
  <si>
    <t>The SCST package has to be compilable with GreenHills compiler v. 2017.1.4 and v.2017.5.4</t>
  </si>
  <si>
    <t>M4_SCST_SA_Req04</t>
  </si>
  <si>
    <t>M4_SCST_SA_Req10</t>
  </si>
  <si>
    <t>M4_SCST_SA_Req11</t>
  </si>
  <si>
    <t>M4_SCST_SA_Req12</t>
  </si>
  <si>
    <t>M4_SCST_SA_Req13</t>
  </si>
  <si>
    <t>M4_SCST_SA_Req14</t>
  </si>
  <si>
    <t>M4_SCST_SA_Req15</t>
  </si>
  <si>
    <t>M4_SCST_SA_Req16</t>
  </si>
  <si>
    <t>Application should use aggregated test result for making test completion and test passed/test failed decision. Safety measure is expected to be implemented on application side.</t>
  </si>
  <si>
    <t>If application requests multiple tests for execution, the tests should be grouped in the way that aggregated result for each group of tests is unique.Safety measure is expected to be implemented on application side</t>
  </si>
  <si>
    <t>REQ_M4_SCST_37</t>
  </si>
  <si>
    <t>REQ_M4_SCST_38</t>
  </si>
  <si>
    <t>REQ_M4_SCST_39</t>
  </si>
  <si>
    <t>REQ_M4_SCST_40</t>
  </si>
  <si>
    <t>REQ_M4_SCST_41</t>
  </si>
  <si>
    <t>REQ_M4_SCST_42</t>
  </si>
  <si>
    <t>REQ_M4_SCST_43</t>
  </si>
  <si>
    <t>REQ_M4_SCST_44</t>
  </si>
  <si>
    <t>REQ_M4_SCST_45</t>
  </si>
  <si>
    <t>REQ_M4_SCST_46</t>
  </si>
  <si>
    <t>REQ_M4_SCST_47</t>
  </si>
  <si>
    <t>External</t>
  </si>
  <si>
    <t>BLN_SCST_M4_S32K144_RTM_1.0.5</t>
  </si>
  <si>
    <t xml:space="preserve">SCST shall ascertain the execution of the requested tests and provide correct execution result. </t>
  </si>
  <si>
    <t xml:space="preserve">The tested core shall be brought to an expected state after the SCST execution is completed. </t>
  </si>
  <si>
    <t>REQ_M4_SCST_48</t>
  </si>
  <si>
    <t>REQ_M4_SCST_49</t>
  </si>
  <si>
    <t>Canceled</t>
  </si>
  <si>
    <t>N/A</t>
  </si>
  <si>
    <t>Requirement status</t>
  </si>
  <si>
    <t>Updated REQ_M4_SCST_31. Added new Safety Analysis requirements (REW_M0_SCST_37 - REQ_M0_SCST_49) and updated Traceability Matrix for RTM 1.0.5 release</t>
  </si>
  <si>
    <t>M4_SCST_SA_Req02</t>
  </si>
  <si>
    <t>SCST Safety Concept, Rev. 1.1</t>
  </si>
  <si>
    <t>Safety Analysis, Rev. 2.0</t>
  </si>
  <si>
    <r>
      <t xml:space="preserve">Use watchdog timer or any other timing facilities for detecting longer execution time of the SCST library. Safety measure is expected to be implemented on application side.
</t>
    </r>
    <r>
      <rPr>
        <b/>
        <sz val="10"/>
        <rFont val="Arial"/>
        <family val="2"/>
      </rPr>
      <t>Rationale:</t>
    </r>
    <r>
      <rPr>
        <sz val="10"/>
        <rFont val="Arial"/>
      </rPr>
      <t xml:space="preserve"> The SCST Library may exceed expected execution time due to HW fault.</t>
    </r>
  </si>
  <si>
    <r>
      <t xml:space="preserve">Use of control flow monitoring or other measures for detecting incorrect return from the SCST library. Safety measure is expected to be implemented on application side.
</t>
    </r>
    <r>
      <rPr>
        <b/>
        <sz val="10"/>
        <rFont val="Arial"/>
        <family val="2"/>
      </rPr>
      <t>Rationale:</t>
    </r>
    <r>
      <rPr>
        <sz val="10"/>
        <rFont val="Arial"/>
        <family val="2"/>
      </rPr>
      <t xml:space="preserve"> The SCST Library may erroneously return control to the wrong location of the application code due to HW fault.</t>
    </r>
  </si>
  <si>
    <r>
      <t xml:space="preserve">Check application context (local variables) and stack pointer after invocation of the SCST library. Safety measure is expected to be implemented on application side.
</t>
    </r>
    <r>
      <rPr>
        <b/>
        <sz val="10"/>
        <rFont val="Arial"/>
        <family val="2"/>
      </rPr>
      <t>Rationale:</t>
    </r>
    <r>
      <rPr>
        <sz val="10"/>
        <rFont val="Arial"/>
        <family val="2"/>
      </rPr>
      <t xml:space="preserve"> The SCST Library may corrupt application context due to HW fault.</t>
    </r>
  </si>
  <si>
    <r>
      <t xml:space="preserve">The memory sections of the SCST Library shall be placed in ECC-protected memory or other memory corruption detection mechanism shall be used. Safety measure is expected to be implemented on application side.
</t>
    </r>
    <r>
      <rPr>
        <b/>
        <sz val="10"/>
        <rFont val="Arial"/>
        <family val="2"/>
      </rPr>
      <t>Rationale:</t>
    </r>
    <r>
      <rPr>
        <sz val="10"/>
        <rFont val="Arial"/>
        <family val="2"/>
      </rPr>
      <t xml:space="preserve"> The SCST Library shall not be executed from corrupted memory.</t>
    </r>
  </si>
  <si>
    <r>
      <t xml:space="preserve">Use of application data protection or corruption detection mechanism after invocation of the SCST library. Safety measure is expected to be implemented on application side.
</t>
    </r>
    <r>
      <rPr>
        <b/>
        <sz val="10"/>
        <rFont val="Arial"/>
        <family val="2"/>
      </rPr>
      <t>Rationale:</t>
    </r>
    <r>
      <rPr>
        <sz val="10"/>
        <rFont val="Arial"/>
      </rPr>
      <t xml:space="preserve"> The SCST Library may erroneously corrupt application data due to HW fault.</t>
    </r>
  </si>
  <si>
    <r>
      <t xml:space="preserve">Use of special purpose and device configuration register protection or corruption detection mechanism after invocation of the SCST library. Safety measure is expected to be implemented on application side.
</t>
    </r>
    <r>
      <rPr>
        <b/>
        <sz val="10"/>
        <rFont val="Arial"/>
        <family val="2"/>
      </rPr>
      <t>Rationale:</t>
    </r>
    <r>
      <rPr>
        <sz val="10"/>
        <rFont val="Arial"/>
        <family val="2"/>
      </rPr>
      <t xml:space="preserve"> The SCST Library may errorneously corrupt special purpose or device configuration registers.</t>
    </r>
  </si>
  <si>
    <r>
      <t xml:space="preserve">Check Interrupt Controller configuration and core interrupt mask and priority registers or use other mechanism for detecting missing interrupts. Safety measure is expected to be implemented on application side.
</t>
    </r>
    <r>
      <rPr>
        <b/>
        <sz val="10"/>
        <rFont val="Arial"/>
        <family val="2"/>
      </rPr>
      <t>Rationale:</t>
    </r>
    <r>
      <rPr>
        <sz val="10"/>
        <rFont val="Arial"/>
      </rPr>
      <t xml:space="preserve"> The SCST Library may erroneously disable interrupts or erroneously enable disabled interrupts.</t>
    </r>
  </si>
  <si>
    <r>
      <t xml:space="preserve">Check VTOR register value after invocation of the SCST library or use other mechanism for detecting incorrectly serviced interrupts or too long interrupts. Safety measure is expected to be implemented on application side.
</t>
    </r>
    <r>
      <rPr>
        <b/>
        <sz val="10"/>
        <rFont val="Arial"/>
        <family val="2"/>
      </rPr>
      <t>Rationale:</t>
    </r>
    <r>
      <rPr>
        <sz val="10"/>
        <rFont val="Arial"/>
      </rPr>
      <t xml:space="preserve"> The SCST Library may erroneously restore user application ISR vector table. </t>
    </r>
  </si>
  <si>
    <r>
      <t xml:space="preserve">User application shall decide whether interrupt is expected or not. The application is responsible to provide an appropriate response for exceptions. Safety measure is expected to be implemented on application side.
</t>
    </r>
    <r>
      <rPr>
        <b/>
        <sz val="10"/>
        <rFont val="Arial"/>
        <family val="2"/>
      </rPr>
      <t>Rationale:</t>
    </r>
    <r>
      <rPr>
        <sz val="10"/>
        <rFont val="Arial"/>
        <family val="2"/>
      </rPr>
      <t xml:space="preserve"> The SCST Library may erroneously  generate interrupt/exception due to HW fault.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</si>
</sst>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15" x14ac:knownFonts="1">
    <font>
      <sz val="10"/>
      <name val="Arial"/>
    </font>
    <font>
      <sz val="14"/>
      <color indexed="9"/>
      <name val="Arial Black"/>
      <family val="2"/>
    </font>
    <font>
      <b/>
      <sz val="14"/>
      <color indexed="9"/>
      <name val="Arial Black"/>
      <family val="2"/>
    </font>
    <font>
      <b/>
      <i/>
      <sz val="14"/>
      <color indexed="9"/>
      <name val="Arial Black"/>
      <family val="2"/>
    </font>
    <font>
      <sz val="14"/>
      <color indexed="47"/>
      <name val="Arial Black"/>
      <family val="2"/>
    </font>
    <font>
      <b/>
      <sz val="10"/>
      <color indexed="9"/>
      <name val="Arial"/>
      <family val="2"/>
    </font>
    <font>
      <b/>
      <sz val="10"/>
      <name val="Arial"/>
      <family val="2"/>
    </font>
    <font>
      <sz val="10"/>
      <color indexed="8"/>
      <name val="Arial"/>
      <family val="2"/>
    </font>
    <font>
      <sz val="8"/>
      <name val="Arial"/>
      <family val="2"/>
    </font>
    <font>
      <sz val="10"/>
      <name val="Arial"/>
      <family val="2"/>
    </font>
    <font>
      <b/>
      <sz val="8"/>
      <name val="Arial"/>
      <family val="2"/>
    </font>
    <font>
      <sz val="8"/>
      <name val="Times New Roman"/>
      <family val="1"/>
    </font>
    <font>
      <u/>
      <sz val="12"/>
      <name val="Arial"/>
      <family val="2"/>
    </font>
    <font>
      <strike/>
      <sz val="10"/>
      <name val="Arial"/>
      <family val="2"/>
    </font>
    <font>
      <sz val="14"/>
      <color theme="0"/>
      <name val="Arial Black"/>
      <family val="2"/>
    </font>
  </fonts>
  <fills count="10">
    <fill>
      <patternFill patternType="none"/>
    </fill>
    <fill>
      <patternFill patternType="gray125"/>
    </fill>
    <fill>
      <patternFill patternType="solid">
        <fgColor indexed="51"/>
        <bgColor indexed="64"/>
      </patternFill>
    </fill>
    <fill>
      <patternFill patternType="solid">
        <fgColor theme="2" tint="-0.499984740745262"/>
        <bgColor indexed="64"/>
      </patternFill>
    </fill>
    <fill>
      <patternFill patternType="solid">
        <fgColor theme="6" tint="0.39997558519241921"/>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bgColor indexed="64"/>
      </patternFill>
    </fill>
  </fills>
  <borders count="20">
    <border>
      <left/>
      <right/>
      <top/>
      <bottom/>
      <diagonal/>
    </border>
    <border>
      <left style="medium">
        <color indexed="51"/>
      </left>
      <right/>
      <top style="medium">
        <color indexed="51"/>
      </top>
      <bottom/>
      <diagonal/>
    </border>
    <border>
      <left style="medium">
        <color indexed="51"/>
      </left>
      <right/>
      <top/>
      <bottom/>
      <diagonal/>
    </border>
    <border>
      <left/>
      <right/>
      <top style="medium">
        <color indexed="5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double">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double">
        <color auto="1"/>
      </top>
      <bottom/>
      <diagonal/>
    </border>
  </borders>
  <cellStyleXfs count="1">
    <xf numFmtId="0" fontId="0" fillId="0" borderId="0"/>
  </cellStyleXfs>
  <cellXfs count="125">
    <xf numFmtId="0" fontId="0" fillId="0" borderId="0" xfId="0"/>
    <xf numFmtId="0" fontId="1" fillId="2" borderId="0" xfId="0" applyFont="1" applyFill="1" applyBorder="1" applyAlignment="1">
      <alignment wrapText="1"/>
    </xf>
    <xf numFmtId="0" fontId="1" fillId="2" borderId="0" xfId="0" applyFont="1" applyFill="1" applyBorder="1"/>
    <xf numFmtId="0" fontId="3" fillId="2" borderId="0" xfId="0" applyFont="1" applyFill="1" applyBorder="1"/>
    <xf numFmtId="0" fontId="4" fillId="2" borderId="0" xfId="0" applyFont="1" applyFill="1" applyBorder="1"/>
    <xf numFmtId="164" fontId="1" fillId="2" borderId="2" xfId="0" applyNumberFormat="1" applyFont="1" applyFill="1" applyBorder="1"/>
    <xf numFmtId="0" fontId="0" fillId="2" borderId="0" xfId="0" applyFill="1" applyBorder="1"/>
    <xf numFmtId="0" fontId="0" fillId="2" borderId="2" xfId="0" applyFill="1" applyBorder="1"/>
    <xf numFmtId="0" fontId="0" fillId="2" borderId="0" xfId="0" applyFill="1" applyBorder="1" applyAlignment="1">
      <alignment wrapText="1"/>
    </xf>
    <xf numFmtId="0" fontId="0" fillId="0" borderId="2" xfId="0" applyBorder="1"/>
    <xf numFmtId="0" fontId="0" fillId="0" borderId="0" xfId="0" applyBorder="1" applyAlignment="1">
      <alignment wrapText="1"/>
    </xf>
    <xf numFmtId="0" fontId="0" fillId="0" borderId="0" xfId="0" applyBorder="1"/>
    <xf numFmtId="0" fontId="5" fillId="2" borderId="0" xfId="0" applyFont="1" applyFill="1" applyBorder="1" applyAlignment="1">
      <alignment wrapText="1"/>
    </xf>
    <xf numFmtId="0" fontId="5" fillId="2" borderId="0" xfId="0" applyFont="1" applyFill="1" applyBorder="1"/>
    <xf numFmtId="0" fontId="0" fillId="0" borderId="0" xfId="0" applyAlignment="1">
      <alignment wrapText="1"/>
    </xf>
    <xf numFmtId="0" fontId="6" fillId="0" borderId="0" xfId="0" applyFont="1" applyFill="1" applyBorder="1"/>
    <xf numFmtId="0" fontId="0" fillId="0" borderId="0" xfId="0" applyFill="1" applyBorder="1"/>
    <xf numFmtId="0" fontId="7" fillId="0" borderId="0" xfId="0" applyFont="1"/>
    <xf numFmtId="0" fontId="1" fillId="2" borderId="3" xfId="0" applyFont="1" applyFill="1" applyBorder="1" applyAlignment="1">
      <alignment wrapText="1"/>
    </xf>
    <xf numFmtId="0" fontId="1" fillId="2" borderId="3" xfId="0" applyFont="1" applyFill="1" applyBorder="1"/>
    <xf numFmtId="0" fontId="1" fillId="0" borderId="3" xfId="0" applyFont="1" applyFill="1" applyBorder="1"/>
    <xf numFmtId="0" fontId="2" fillId="0" borderId="0" xfId="0" applyFont="1" applyFill="1" applyBorder="1"/>
    <xf numFmtId="0" fontId="1" fillId="0" borderId="0" xfId="0" applyFont="1" applyFill="1" applyBorder="1"/>
    <xf numFmtId="0" fontId="5" fillId="0" borderId="0" xfId="0" applyFont="1" applyFill="1" applyBorder="1"/>
    <xf numFmtId="0" fontId="6" fillId="0" borderId="0" xfId="0" applyFont="1"/>
    <xf numFmtId="0" fontId="9" fillId="0" borderId="0" xfId="0" applyFont="1" applyAlignment="1">
      <alignment wrapText="1"/>
    </xf>
    <xf numFmtId="0" fontId="0" fillId="0" borderId="4" xfId="0" applyBorder="1" applyAlignment="1">
      <alignment horizontal="center" vertical="top" wrapText="1"/>
    </xf>
    <xf numFmtId="0" fontId="6" fillId="0" borderId="4" xfId="0" applyFont="1" applyFill="1" applyBorder="1" applyAlignment="1">
      <alignment wrapText="1"/>
    </xf>
    <xf numFmtId="0" fontId="9" fillId="0" borderId="4" xfId="0" applyFont="1" applyFill="1" applyBorder="1" applyAlignment="1">
      <alignment vertical="top" wrapText="1"/>
    </xf>
    <xf numFmtId="0" fontId="0" fillId="0" borderId="4" xfId="0" applyBorder="1" applyAlignment="1">
      <alignment horizontal="center" vertical="top"/>
    </xf>
    <xf numFmtId="0" fontId="9" fillId="0" borderId="4" xfId="0" applyFont="1" applyFill="1" applyBorder="1" applyAlignment="1">
      <alignment horizontal="center" vertical="top" wrapText="1"/>
    </xf>
    <xf numFmtId="0" fontId="0" fillId="0" borderId="0" xfId="0" applyBorder="1"/>
    <xf numFmtId="0" fontId="0" fillId="0" borderId="0" xfId="0" applyBorder="1" applyAlignment="1">
      <alignment vertical="top" wrapText="1"/>
    </xf>
    <xf numFmtId="0" fontId="6" fillId="2" borderId="2" xfId="0" applyFont="1" applyFill="1" applyBorder="1"/>
    <xf numFmtId="0" fontId="9" fillId="0" borderId="4" xfId="0" applyFont="1" applyBorder="1" applyAlignment="1">
      <alignment horizontal="center" vertical="top"/>
    </xf>
    <xf numFmtId="0" fontId="0" fillId="3" borderId="0" xfId="0" applyFill="1" applyBorder="1"/>
    <xf numFmtId="0" fontId="9" fillId="0" borderId="4" xfId="0" applyFont="1" applyBorder="1" applyAlignment="1">
      <alignment vertical="top"/>
    </xf>
    <xf numFmtId="0" fontId="9" fillId="2" borderId="4" xfId="0" applyFont="1" applyFill="1" applyBorder="1" applyAlignment="1">
      <alignment vertical="top"/>
    </xf>
    <xf numFmtId="0" fontId="9" fillId="0" borderId="0" xfId="0" applyFont="1" applyBorder="1" applyAlignment="1">
      <alignment horizontal="left" vertical="top" wrapText="1"/>
    </xf>
    <xf numFmtId="0" fontId="0" fillId="0" borderId="0" xfId="0" applyBorder="1"/>
    <xf numFmtId="0" fontId="9" fillId="2" borderId="4" xfId="0" applyFont="1" applyFill="1" applyBorder="1" applyAlignment="1">
      <alignment horizontal="center" vertical="top"/>
    </xf>
    <xf numFmtId="0" fontId="9" fillId="0" borderId="0" xfId="0" applyFont="1" applyFill="1" applyBorder="1" applyAlignment="1">
      <alignment vertical="top" wrapText="1"/>
    </xf>
    <xf numFmtId="0" fontId="0" fillId="0" borderId="0" xfId="0" applyBorder="1" applyAlignment="1">
      <alignment horizontal="center" vertical="top"/>
    </xf>
    <xf numFmtId="0" fontId="0" fillId="0" borderId="0" xfId="0" applyBorder="1" applyAlignment="1">
      <alignment horizontal="center" vertical="top" wrapText="1"/>
    </xf>
    <xf numFmtId="0" fontId="9" fillId="0" borderId="0" xfId="0" applyFont="1" applyFill="1" applyBorder="1" applyAlignment="1">
      <alignment horizontal="center" vertical="top" wrapText="1"/>
    </xf>
    <xf numFmtId="0" fontId="9" fillId="0" borderId="0" xfId="0" applyFont="1" applyBorder="1" applyAlignment="1">
      <alignment horizontal="center" vertical="top"/>
    </xf>
    <xf numFmtId="0" fontId="9" fillId="3" borderId="0" xfId="0" applyFont="1" applyFill="1" applyBorder="1" applyAlignment="1">
      <alignment vertical="top" wrapText="1"/>
    </xf>
    <xf numFmtId="0" fontId="0" fillId="0" borderId="0" xfId="0" applyFill="1" applyBorder="1" applyAlignment="1">
      <alignment vertical="top" wrapText="1"/>
    </xf>
    <xf numFmtId="0" fontId="0" fillId="3" borderId="0" xfId="0" applyFill="1" applyBorder="1" applyAlignment="1">
      <alignment vertical="top" wrapText="1"/>
    </xf>
    <xf numFmtId="0" fontId="9" fillId="0" borderId="0" xfId="0" applyFont="1" applyBorder="1" applyAlignment="1">
      <alignment vertical="top" wrapText="1"/>
    </xf>
    <xf numFmtId="0" fontId="0" fillId="3" borderId="0" xfId="0" applyFill="1" applyBorder="1" applyAlignment="1">
      <alignment wrapText="1"/>
    </xf>
    <xf numFmtId="0" fontId="6" fillId="0" borderId="4" xfId="0" applyFont="1" applyFill="1" applyBorder="1" applyAlignment="1">
      <alignment horizontal="center" vertical="top" wrapText="1"/>
    </xf>
    <xf numFmtId="0" fontId="9" fillId="3" borderId="7" xfId="0" applyFont="1" applyFill="1" applyBorder="1" applyAlignment="1">
      <alignment vertical="top" wrapText="1"/>
    </xf>
    <xf numFmtId="0" fontId="9" fillId="3" borderId="4" xfId="0" applyFont="1" applyFill="1" applyBorder="1" applyAlignment="1">
      <alignment vertical="top" wrapText="1"/>
    </xf>
    <xf numFmtId="0" fontId="0" fillId="0" borderId="4" xfId="0" applyFill="1" applyBorder="1" applyAlignment="1">
      <alignment horizontal="center" vertical="top"/>
    </xf>
    <xf numFmtId="0" fontId="0" fillId="0" borderId="4" xfId="0" applyFill="1" applyBorder="1" applyAlignment="1">
      <alignment horizontal="center" vertical="top" wrapText="1"/>
    </xf>
    <xf numFmtId="0" fontId="9" fillId="0" borderId="4" xfId="0" applyFont="1" applyFill="1" applyBorder="1" applyAlignment="1">
      <alignment horizontal="center" vertical="top"/>
    </xf>
    <xf numFmtId="0" fontId="9" fillId="0" borderId="4" xfId="0" applyFont="1" applyFill="1" applyBorder="1" applyAlignment="1">
      <alignment horizontal="left" vertical="top" wrapText="1"/>
    </xf>
    <xf numFmtId="0" fontId="6" fillId="2" borderId="4" xfId="0" applyFont="1" applyFill="1" applyBorder="1" applyAlignment="1">
      <alignment horizontal="center" wrapText="1"/>
    </xf>
    <xf numFmtId="0" fontId="10" fillId="2" borderId="8" xfId="0" applyFont="1" applyFill="1" applyBorder="1" applyAlignment="1">
      <alignment horizontal="right" vertical="top" wrapText="1"/>
    </xf>
    <xf numFmtId="0" fontId="11" fillId="0" borderId="9" xfId="0" applyFont="1" applyBorder="1" applyAlignment="1">
      <alignment horizontal="left" vertical="top" wrapText="1"/>
    </xf>
    <xf numFmtId="0" fontId="10" fillId="2" borderId="9" xfId="0" applyFont="1" applyFill="1" applyBorder="1" applyAlignment="1">
      <alignment horizontal="right" vertical="top" wrapText="1"/>
    </xf>
    <xf numFmtId="0" fontId="11" fillId="0" borderId="10" xfId="0" applyFont="1" applyFill="1" applyBorder="1" applyAlignment="1">
      <alignment horizontal="left" vertical="top" wrapText="1"/>
    </xf>
    <xf numFmtId="0" fontId="10" fillId="2" borderId="11" xfId="0" applyFont="1" applyFill="1" applyBorder="1" applyAlignment="1">
      <alignment horizontal="right" vertical="top" wrapText="1"/>
    </xf>
    <xf numFmtId="0" fontId="11" fillId="0" borderId="12" xfId="0" applyFont="1" applyBorder="1" applyAlignment="1">
      <alignment horizontal="left" vertical="top" wrapText="1"/>
    </xf>
    <xf numFmtId="0" fontId="9" fillId="0" borderId="13" xfId="0" applyFont="1" applyBorder="1" applyAlignment="1">
      <alignment horizontal="center" vertical="top"/>
    </xf>
    <xf numFmtId="0" fontId="0" fillId="0" borderId="14" xfId="0" applyBorder="1"/>
    <xf numFmtId="0" fontId="6" fillId="2" borderId="15" xfId="0" applyFont="1" applyFill="1" applyBorder="1" applyAlignment="1">
      <alignment horizontal="center" wrapText="1"/>
    </xf>
    <xf numFmtId="0" fontId="6" fillId="3" borderId="4" xfId="0" applyFont="1" applyFill="1" applyBorder="1" applyAlignment="1">
      <alignment horizontal="center" wrapText="1"/>
    </xf>
    <xf numFmtId="0" fontId="6" fillId="0" borderId="4" xfId="0" applyFont="1" applyBorder="1" applyAlignment="1">
      <alignment horizontal="center" vertical="top"/>
    </xf>
    <xf numFmtId="0" fontId="0" fillId="0" borderId="0" xfId="0" applyAlignment="1">
      <alignment horizontal="center" vertical="top"/>
    </xf>
    <xf numFmtId="0" fontId="0" fillId="0" borderId="0" xfId="0" applyAlignment="1">
      <alignment vertical="top"/>
    </xf>
    <xf numFmtId="0" fontId="0" fillId="0" borderId="0" xfId="0" applyAlignment="1"/>
    <xf numFmtId="0" fontId="0" fillId="0" borderId="0" xfId="0" applyAlignment="1">
      <alignment vertical="top" wrapText="1"/>
    </xf>
    <xf numFmtId="0" fontId="0" fillId="0" borderId="0" xfId="0" applyAlignment="1">
      <alignment horizontal="left" vertical="top"/>
    </xf>
    <xf numFmtId="0" fontId="0" fillId="0" borderId="0" xfId="0" applyBorder="1" applyAlignment="1">
      <alignment horizontal="left" vertical="top"/>
    </xf>
    <xf numFmtId="0" fontId="6" fillId="0" borderId="0" xfId="0" applyFont="1" applyAlignment="1">
      <alignment vertical="top"/>
    </xf>
    <xf numFmtId="0" fontId="9" fillId="0" borderId="0" xfId="0" applyFont="1"/>
    <xf numFmtId="0" fontId="13" fillId="5" borderId="0" xfId="0" applyFont="1" applyFill="1" applyAlignment="1">
      <alignment horizontal="center" vertical="center"/>
    </xf>
    <xf numFmtId="0" fontId="9" fillId="6" borderId="0" xfId="0" applyFont="1" applyFill="1" applyAlignment="1">
      <alignment horizontal="center" vertical="center"/>
    </xf>
    <xf numFmtId="0" fontId="9" fillId="0" borderId="0" xfId="0" applyFont="1" applyFill="1" applyAlignment="1">
      <alignment horizontal="center" vertical="center"/>
    </xf>
    <xf numFmtId="0" fontId="9" fillId="0" borderId="0" xfId="0" applyFont="1" applyAlignment="1"/>
    <xf numFmtId="0" fontId="9" fillId="7" borderId="0" xfId="0" applyFont="1" applyFill="1" applyAlignment="1">
      <alignment horizontal="center" vertical="center"/>
    </xf>
    <xf numFmtId="0" fontId="9" fillId="5" borderId="0" xfId="0" applyFont="1" applyFill="1" applyAlignment="1">
      <alignment horizontal="center" vertical="center"/>
    </xf>
    <xf numFmtId="0" fontId="0" fillId="0" borderId="0" xfId="0" applyFill="1" applyAlignment="1">
      <alignment vertical="top"/>
    </xf>
    <xf numFmtId="0" fontId="9" fillId="8" borderId="0" xfId="0" applyFont="1" applyFill="1" applyAlignment="1">
      <alignment horizontal="center" vertical="center"/>
    </xf>
    <xf numFmtId="0" fontId="0" fillId="0" borderId="4" xfId="0" applyBorder="1"/>
    <xf numFmtId="0" fontId="0" fillId="0" borderId="4" xfId="0" applyBorder="1" applyAlignment="1">
      <alignment vertical="top" wrapText="1"/>
    </xf>
    <xf numFmtId="0" fontId="9" fillId="2" borderId="5" xfId="0" applyFont="1" applyFill="1" applyBorder="1" applyAlignment="1">
      <alignment vertical="top"/>
    </xf>
    <xf numFmtId="0" fontId="9" fillId="2" borderId="6" xfId="0" applyFont="1" applyFill="1" applyBorder="1" applyAlignment="1">
      <alignment vertical="top"/>
    </xf>
    <xf numFmtId="0" fontId="9" fillId="2" borderId="7" xfId="0" applyFont="1" applyFill="1" applyBorder="1" applyAlignment="1">
      <alignment vertical="top"/>
    </xf>
    <xf numFmtId="0" fontId="0" fillId="0" borderId="4" xfId="0" applyFill="1" applyBorder="1" applyAlignment="1">
      <alignment vertical="top" wrapText="1"/>
    </xf>
    <xf numFmtId="0" fontId="0" fillId="0" borderId="4" xfId="0" applyBorder="1" applyAlignment="1">
      <alignment vertical="top"/>
    </xf>
    <xf numFmtId="0" fontId="1" fillId="9" borderId="1" xfId="0" applyFont="1" applyFill="1" applyBorder="1"/>
    <xf numFmtId="0" fontId="1" fillId="9" borderId="3" xfId="0" applyFont="1" applyFill="1" applyBorder="1" applyAlignment="1">
      <alignment wrapText="1"/>
    </xf>
    <xf numFmtId="0" fontId="0" fillId="0" borderId="17" xfId="0" applyBorder="1" applyAlignment="1">
      <alignment horizontal="left" vertical="top"/>
    </xf>
    <xf numFmtId="0" fontId="9" fillId="0" borderId="4" xfId="0" applyFont="1" applyBorder="1" applyAlignment="1">
      <alignment horizontal="left" vertical="top" wrapText="1"/>
    </xf>
    <xf numFmtId="0" fontId="0" fillId="0" borderId="4" xfId="0" applyBorder="1" applyAlignment="1">
      <alignment horizontal="left" vertical="top" wrapText="1"/>
    </xf>
    <xf numFmtId="0" fontId="0" fillId="0" borderId="4" xfId="0" applyBorder="1" applyAlignment="1">
      <alignment horizontal="left" vertical="top"/>
    </xf>
    <xf numFmtId="0" fontId="9" fillId="0" borderId="4" xfId="0" applyFont="1" applyBorder="1" applyAlignment="1">
      <alignment horizontal="left" vertical="top"/>
    </xf>
    <xf numFmtId="0" fontId="9" fillId="0" borderId="17" xfId="0" applyFont="1" applyBorder="1" applyAlignment="1">
      <alignment horizontal="left" vertical="top"/>
    </xf>
    <xf numFmtId="0" fontId="6" fillId="0" borderId="18" xfId="0" applyFont="1" applyBorder="1" applyAlignment="1">
      <alignment horizontal="center" vertical="top"/>
    </xf>
    <xf numFmtId="0" fontId="6" fillId="0" borderId="18" xfId="0" applyFont="1" applyBorder="1" applyAlignment="1">
      <alignment horizontal="center" vertical="top" wrapText="1"/>
    </xf>
    <xf numFmtId="0" fontId="9" fillId="0" borderId="15" xfId="0" applyFont="1" applyBorder="1" applyAlignment="1">
      <alignment horizontal="left" vertical="top" wrapText="1"/>
    </xf>
    <xf numFmtId="0" fontId="14" fillId="2" borderId="2" xfId="0" applyFont="1" applyFill="1" applyBorder="1"/>
    <xf numFmtId="165" fontId="9" fillId="0" borderId="4" xfId="0" applyNumberFormat="1" applyFont="1" applyBorder="1" applyAlignment="1">
      <alignment vertical="center"/>
    </xf>
    <xf numFmtId="164" fontId="9" fillId="0" borderId="4" xfId="0" applyNumberFormat="1" applyFont="1" applyBorder="1" applyAlignment="1">
      <alignment vertical="center" wrapText="1"/>
    </xf>
    <xf numFmtId="0" fontId="9" fillId="0" borderId="4" xfId="0" applyFont="1" applyBorder="1" applyAlignment="1">
      <alignment vertical="center"/>
    </xf>
    <xf numFmtId="165" fontId="9" fillId="0" borderId="4" xfId="0" applyNumberFormat="1" applyFont="1" applyBorder="1" applyAlignment="1">
      <alignment horizontal="left" vertical="center"/>
    </xf>
    <xf numFmtId="0" fontId="0" fillId="0" borderId="15" xfId="0" applyBorder="1" applyAlignment="1">
      <alignment vertical="top"/>
    </xf>
    <xf numFmtId="0" fontId="9" fillId="0" borderId="4" xfId="0" applyFont="1" applyBorder="1" applyAlignment="1">
      <alignment horizontal="center" vertical="top" wrapText="1"/>
    </xf>
    <xf numFmtId="0" fontId="9" fillId="0" borderId="19" xfId="0" applyFont="1" applyBorder="1" applyAlignment="1">
      <alignment horizontal="left" vertical="top"/>
    </xf>
    <xf numFmtId="0" fontId="9" fillId="0" borderId="15" xfId="0" applyFont="1" applyBorder="1" applyAlignment="1">
      <alignment vertical="top"/>
    </xf>
    <xf numFmtId="165" fontId="9" fillId="0" borderId="5" xfId="0" applyNumberFormat="1" applyFont="1" applyBorder="1" applyAlignment="1">
      <alignment horizontal="left" vertical="center" wrapText="1"/>
    </xf>
    <xf numFmtId="165" fontId="9" fillId="0" borderId="6" xfId="0" applyNumberFormat="1" applyFont="1" applyBorder="1" applyAlignment="1">
      <alignment horizontal="left" vertical="center" wrapText="1"/>
    </xf>
    <xf numFmtId="165" fontId="9" fillId="0" borderId="7" xfId="0" applyNumberFormat="1" applyFont="1" applyBorder="1" applyAlignment="1">
      <alignment horizontal="left" vertical="center" wrapText="1"/>
    </xf>
    <xf numFmtId="165" fontId="9" fillId="0" borderId="4" xfId="0" applyNumberFormat="1" applyFont="1"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12" fillId="4" borderId="0" xfId="0" applyFont="1" applyFill="1" applyAlignment="1">
      <alignment horizontal="left" vertical="top" wrapText="1"/>
    </xf>
    <xf numFmtId="0" fontId="9" fillId="0" borderId="0" xfId="0" applyFont="1" applyAlignment="1">
      <alignment horizontal="left" vertical="top" wrapText="1"/>
    </xf>
    <xf numFmtId="0" fontId="6" fillId="2" borderId="4" xfId="0" applyFont="1" applyFill="1" applyBorder="1" applyAlignment="1">
      <alignment horizontal="center" wrapText="1"/>
    </xf>
    <xf numFmtId="0" fontId="0" fillId="0" borderId="0" xfId="0" applyBorder="1" applyAlignment="1">
      <alignment horizontal="center" vertical="center"/>
    </xf>
    <xf numFmtId="0" fontId="0" fillId="0" borderId="16" xfId="0" applyBorder="1" applyAlignment="1">
      <alignment horizontal="center" vertical="center"/>
    </xf>
  </cellXfs>
  <cellStyles count="1">
    <cellStyle name="Normal" xfId="0" builtinId="0"/>
  </cellStyles>
  <dxfs count="6">
    <dxf>
      <fill>
        <patternFill>
          <bgColor rgb="FFFFC000"/>
        </patternFill>
      </fill>
    </dxf>
    <dxf>
      <fill>
        <patternFill>
          <bgColor rgb="FFFF0000"/>
        </patternFill>
      </fill>
    </dxf>
    <dxf>
      <fill>
        <patternFill>
          <bgColor theme="0" tint="-0.24994659260841701"/>
        </patternFill>
      </fill>
    </dxf>
    <dxf>
      <font>
        <strike/>
      </font>
      <fill>
        <patternFill>
          <bgColor rgb="FFFF0000"/>
        </patternFill>
      </fill>
    </dxf>
    <dxf>
      <fill>
        <patternFill>
          <bgColor theme="5" tint="0.39994506668294322"/>
        </patternFill>
      </fill>
    </dxf>
    <dxf>
      <fill>
        <patternFill>
          <bgColor rgb="FF0070C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0</xdr:row>
      <xdr:rowOff>57150</xdr:rowOff>
    </xdr:from>
    <xdr:to>
      <xdr:col>1</xdr:col>
      <xdr:colOff>1009650</xdr:colOff>
      <xdr:row>0</xdr:row>
      <xdr:rowOff>619125</xdr:rowOff>
    </xdr:to>
    <xdr:pic>
      <xdr:nvPicPr>
        <xdr:cNvPr id="3" name="Picture 2" descr="NXP_FullColor_RGB">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57150"/>
          <a:ext cx="174307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29"/>
  <sheetViews>
    <sheetView tabSelected="1" zoomScaleNormal="100" workbookViewId="0">
      <selection activeCell="A18" sqref="A18"/>
    </sheetView>
  </sheetViews>
  <sheetFormatPr defaultRowHeight="12.75" x14ac:dyDescent="0.2"/>
  <cols>
    <col min="1" max="1" width="21.7109375" customWidth="1"/>
    <col min="2" max="2" width="25" customWidth="1"/>
    <col min="3" max="3" width="19.85546875" customWidth="1"/>
    <col min="4" max="4" width="20.85546875" customWidth="1"/>
    <col min="5" max="5" width="23.28515625" customWidth="1"/>
    <col min="6" max="6" width="54.140625" bestFit="1" customWidth="1"/>
    <col min="7" max="7" width="28" customWidth="1"/>
  </cols>
  <sheetData>
    <row r="1" spans="1:9" ht="58.5" customHeight="1" x14ac:dyDescent="0.45">
      <c r="A1" s="93"/>
      <c r="B1" s="94"/>
      <c r="C1" s="19"/>
      <c r="D1" s="19"/>
      <c r="E1" s="18"/>
      <c r="F1" s="19"/>
      <c r="G1" s="20"/>
      <c r="H1" s="20"/>
      <c r="I1" s="22"/>
    </row>
    <row r="2" spans="1:9" ht="22.5" x14ac:dyDescent="0.45">
      <c r="A2" s="104" t="s">
        <v>142</v>
      </c>
      <c r="B2" s="1"/>
      <c r="C2" s="2"/>
      <c r="D2" s="2"/>
      <c r="E2" s="1"/>
      <c r="F2" s="3"/>
      <c r="G2" s="21"/>
      <c r="H2" s="22"/>
      <c r="I2" s="22"/>
    </row>
    <row r="3" spans="1:9" ht="22.5" x14ac:dyDescent="0.45">
      <c r="A3" s="104" t="s">
        <v>35</v>
      </c>
      <c r="B3" s="1"/>
      <c r="C3" s="4"/>
      <c r="D3" s="4"/>
      <c r="E3" s="1"/>
      <c r="F3" s="2" t="s">
        <v>144</v>
      </c>
      <c r="G3" s="22"/>
      <c r="H3" s="22"/>
      <c r="I3" s="22"/>
    </row>
    <row r="4" spans="1:9" ht="22.5" x14ac:dyDescent="0.45">
      <c r="A4" s="5"/>
      <c r="B4" s="1"/>
      <c r="C4" s="4"/>
      <c r="D4" s="4"/>
      <c r="E4" s="1"/>
      <c r="F4" s="6"/>
      <c r="G4" s="22"/>
      <c r="H4" s="22"/>
      <c r="I4" s="22"/>
    </row>
    <row r="5" spans="1:9" x14ac:dyDescent="0.2">
      <c r="A5" s="7"/>
      <c r="B5" s="8"/>
      <c r="C5" s="6"/>
      <c r="D5" s="6"/>
      <c r="E5" s="8"/>
      <c r="F5" s="6"/>
      <c r="G5" s="16"/>
      <c r="H5" s="16"/>
      <c r="I5" s="16"/>
    </row>
    <row r="6" spans="1:9" x14ac:dyDescent="0.2">
      <c r="A6" s="9"/>
      <c r="B6" s="10"/>
      <c r="C6" s="11"/>
      <c r="D6" s="31"/>
      <c r="E6" s="10"/>
      <c r="F6" s="11"/>
      <c r="G6" s="16"/>
      <c r="H6" s="16"/>
      <c r="I6" s="16"/>
    </row>
    <row r="7" spans="1:9" x14ac:dyDescent="0.2">
      <c r="A7" s="9"/>
      <c r="B7" s="10"/>
      <c r="C7" s="31"/>
      <c r="D7" s="31"/>
      <c r="E7" s="14"/>
      <c r="F7" s="31"/>
      <c r="G7" s="16"/>
      <c r="H7" s="16"/>
      <c r="I7" s="16"/>
    </row>
    <row r="8" spans="1:9" x14ac:dyDescent="0.2">
      <c r="A8" s="33" t="s">
        <v>16</v>
      </c>
      <c r="B8" s="12"/>
      <c r="C8" s="13"/>
      <c r="D8" s="13"/>
      <c r="E8" s="12"/>
      <c r="F8" s="13"/>
      <c r="G8" s="23"/>
      <c r="H8" s="23"/>
      <c r="I8" s="23"/>
    </row>
    <row r="9" spans="1:9" x14ac:dyDescent="0.2">
      <c r="A9" s="40" t="s">
        <v>15</v>
      </c>
      <c r="B9" s="40" t="s">
        <v>0</v>
      </c>
      <c r="C9" s="37" t="s">
        <v>13</v>
      </c>
      <c r="D9" s="88" t="s">
        <v>1</v>
      </c>
      <c r="E9" s="89"/>
      <c r="F9" s="90"/>
      <c r="G9" s="15"/>
      <c r="H9" s="15"/>
      <c r="I9" s="15"/>
    </row>
    <row r="10" spans="1:9" ht="17.25" customHeight="1" x14ac:dyDescent="0.2">
      <c r="A10" s="105" t="s">
        <v>14</v>
      </c>
      <c r="B10" s="106" t="s">
        <v>143</v>
      </c>
      <c r="C10" s="107" t="s">
        <v>128</v>
      </c>
      <c r="D10" s="117" t="s">
        <v>100</v>
      </c>
      <c r="E10" s="118"/>
      <c r="F10" s="119"/>
      <c r="G10" s="16"/>
      <c r="H10" s="16"/>
      <c r="I10" s="16"/>
    </row>
    <row r="11" spans="1:9" ht="30" customHeight="1" x14ac:dyDescent="0.2">
      <c r="A11" s="105" t="s">
        <v>147</v>
      </c>
      <c r="B11" s="106" t="s">
        <v>148</v>
      </c>
      <c r="C11" s="107" t="s">
        <v>128</v>
      </c>
      <c r="D11" s="117" t="s">
        <v>151</v>
      </c>
      <c r="E11" s="118"/>
      <c r="F11" s="119"/>
      <c r="G11" s="16"/>
      <c r="H11" s="16"/>
      <c r="I11" s="16"/>
    </row>
    <row r="12" spans="1:9" ht="30" customHeight="1" x14ac:dyDescent="0.2">
      <c r="A12" s="105" t="s">
        <v>152</v>
      </c>
      <c r="B12" s="106" t="s">
        <v>157</v>
      </c>
      <c r="C12" s="107" t="s">
        <v>153</v>
      </c>
      <c r="D12" s="116" t="s">
        <v>156</v>
      </c>
      <c r="E12" s="116"/>
      <c r="F12" s="116"/>
      <c r="G12" s="16"/>
      <c r="H12" s="16"/>
      <c r="I12" s="16"/>
    </row>
    <row r="13" spans="1:9" ht="30" customHeight="1" x14ac:dyDescent="0.2">
      <c r="A13" s="108">
        <v>1</v>
      </c>
      <c r="B13" s="106" t="s">
        <v>157</v>
      </c>
      <c r="C13" s="107" t="s">
        <v>153</v>
      </c>
      <c r="D13" s="116" t="s">
        <v>158</v>
      </c>
      <c r="E13" s="116"/>
      <c r="F13" s="116"/>
      <c r="G13" s="16"/>
      <c r="H13" s="16"/>
      <c r="I13" s="16"/>
    </row>
    <row r="14" spans="1:9" ht="30" customHeight="1" x14ac:dyDescent="0.2">
      <c r="A14" s="108">
        <v>1.1000000000000001</v>
      </c>
      <c r="B14" s="105" t="s">
        <v>182</v>
      </c>
      <c r="C14" s="107" t="s">
        <v>153</v>
      </c>
      <c r="D14" s="116" t="s">
        <v>184</v>
      </c>
      <c r="E14" s="116"/>
      <c r="F14" s="116"/>
      <c r="G14" s="16"/>
      <c r="H14" s="16"/>
      <c r="I14" s="16"/>
    </row>
    <row r="15" spans="1:9" ht="30" customHeight="1" x14ac:dyDescent="0.2">
      <c r="A15" s="108">
        <v>1.2</v>
      </c>
      <c r="B15" s="105" t="s">
        <v>185</v>
      </c>
      <c r="C15" s="107" t="s">
        <v>153</v>
      </c>
      <c r="D15" s="116" t="s">
        <v>186</v>
      </c>
      <c r="E15" s="116"/>
      <c r="F15" s="116"/>
      <c r="G15" s="16"/>
      <c r="H15" s="16"/>
      <c r="I15" s="16"/>
    </row>
    <row r="16" spans="1:9" ht="30" customHeight="1" x14ac:dyDescent="0.2">
      <c r="A16" s="108">
        <v>1.3</v>
      </c>
      <c r="B16" s="105" t="s">
        <v>191</v>
      </c>
      <c r="C16" s="107" t="s">
        <v>153</v>
      </c>
      <c r="D16" s="116" t="s">
        <v>192</v>
      </c>
      <c r="E16" s="116"/>
      <c r="F16" s="116"/>
      <c r="G16" s="16"/>
      <c r="H16" s="16"/>
      <c r="I16" s="16"/>
    </row>
    <row r="17" spans="1:9" ht="30" customHeight="1" x14ac:dyDescent="0.2">
      <c r="A17" s="108">
        <v>1.4</v>
      </c>
      <c r="B17" s="105" t="s">
        <v>203</v>
      </c>
      <c r="C17" s="107" t="s">
        <v>153</v>
      </c>
      <c r="D17" s="116" t="s">
        <v>204</v>
      </c>
      <c r="E17" s="116"/>
      <c r="F17" s="116"/>
      <c r="G17" s="16"/>
      <c r="H17" s="16"/>
      <c r="I17" s="16"/>
    </row>
    <row r="18" spans="1:9" ht="30" customHeight="1" x14ac:dyDescent="0.2">
      <c r="A18" s="108">
        <v>2</v>
      </c>
      <c r="B18" s="105" t="s">
        <v>205</v>
      </c>
      <c r="C18" s="107" t="s">
        <v>153</v>
      </c>
      <c r="D18" s="113" t="s">
        <v>238</v>
      </c>
      <c r="E18" s="114"/>
      <c r="F18" s="115"/>
      <c r="G18" s="16"/>
      <c r="H18" s="16"/>
      <c r="I18" s="16"/>
    </row>
    <row r="19" spans="1:9" x14ac:dyDescent="0.2">
      <c r="A19" s="11"/>
      <c r="B19" s="10"/>
      <c r="C19" s="11"/>
      <c r="D19" s="31"/>
      <c r="E19" s="10"/>
      <c r="F19" s="11"/>
      <c r="G19" s="11"/>
      <c r="H19" s="11"/>
      <c r="I19" s="11"/>
    </row>
    <row r="20" spans="1:9" x14ac:dyDescent="0.2">
      <c r="A20" s="17" t="s">
        <v>206</v>
      </c>
      <c r="B20" s="14"/>
      <c r="E20" s="14"/>
    </row>
    <row r="24" spans="1:9" x14ac:dyDescent="0.2">
      <c r="A24" s="24"/>
      <c r="B24" s="25"/>
      <c r="C24" s="14"/>
      <c r="D24" s="14"/>
    </row>
    <row r="25" spans="1:9" x14ac:dyDescent="0.2">
      <c r="A25" s="24"/>
      <c r="B25" s="25"/>
      <c r="C25" s="14"/>
      <c r="D25" s="14"/>
    </row>
    <row r="26" spans="1:9" x14ac:dyDescent="0.2">
      <c r="A26" s="24"/>
      <c r="B26" s="25"/>
      <c r="C26" s="14"/>
      <c r="D26" s="14"/>
    </row>
    <row r="27" spans="1:9" x14ac:dyDescent="0.2">
      <c r="A27" s="24"/>
      <c r="B27" s="25"/>
      <c r="C27" s="14"/>
      <c r="D27" s="14"/>
    </row>
    <row r="28" spans="1:9" x14ac:dyDescent="0.2">
      <c r="A28" s="24"/>
      <c r="B28" s="25"/>
      <c r="C28" s="14"/>
      <c r="D28" s="14"/>
    </row>
    <row r="29" spans="1:9" x14ac:dyDescent="0.2">
      <c r="A29" s="24"/>
      <c r="B29" s="25"/>
      <c r="C29" s="14"/>
      <c r="D29" s="14"/>
    </row>
  </sheetData>
  <mergeCells count="9">
    <mergeCell ref="D18:F18"/>
    <mergeCell ref="D17:F17"/>
    <mergeCell ref="D16:F16"/>
    <mergeCell ref="D15:F15"/>
    <mergeCell ref="D10:F10"/>
    <mergeCell ref="D11:F11"/>
    <mergeCell ref="D12:F12"/>
    <mergeCell ref="D13:F13"/>
    <mergeCell ref="D14:F14"/>
  </mergeCells>
  <phoneticPr fontId="8" type="noConversion"/>
  <pageMargins left="0.75" right="0.75" top="1" bottom="1" header="0.5" footer="0.5"/>
  <pageSetup paperSize="9" scale="72" fitToHeight="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23"/>
  <sheetViews>
    <sheetView workbookViewId="0">
      <selection activeCell="F15" sqref="F15"/>
    </sheetView>
  </sheetViews>
  <sheetFormatPr defaultRowHeight="12.75" x14ac:dyDescent="0.2"/>
  <cols>
    <col min="2" max="2" width="20.140625" customWidth="1"/>
  </cols>
  <sheetData>
    <row r="1" spans="1:11" ht="15" x14ac:dyDescent="0.2">
      <c r="A1" s="120" t="s">
        <v>52</v>
      </c>
      <c r="B1" s="120"/>
      <c r="C1" s="120"/>
      <c r="D1" s="120"/>
      <c r="E1" s="120"/>
      <c r="F1" s="120"/>
      <c r="G1" s="120"/>
      <c r="H1" s="120"/>
      <c r="I1" s="120"/>
      <c r="J1" s="120"/>
      <c r="K1" s="120"/>
    </row>
    <row r="2" spans="1:11" x14ac:dyDescent="0.2">
      <c r="A2" s="73"/>
    </row>
    <row r="3" spans="1:11" x14ac:dyDescent="0.2">
      <c r="A3" s="76" t="s">
        <v>53</v>
      </c>
    </row>
    <row r="4" spans="1:11" x14ac:dyDescent="0.2">
      <c r="A4" s="73"/>
    </row>
    <row r="5" spans="1:11" x14ac:dyDescent="0.2">
      <c r="A5" s="73"/>
      <c r="B5" s="77" t="s">
        <v>54</v>
      </c>
    </row>
    <row r="6" spans="1:11" x14ac:dyDescent="0.2">
      <c r="A6" s="73"/>
    </row>
    <row r="7" spans="1:11" x14ac:dyDescent="0.2">
      <c r="A7" s="73"/>
      <c r="B7" s="78" t="s">
        <v>55</v>
      </c>
      <c r="C7" s="77" t="s">
        <v>66</v>
      </c>
    </row>
    <row r="8" spans="1:11" x14ac:dyDescent="0.2">
      <c r="A8" s="73"/>
      <c r="B8" s="79" t="s">
        <v>55</v>
      </c>
      <c r="C8" s="77" t="s">
        <v>56</v>
      </c>
    </row>
    <row r="9" spans="1:11" x14ac:dyDescent="0.2">
      <c r="A9" s="71"/>
      <c r="B9" s="80"/>
      <c r="C9" s="81" t="s">
        <v>57</v>
      </c>
      <c r="D9" s="72"/>
      <c r="E9" s="72"/>
      <c r="F9" s="72"/>
      <c r="G9" s="72"/>
      <c r="H9" s="72"/>
      <c r="I9" s="72"/>
      <c r="J9" s="72"/>
      <c r="K9" s="72"/>
    </row>
    <row r="10" spans="1:11" x14ac:dyDescent="0.2">
      <c r="A10" s="71"/>
      <c r="B10" s="80"/>
      <c r="C10" s="81" t="s">
        <v>58</v>
      </c>
      <c r="D10" s="72"/>
      <c r="E10" s="72"/>
      <c r="F10" s="72"/>
      <c r="G10" s="72"/>
      <c r="H10" s="72"/>
      <c r="I10" s="72"/>
      <c r="J10" s="72"/>
      <c r="K10" s="72"/>
    </row>
    <row r="11" spans="1:11" x14ac:dyDescent="0.2">
      <c r="A11" s="71"/>
      <c r="B11" s="80"/>
      <c r="C11" s="81" t="s">
        <v>59</v>
      </c>
      <c r="D11" s="72"/>
      <c r="E11" s="72"/>
      <c r="F11" s="72"/>
      <c r="G11" s="72"/>
      <c r="H11" s="72"/>
      <c r="I11" s="72"/>
      <c r="J11" s="72"/>
      <c r="K11" s="72"/>
    </row>
    <row r="12" spans="1:11" x14ac:dyDescent="0.2">
      <c r="A12" s="71"/>
      <c r="B12" s="80"/>
      <c r="C12" s="81" t="s">
        <v>60</v>
      </c>
      <c r="D12" s="72"/>
      <c r="E12" s="72"/>
      <c r="F12" s="72"/>
      <c r="G12" s="72"/>
      <c r="H12" s="72"/>
      <c r="I12" s="72"/>
      <c r="J12" s="72"/>
      <c r="K12" s="72"/>
    </row>
    <row r="13" spans="1:11" x14ac:dyDescent="0.2">
      <c r="A13" s="71"/>
      <c r="B13" s="82" t="s">
        <v>55</v>
      </c>
      <c r="C13" s="81" t="s">
        <v>61</v>
      </c>
      <c r="D13" s="72"/>
      <c r="E13" s="72"/>
      <c r="F13" s="72"/>
      <c r="G13" s="72"/>
      <c r="H13" s="72"/>
      <c r="I13" s="72"/>
      <c r="J13" s="72"/>
      <c r="K13" s="72"/>
    </row>
    <row r="14" spans="1:11" x14ac:dyDescent="0.2">
      <c r="A14" s="71"/>
      <c r="B14" s="80" t="s">
        <v>55</v>
      </c>
      <c r="C14" s="77" t="s">
        <v>62</v>
      </c>
    </row>
    <row r="15" spans="1:11" x14ac:dyDescent="0.2">
      <c r="A15" s="71"/>
    </row>
    <row r="16" spans="1:11" x14ac:dyDescent="0.2">
      <c r="A16" s="76" t="s">
        <v>63</v>
      </c>
    </row>
    <row r="18" spans="1:10" x14ac:dyDescent="0.2">
      <c r="A18" s="71"/>
      <c r="B18" s="83" t="s">
        <v>55</v>
      </c>
      <c r="C18" s="121" t="s">
        <v>64</v>
      </c>
      <c r="D18" s="121"/>
      <c r="E18" s="121"/>
      <c r="F18" s="121"/>
      <c r="G18" s="121"/>
      <c r="H18" s="121"/>
      <c r="I18" s="121"/>
      <c r="J18" s="121"/>
    </row>
    <row r="19" spans="1:10" x14ac:dyDescent="0.2">
      <c r="A19" s="84"/>
      <c r="B19" s="80"/>
      <c r="C19" s="121"/>
      <c r="D19" s="121"/>
      <c r="E19" s="121"/>
      <c r="F19" s="121"/>
      <c r="G19" s="121"/>
      <c r="H19" s="121"/>
      <c r="I19" s="121"/>
      <c r="J19" s="121"/>
    </row>
    <row r="20" spans="1:10" x14ac:dyDescent="0.2">
      <c r="A20" s="71"/>
      <c r="C20" s="121"/>
      <c r="D20" s="121"/>
      <c r="E20" s="121"/>
      <c r="F20" s="121"/>
      <c r="G20" s="121"/>
      <c r="H20" s="121"/>
      <c r="I20" s="121"/>
      <c r="J20" s="121"/>
    </row>
    <row r="21" spans="1:10" x14ac:dyDescent="0.2">
      <c r="A21" s="71"/>
      <c r="C21" s="121"/>
      <c r="D21" s="121"/>
      <c r="E21" s="121"/>
      <c r="F21" s="121"/>
      <c r="G21" s="121"/>
      <c r="H21" s="121"/>
      <c r="I21" s="121"/>
      <c r="J21" s="121"/>
    </row>
    <row r="22" spans="1:10" x14ac:dyDescent="0.2">
      <c r="B22" s="85" t="s">
        <v>55</v>
      </c>
      <c r="C22" s="77" t="s">
        <v>65</v>
      </c>
    </row>
    <row r="23" spans="1:10" x14ac:dyDescent="0.2">
      <c r="B23" s="80" t="s">
        <v>55</v>
      </c>
      <c r="C23" s="77" t="s">
        <v>62</v>
      </c>
    </row>
  </sheetData>
  <mergeCells count="2">
    <mergeCell ref="A1:K1"/>
    <mergeCell ref="C18:J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AX455"/>
  <sheetViews>
    <sheetView zoomScale="80" zoomScaleNormal="80" workbookViewId="0">
      <pane xSplit="5" ySplit="3" topLeftCell="F46" activePane="bottomRight" state="frozen"/>
      <selection activeCell="A6" sqref="A6"/>
      <selection pane="topRight" activeCell="A6" sqref="A6"/>
      <selection pane="bottomLeft" activeCell="A6" sqref="A6"/>
      <selection pane="bottomRight" activeCell="F57" sqref="F57"/>
    </sheetView>
  </sheetViews>
  <sheetFormatPr defaultRowHeight="12.75" x14ac:dyDescent="0.2"/>
  <cols>
    <col min="1" max="1" width="22.42578125" style="39" customWidth="1"/>
    <col min="2" max="2" width="27.28515625" style="39" customWidth="1"/>
    <col min="3" max="3" width="33.7109375" style="39" customWidth="1"/>
    <col min="4" max="4" width="27.5703125" style="39" customWidth="1"/>
    <col min="5" max="5" width="67.85546875" style="39" customWidth="1"/>
    <col min="6" max="6" width="10" style="39" customWidth="1"/>
    <col min="7" max="7" width="16.7109375" style="39" customWidth="1"/>
    <col min="8" max="9" width="13.85546875" style="39" customWidth="1"/>
    <col min="10" max="10" width="37.42578125" style="39" customWidth="1"/>
    <col min="11" max="11" width="9.28515625" style="39" customWidth="1"/>
    <col min="12" max="12" width="11.7109375" style="39" customWidth="1"/>
    <col min="13" max="13" width="9.7109375" style="39" customWidth="1"/>
    <col min="14" max="14" width="13.5703125" style="39" customWidth="1"/>
    <col min="15" max="15" width="17.5703125" style="39" customWidth="1"/>
    <col min="16" max="16" width="14.28515625" style="39" customWidth="1"/>
    <col min="17" max="17" width="16.28515625" style="39" customWidth="1"/>
    <col min="18" max="18" width="52.42578125" style="39" customWidth="1"/>
    <col min="19" max="19" width="2.28515625" style="35" customWidth="1"/>
    <col min="20" max="20" width="12.42578125" style="39" customWidth="1"/>
    <col min="21" max="21" width="16.140625" style="39" customWidth="1"/>
    <col min="22" max="22" width="6.28515625" style="39" customWidth="1"/>
    <col min="23" max="23" width="8.28515625" style="39" customWidth="1"/>
    <col min="24" max="24" width="6.28515625" style="39" customWidth="1"/>
    <col min="25" max="25" width="11.140625" style="39" customWidth="1"/>
    <col min="26" max="16384" width="9.140625" style="39"/>
  </cols>
  <sheetData>
    <row r="1" spans="1:50" ht="22.5" x14ac:dyDescent="0.2">
      <c r="A1" s="59" t="s">
        <v>37</v>
      </c>
      <c r="B1" s="60" t="s">
        <v>240</v>
      </c>
      <c r="C1" s="61" t="s">
        <v>38</v>
      </c>
      <c r="D1" s="62" t="s">
        <v>145</v>
      </c>
      <c r="AA1" s="123"/>
      <c r="AB1" s="123"/>
      <c r="AC1" s="123"/>
    </row>
    <row r="2" spans="1:50" ht="13.5" thickBot="1" x14ac:dyDescent="0.25">
      <c r="A2" s="63" t="s">
        <v>39</v>
      </c>
      <c r="B2" s="64" t="s">
        <v>241</v>
      </c>
      <c r="C2" s="65"/>
      <c r="D2" s="66"/>
      <c r="AA2" s="124"/>
      <c r="AB2" s="124"/>
      <c r="AC2" s="124"/>
    </row>
    <row r="3" spans="1:50" s="58" customFormat="1" ht="48.6" customHeight="1" x14ac:dyDescent="0.2">
      <c r="A3" s="67" t="s">
        <v>40</v>
      </c>
      <c r="B3" s="67" t="s">
        <v>41</v>
      </c>
      <c r="C3" s="67" t="s">
        <v>42</v>
      </c>
      <c r="D3" s="58" t="s">
        <v>6</v>
      </c>
      <c r="E3" s="58" t="s">
        <v>9</v>
      </c>
      <c r="F3" s="58" t="s">
        <v>22</v>
      </c>
      <c r="G3" s="58" t="s">
        <v>36</v>
      </c>
      <c r="H3" s="58" t="s">
        <v>33</v>
      </c>
      <c r="I3" s="58" t="s">
        <v>20</v>
      </c>
      <c r="J3" s="58" t="s">
        <v>3</v>
      </c>
      <c r="K3" s="58" t="s">
        <v>7</v>
      </c>
      <c r="L3" s="58" t="s">
        <v>2</v>
      </c>
      <c r="M3" s="58" t="s">
        <v>4</v>
      </c>
      <c r="N3" s="58" t="s">
        <v>5</v>
      </c>
      <c r="O3" s="58" t="s">
        <v>32</v>
      </c>
      <c r="P3" s="58" t="s">
        <v>21</v>
      </c>
      <c r="Q3" s="58" t="s">
        <v>31</v>
      </c>
      <c r="R3" s="58" t="s">
        <v>10</v>
      </c>
      <c r="S3" s="68"/>
      <c r="T3" s="122" t="s">
        <v>30</v>
      </c>
      <c r="U3" s="122"/>
      <c r="V3" s="122"/>
      <c r="W3" s="122"/>
      <c r="X3" s="122"/>
      <c r="Y3" s="122"/>
    </row>
    <row r="4" spans="1:50" s="27" customFormat="1" ht="36.75" customHeight="1" x14ac:dyDescent="0.2">
      <c r="A4" s="28"/>
      <c r="B4" s="28"/>
      <c r="C4" s="28"/>
      <c r="D4" s="57" t="s">
        <v>82</v>
      </c>
      <c r="E4" s="28" t="s">
        <v>77</v>
      </c>
      <c r="F4" s="29" t="s">
        <v>43</v>
      </c>
      <c r="G4" s="29" t="s">
        <v>11</v>
      </c>
      <c r="H4" s="29" t="s">
        <v>8</v>
      </c>
      <c r="I4" s="29"/>
      <c r="J4" s="26" t="s">
        <v>193</v>
      </c>
      <c r="K4" s="26" t="s">
        <v>12</v>
      </c>
      <c r="L4" s="26" t="s">
        <v>17</v>
      </c>
      <c r="M4" s="29" t="s">
        <v>8</v>
      </c>
      <c r="N4" s="30" t="s">
        <v>18</v>
      </c>
      <c r="O4" s="29" t="s">
        <v>8</v>
      </c>
      <c r="P4" s="29" t="s">
        <v>8</v>
      </c>
      <c r="Q4" s="34" t="s">
        <v>8</v>
      </c>
      <c r="R4" s="28"/>
      <c r="S4" s="52"/>
      <c r="T4" s="30" t="s">
        <v>24</v>
      </c>
      <c r="U4" s="30" t="s">
        <v>11</v>
      </c>
      <c r="V4" s="30" t="s">
        <v>25</v>
      </c>
      <c r="W4" s="30" t="s">
        <v>12</v>
      </c>
      <c r="X4" s="30" t="s">
        <v>17</v>
      </c>
      <c r="Y4" s="30" t="s">
        <v>18</v>
      </c>
      <c r="Z4" s="51"/>
      <c r="AA4" s="30" t="b">
        <f t="shared" ref="AA4:AA35" si="0">IF(MATCH(D4,$D$4:$D$47,0) &lt;&gt; (ROW() - 3), TRUE, FALSE)</f>
        <v>0</v>
      </c>
      <c r="AB4" s="30" t="b">
        <f>NOT(IF(OR(NOT(ISBLANK(A4)),NOT(ISBLANK(C4))),IF(AND(EXACT(H4,"Yes"),NOT(ISBLANK(I4))),"TRUE","FALSE"),IF(OR(EXACT(H4,"Yes"),NOT(ISBLANK(I4))),"FALSE","TRUE")))</f>
        <v>0</v>
      </c>
      <c r="AC4" s="30" t="b">
        <f>IF(ISBLANK(D4),"FALSE",ISNA(VLOOKUP($D4,'Traceability Matrix'!D$2:D$500,1,FALSE)))</f>
        <v>0</v>
      </c>
      <c r="AD4" s="51"/>
      <c r="AE4" s="51"/>
      <c r="AF4" s="51"/>
      <c r="AG4" s="51"/>
      <c r="AH4" s="51"/>
      <c r="AI4" s="51"/>
      <c r="AJ4" s="51"/>
      <c r="AK4" s="51"/>
      <c r="AL4" s="51"/>
      <c r="AM4" s="51"/>
      <c r="AN4" s="51"/>
      <c r="AO4" s="51"/>
      <c r="AP4" s="51"/>
      <c r="AQ4" s="51"/>
      <c r="AR4" s="51"/>
      <c r="AS4" s="51"/>
      <c r="AT4" s="51"/>
      <c r="AU4" s="51"/>
      <c r="AV4" s="51"/>
      <c r="AW4" s="51"/>
      <c r="AX4" s="51"/>
    </row>
    <row r="5" spans="1:50" s="27" customFormat="1" ht="39" customHeight="1" x14ac:dyDescent="0.2">
      <c r="A5" s="28"/>
      <c r="B5" s="28"/>
      <c r="C5" s="28"/>
      <c r="D5" s="57" t="s">
        <v>83</v>
      </c>
      <c r="E5" s="57" t="s">
        <v>81</v>
      </c>
      <c r="F5" s="29" t="s">
        <v>43</v>
      </c>
      <c r="G5" s="29" t="s">
        <v>11</v>
      </c>
      <c r="H5" s="29" t="s">
        <v>8</v>
      </c>
      <c r="I5" s="29"/>
      <c r="J5" s="26" t="s">
        <v>193</v>
      </c>
      <c r="K5" s="26" t="s">
        <v>12</v>
      </c>
      <c r="L5" s="26" t="s">
        <v>17</v>
      </c>
      <c r="M5" s="29" t="s">
        <v>17</v>
      </c>
      <c r="N5" s="30" t="s">
        <v>19</v>
      </c>
      <c r="O5" s="29" t="s">
        <v>8</v>
      </c>
      <c r="P5" s="29" t="s">
        <v>8</v>
      </c>
      <c r="Q5" s="34" t="s">
        <v>8</v>
      </c>
      <c r="R5" s="28"/>
      <c r="S5" s="53"/>
      <c r="T5" s="30" t="s">
        <v>23</v>
      </c>
      <c r="U5" s="30" t="s">
        <v>44</v>
      </c>
      <c r="V5" s="30" t="s">
        <v>26</v>
      </c>
      <c r="W5" s="30" t="s">
        <v>34</v>
      </c>
      <c r="X5" s="30" t="s">
        <v>8</v>
      </c>
      <c r="Y5" s="30" t="s">
        <v>19</v>
      </c>
      <c r="Z5" s="51"/>
      <c r="AA5" s="30" t="b">
        <f>IF(MATCH(D5,$D$4:$D$47,0) &lt;&gt; (ROW() - 3), TRUE, FALSE)</f>
        <v>0</v>
      </c>
      <c r="AB5" s="30" t="b">
        <f t="shared" ref="AB5:AB65" si="1">NOT(IF(OR(NOT(ISBLANK(A5)),NOT(ISBLANK(C5))),IF(AND(EXACT(H5,"Yes"),NOT(ISBLANK(I5))),"TRUE","FALSE"),IF(OR(EXACT(H5,"Yes"),NOT(ISBLANK(I5))),"FALSE","TRUE")))</f>
        <v>0</v>
      </c>
      <c r="AC5" s="30" t="b">
        <f>IF(ISBLANK(D5),"FALSE",ISNA(VLOOKUP($D5,'Traceability Matrix'!D$2:D$500,1,FALSE)))</f>
        <v>0</v>
      </c>
      <c r="AD5" s="51"/>
      <c r="AE5" s="51"/>
      <c r="AF5" s="51"/>
      <c r="AG5" s="51"/>
      <c r="AH5" s="51"/>
      <c r="AI5" s="51"/>
      <c r="AJ5" s="51"/>
      <c r="AK5" s="51"/>
      <c r="AL5" s="51"/>
      <c r="AM5" s="51"/>
      <c r="AN5" s="51"/>
      <c r="AO5" s="51"/>
      <c r="AP5" s="51"/>
      <c r="AQ5" s="51"/>
      <c r="AR5" s="51"/>
      <c r="AS5" s="51"/>
      <c r="AT5" s="51"/>
      <c r="AU5" s="51"/>
      <c r="AV5" s="51"/>
      <c r="AW5" s="51"/>
      <c r="AX5" s="51"/>
    </row>
    <row r="6" spans="1:50" s="27" customFormat="1" ht="38.25" customHeight="1" x14ac:dyDescent="0.2">
      <c r="A6" s="28"/>
      <c r="B6" s="28"/>
      <c r="C6" s="28" t="s">
        <v>126</v>
      </c>
      <c r="D6" s="57" t="s">
        <v>84</v>
      </c>
      <c r="E6" s="28" t="s">
        <v>80</v>
      </c>
      <c r="F6" s="29" t="s">
        <v>43</v>
      </c>
      <c r="G6" s="29" t="s">
        <v>11</v>
      </c>
      <c r="H6" s="54" t="s">
        <v>17</v>
      </c>
      <c r="I6" s="29" t="s">
        <v>26</v>
      </c>
      <c r="J6" s="26" t="s">
        <v>193</v>
      </c>
      <c r="K6" s="55" t="s">
        <v>12</v>
      </c>
      <c r="L6" s="55" t="s">
        <v>17</v>
      </c>
      <c r="M6" s="54" t="s">
        <v>17</v>
      </c>
      <c r="N6" s="30" t="s">
        <v>19</v>
      </c>
      <c r="O6" s="54" t="s">
        <v>8</v>
      </c>
      <c r="P6" s="54" t="s">
        <v>8</v>
      </c>
      <c r="Q6" s="56" t="s">
        <v>8</v>
      </c>
      <c r="R6" s="28"/>
      <c r="S6" s="53"/>
      <c r="T6" s="30" t="s">
        <v>43</v>
      </c>
      <c r="U6" s="30" t="s">
        <v>45</v>
      </c>
      <c r="V6" s="30" t="s">
        <v>27</v>
      </c>
      <c r="W6" s="30" t="s">
        <v>29</v>
      </c>
      <c r="X6" s="30"/>
      <c r="Y6" s="30" t="s">
        <v>161</v>
      </c>
      <c r="Z6" s="51"/>
      <c r="AA6" s="30" t="b">
        <f t="shared" si="0"/>
        <v>0</v>
      </c>
      <c r="AB6" s="30" t="b">
        <f t="shared" si="1"/>
        <v>0</v>
      </c>
      <c r="AC6" s="30" t="b">
        <f>IF(ISBLANK(D6),"FALSE",ISNA(VLOOKUP($D6,'Traceability Matrix'!D$2:D$500,1,FALSE)))</f>
        <v>0</v>
      </c>
      <c r="AD6" s="51"/>
      <c r="AE6" s="51"/>
      <c r="AF6" s="51"/>
      <c r="AG6" s="51"/>
      <c r="AH6" s="51"/>
      <c r="AI6" s="51"/>
      <c r="AJ6" s="51"/>
      <c r="AK6" s="51"/>
      <c r="AL6" s="51"/>
      <c r="AM6" s="51"/>
      <c r="AN6" s="51"/>
      <c r="AO6" s="51"/>
      <c r="AP6" s="51"/>
      <c r="AQ6" s="51"/>
      <c r="AR6" s="51"/>
      <c r="AS6" s="51"/>
      <c r="AT6" s="51"/>
      <c r="AU6" s="51"/>
      <c r="AV6" s="51"/>
      <c r="AW6" s="51"/>
      <c r="AX6" s="51"/>
    </row>
    <row r="7" spans="1:50" s="27" customFormat="1" ht="79.5" customHeight="1" x14ac:dyDescent="0.2">
      <c r="A7" s="28"/>
      <c r="B7" s="28"/>
      <c r="C7" s="28"/>
      <c r="D7" s="57" t="s">
        <v>85</v>
      </c>
      <c r="E7" s="57" t="s">
        <v>79</v>
      </c>
      <c r="F7" s="29" t="s">
        <v>43</v>
      </c>
      <c r="G7" s="29" t="s">
        <v>11</v>
      </c>
      <c r="H7" s="54" t="s">
        <v>8</v>
      </c>
      <c r="I7" s="29"/>
      <c r="J7" s="26" t="s">
        <v>193</v>
      </c>
      <c r="K7" s="55" t="s">
        <v>12</v>
      </c>
      <c r="L7" s="55" t="s">
        <v>17</v>
      </c>
      <c r="M7" s="54" t="s">
        <v>17</v>
      </c>
      <c r="N7" s="30" t="s">
        <v>19</v>
      </c>
      <c r="O7" s="54" t="s">
        <v>8</v>
      </c>
      <c r="P7" s="54" t="s">
        <v>8</v>
      </c>
      <c r="Q7" s="56" t="s">
        <v>8</v>
      </c>
      <c r="R7" s="28"/>
      <c r="S7" s="53"/>
      <c r="T7" s="30" t="s">
        <v>235</v>
      </c>
      <c r="U7" s="30" t="s">
        <v>46</v>
      </c>
      <c r="V7" s="30" t="s">
        <v>28</v>
      </c>
      <c r="W7" s="30"/>
      <c r="X7" s="30"/>
      <c r="Y7" s="30"/>
      <c r="Z7" s="51"/>
      <c r="AA7" s="30" t="b">
        <f t="shared" si="0"/>
        <v>0</v>
      </c>
      <c r="AB7" s="30" t="b">
        <f t="shared" si="1"/>
        <v>0</v>
      </c>
      <c r="AC7" s="30" t="b">
        <f>IF(ISBLANK(D7),"FALSE",ISNA(VLOOKUP($D7,'Traceability Matrix'!D$2:D$500,1,FALSE)))</f>
        <v>0</v>
      </c>
      <c r="AD7" s="51"/>
      <c r="AE7" s="51"/>
      <c r="AF7" s="51"/>
      <c r="AG7" s="51"/>
      <c r="AH7" s="51"/>
      <c r="AI7" s="51"/>
      <c r="AJ7" s="51"/>
      <c r="AK7" s="51"/>
      <c r="AL7" s="51"/>
      <c r="AM7" s="51"/>
      <c r="AN7" s="51"/>
      <c r="AO7" s="51"/>
      <c r="AP7" s="51"/>
      <c r="AQ7" s="51"/>
      <c r="AR7" s="51"/>
      <c r="AS7" s="51"/>
      <c r="AT7" s="51"/>
      <c r="AU7" s="51"/>
      <c r="AV7" s="51"/>
      <c r="AW7" s="51"/>
      <c r="AX7" s="51"/>
    </row>
    <row r="8" spans="1:50" ht="45" customHeight="1" x14ac:dyDescent="0.2">
      <c r="A8" s="28"/>
      <c r="B8" s="28"/>
      <c r="C8" s="112" t="s">
        <v>121</v>
      </c>
      <c r="D8" s="57" t="s">
        <v>86</v>
      </c>
      <c r="E8" s="57" t="s">
        <v>68</v>
      </c>
      <c r="F8" s="29" t="s">
        <v>43</v>
      </c>
      <c r="G8" s="29" t="s">
        <v>11</v>
      </c>
      <c r="H8" s="54" t="s">
        <v>17</v>
      </c>
      <c r="I8" s="29" t="s">
        <v>26</v>
      </c>
      <c r="J8" s="26" t="s">
        <v>193</v>
      </c>
      <c r="K8" s="55" t="s">
        <v>12</v>
      </c>
      <c r="L8" s="55" t="s">
        <v>17</v>
      </c>
      <c r="M8" s="54" t="s">
        <v>17</v>
      </c>
      <c r="N8" s="30" t="s">
        <v>19</v>
      </c>
      <c r="O8" s="54" t="s">
        <v>8</v>
      </c>
      <c r="P8" s="54" t="s">
        <v>8</v>
      </c>
      <c r="Q8" s="56" t="s">
        <v>8</v>
      </c>
      <c r="R8" s="28"/>
      <c r="S8" s="48"/>
      <c r="T8" s="32"/>
      <c r="U8" s="30" t="s">
        <v>141</v>
      </c>
      <c r="V8" s="32"/>
      <c r="W8" s="32"/>
      <c r="X8" s="32"/>
      <c r="Y8" s="32"/>
      <c r="AA8" s="30" t="b">
        <f t="shared" si="0"/>
        <v>0</v>
      </c>
      <c r="AB8" s="30" t="b">
        <f t="shared" si="1"/>
        <v>0</v>
      </c>
      <c r="AC8" s="30" t="b">
        <f>IF(ISBLANK(D8),"FALSE",ISNA(VLOOKUP($D8,'Traceability Matrix'!D$2:D$500,1,FALSE)))</f>
        <v>0</v>
      </c>
    </row>
    <row r="9" spans="1:50" ht="40.5" customHeight="1" x14ac:dyDescent="0.2">
      <c r="A9" s="28"/>
      <c r="B9" s="28"/>
      <c r="C9" s="112" t="s">
        <v>239</v>
      </c>
      <c r="D9" s="57" t="s">
        <v>87</v>
      </c>
      <c r="E9" s="57" t="s">
        <v>67</v>
      </c>
      <c r="F9" s="29" t="s">
        <v>43</v>
      </c>
      <c r="G9" s="29" t="s">
        <v>11</v>
      </c>
      <c r="H9" s="54" t="s">
        <v>17</v>
      </c>
      <c r="I9" s="29" t="s">
        <v>26</v>
      </c>
      <c r="J9" s="26" t="s">
        <v>193</v>
      </c>
      <c r="K9" s="55" t="s">
        <v>12</v>
      </c>
      <c r="L9" s="55" t="s">
        <v>17</v>
      </c>
      <c r="M9" s="54" t="s">
        <v>17</v>
      </c>
      <c r="N9" s="30" t="s">
        <v>19</v>
      </c>
      <c r="O9" s="54" t="s">
        <v>8</v>
      </c>
      <c r="P9" s="54" t="s">
        <v>8</v>
      </c>
      <c r="Q9" s="56" t="s">
        <v>8</v>
      </c>
      <c r="R9" s="28"/>
      <c r="S9" s="48"/>
      <c r="T9" s="32"/>
      <c r="U9" s="110" t="s">
        <v>229</v>
      </c>
      <c r="V9" s="32"/>
      <c r="W9" s="32"/>
      <c r="X9" s="32"/>
      <c r="Y9" s="32"/>
      <c r="AA9" s="30" t="b">
        <f t="shared" si="0"/>
        <v>0</v>
      </c>
      <c r="AB9" s="30" t="b">
        <f t="shared" si="1"/>
        <v>0</v>
      </c>
      <c r="AC9" s="30" t="b">
        <f>IF(ISBLANK(D9),"FALSE",ISNA(VLOOKUP($D9,'Traceability Matrix'!D$2:D$500,1,FALSE)))</f>
        <v>0</v>
      </c>
    </row>
    <row r="10" spans="1:50" ht="68.25" customHeight="1" x14ac:dyDescent="0.2">
      <c r="A10" s="28"/>
      <c r="B10" s="28"/>
      <c r="C10" s="112" t="s">
        <v>124</v>
      </c>
      <c r="D10" s="57" t="s">
        <v>88</v>
      </c>
      <c r="E10" s="28" t="s">
        <v>69</v>
      </c>
      <c r="F10" s="29" t="s">
        <v>43</v>
      </c>
      <c r="G10" s="29" t="s">
        <v>11</v>
      </c>
      <c r="H10" s="54" t="s">
        <v>17</v>
      </c>
      <c r="I10" s="29" t="s">
        <v>26</v>
      </c>
      <c r="J10" s="26" t="s">
        <v>193</v>
      </c>
      <c r="K10" s="55" t="s">
        <v>12</v>
      </c>
      <c r="L10" s="55" t="s">
        <v>17</v>
      </c>
      <c r="M10" s="54" t="s">
        <v>8</v>
      </c>
      <c r="N10" s="30" t="s">
        <v>18</v>
      </c>
      <c r="O10" s="54" t="s">
        <v>8</v>
      </c>
      <c r="P10" s="54" t="s">
        <v>8</v>
      </c>
      <c r="Q10" s="56" t="s">
        <v>8</v>
      </c>
      <c r="R10" s="28"/>
      <c r="S10" s="48"/>
      <c r="T10" s="32"/>
      <c r="U10" s="32"/>
      <c r="V10" s="32"/>
      <c r="W10" s="32"/>
      <c r="X10" s="32"/>
      <c r="Y10" s="32"/>
      <c r="AA10" s="30" t="b">
        <f t="shared" si="0"/>
        <v>0</v>
      </c>
      <c r="AB10" s="30" t="b">
        <f t="shared" si="1"/>
        <v>0</v>
      </c>
      <c r="AC10" s="30" t="b">
        <f>IF(ISBLANK(D10),"FALSE",ISNA(VLOOKUP($D10,'Traceability Matrix'!D$2:D$500,1,FALSE)))</f>
        <v>0</v>
      </c>
    </row>
    <row r="11" spans="1:50" ht="42" customHeight="1" x14ac:dyDescent="0.2">
      <c r="A11" s="28"/>
      <c r="B11" s="28"/>
      <c r="C11" s="28"/>
      <c r="D11" s="57" t="s">
        <v>89</v>
      </c>
      <c r="E11" s="28" t="s">
        <v>117</v>
      </c>
      <c r="F11" s="29" t="s">
        <v>43</v>
      </c>
      <c r="G11" s="29" t="s">
        <v>11</v>
      </c>
      <c r="H11" s="54" t="s">
        <v>8</v>
      </c>
      <c r="I11" s="29"/>
      <c r="J11" s="26" t="s">
        <v>193</v>
      </c>
      <c r="K11" s="55" t="s">
        <v>12</v>
      </c>
      <c r="L11" s="55" t="s">
        <v>17</v>
      </c>
      <c r="M11" s="54" t="s">
        <v>17</v>
      </c>
      <c r="N11" s="30" t="s">
        <v>19</v>
      </c>
      <c r="O11" s="54" t="s">
        <v>8</v>
      </c>
      <c r="P11" s="54" t="s">
        <v>8</v>
      </c>
      <c r="Q11" s="56" t="s">
        <v>8</v>
      </c>
      <c r="R11" s="28"/>
      <c r="S11" s="48"/>
      <c r="T11" s="32"/>
      <c r="U11" s="32"/>
      <c r="V11" s="32"/>
      <c r="W11" s="32"/>
      <c r="X11" s="32"/>
      <c r="Y11" s="32"/>
      <c r="AA11" s="30" t="b">
        <f t="shared" si="0"/>
        <v>0</v>
      </c>
      <c r="AB11" s="30" t="b">
        <f t="shared" si="1"/>
        <v>0</v>
      </c>
      <c r="AC11" s="30" t="b">
        <f>IF(ISBLANK(D11),"FALSE",ISNA(VLOOKUP($D11,'Traceability Matrix'!D$2:D$500,1,FALSE)))</f>
        <v>0</v>
      </c>
    </row>
    <row r="12" spans="1:50" ht="69" customHeight="1" x14ac:dyDescent="0.2">
      <c r="A12" s="28"/>
      <c r="B12" s="28"/>
      <c r="C12" s="28"/>
      <c r="D12" s="57" t="s">
        <v>90</v>
      </c>
      <c r="E12" s="28" t="s">
        <v>71</v>
      </c>
      <c r="F12" s="29" t="s">
        <v>43</v>
      </c>
      <c r="G12" s="29" t="s">
        <v>11</v>
      </c>
      <c r="H12" s="54" t="s">
        <v>8</v>
      </c>
      <c r="I12" s="29"/>
      <c r="J12" s="26" t="s">
        <v>193</v>
      </c>
      <c r="K12" s="55" t="s">
        <v>12</v>
      </c>
      <c r="L12" s="55" t="s">
        <v>17</v>
      </c>
      <c r="M12" s="54" t="s">
        <v>17</v>
      </c>
      <c r="N12" s="30" t="s">
        <v>19</v>
      </c>
      <c r="O12" s="54" t="s">
        <v>8</v>
      </c>
      <c r="P12" s="54" t="s">
        <v>8</v>
      </c>
      <c r="Q12" s="56" t="s">
        <v>8</v>
      </c>
      <c r="R12" s="28"/>
      <c r="S12" s="48"/>
      <c r="T12" s="32"/>
      <c r="U12" s="32"/>
      <c r="V12" s="32"/>
      <c r="W12" s="32"/>
      <c r="X12" s="32"/>
      <c r="Y12" s="32"/>
      <c r="AA12" s="30" t="b">
        <f t="shared" si="0"/>
        <v>0</v>
      </c>
      <c r="AB12" s="30" t="b">
        <f t="shared" si="1"/>
        <v>0</v>
      </c>
      <c r="AC12" s="30" t="b">
        <f>IF(ISBLANK(D12),"FALSE",ISNA(VLOOKUP($D12,'Traceability Matrix'!D$2:D$500,1,FALSE)))</f>
        <v>0</v>
      </c>
    </row>
    <row r="13" spans="1:50" ht="54.75" customHeight="1" x14ac:dyDescent="0.2">
      <c r="A13" s="28"/>
      <c r="B13" s="28"/>
      <c r="C13" s="28"/>
      <c r="D13" s="57" t="s">
        <v>91</v>
      </c>
      <c r="E13" s="28" t="s">
        <v>78</v>
      </c>
      <c r="F13" s="29" t="s">
        <v>43</v>
      </c>
      <c r="G13" s="29" t="s">
        <v>11</v>
      </c>
      <c r="H13" s="54" t="s">
        <v>8</v>
      </c>
      <c r="I13" s="29"/>
      <c r="J13" s="26" t="s">
        <v>193</v>
      </c>
      <c r="K13" s="55" t="s">
        <v>12</v>
      </c>
      <c r="L13" s="55" t="s">
        <v>17</v>
      </c>
      <c r="M13" s="54" t="s">
        <v>17</v>
      </c>
      <c r="N13" s="30" t="s">
        <v>19</v>
      </c>
      <c r="O13" s="54" t="s">
        <v>8</v>
      </c>
      <c r="P13" s="54" t="s">
        <v>8</v>
      </c>
      <c r="Q13" s="56" t="s">
        <v>8</v>
      </c>
      <c r="R13" s="28"/>
      <c r="S13" s="46"/>
      <c r="T13" s="41"/>
      <c r="U13" s="41"/>
      <c r="V13" s="41"/>
      <c r="W13" s="41"/>
      <c r="X13" s="41"/>
      <c r="Y13" s="41"/>
      <c r="AA13" s="30" t="b">
        <f t="shared" si="0"/>
        <v>0</v>
      </c>
      <c r="AB13" s="30" t="b">
        <f t="shared" si="1"/>
        <v>0</v>
      </c>
      <c r="AC13" s="30" t="b">
        <f>IF(ISBLANK(D13),"FALSE",ISNA(VLOOKUP($D13,'Traceability Matrix'!D$2:D$500,1,FALSE)))</f>
        <v>0</v>
      </c>
    </row>
    <row r="14" spans="1:50" ht="96.75" customHeight="1" x14ac:dyDescent="0.2">
      <c r="A14" s="28"/>
      <c r="B14" s="28"/>
      <c r="C14" s="28"/>
      <c r="D14" s="57" t="s">
        <v>92</v>
      </c>
      <c r="E14" s="28" t="s">
        <v>116</v>
      </c>
      <c r="F14" s="29" t="s">
        <v>43</v>
      </c>
      <c r="G14" s="29" t="s">
        <v>11</v>
      </c>
      <c r="H14" s="54" t="s">
        <v>8</v>
      </c>
      <c r="I14" s="29"/>
      <c r="J14" s="26" t="s">
        <v>193</v>
      </c>
      <c r="K14" s="55" t="s">
        <v>12</v>
      </c>
      <c r="L14" s="55" t="s">
        <v>17</v>
      </c>
      <c r="M14" s="54" t="s">
        <v>17</v>
      </c>
      <c r="N14" s="30" t="s">
        <v>19</v>
      </c>
      <c r="O14" s="54" t="s">
        <v>8</v>
      </c>
      <c r="P14" s="54" t="s">
        <v>8</v>
      </c>
      <c r="Q14" s="56" t="s">
        <v>8</v>
      </c>
      <c r="R14" s="28"/>
      <c r="S14" s="48"/>
      <c r="T14" s="32"/>
      <c r="U14" s="32"/>
      <c r="V14" s="32"/>
      <c r="W14" s="32"/>
      <c r="X14" s="32"/>
      <c r="Y14" s="32"/>
      <c r="AA14" s="30" t="b">
        <f t="shared" si="0"/>
        <v>0</v>
      </c>
      <c r="AB14" s="30" t="b">
        <f t="shared" si="1"/>
        <v>0</v>
      </c>
      <c r="AC14" s="30" t="b">
        <f>IF(ISBLANK(D14),"FALSE",ISNA(VLOOKUP($D14,'Traceability Matrix'!D$2:D$500,1,FALSE)))</f>
        <v>0</v>
      </c>
    </row>
    <row r="15" spans="1:50" ht="78" customHeight="1" x14ac:dyDescent="0.2">
      <c r="A15" s="28"/>
      <c r="B15" s="28"/>
      <c r="C15" s="28"/>
      <c r="D15" s="57" t="s">
        <v>93</v>
      </c>
      <c r="E15" s="28" t="s">
        <v>70</v>
      </c>
      <c r="F15" s="29" t="s">
        <v>43</v>
      </c>
      <c r="G15" s="29" t="s">
        <v>11</v>
      </c>
      <c r="H15" s="54" t="s">
        <v>8</v>
      </c>
      <c r="I15" s="29"/>
      <c r="J15" s="26" t="s">
        <v>193</v>
      </c>
      <c r="K15" s="55" t="s">
        <v>12</v>
      </c>
      <c r="L15" s="55" t="s">
        <v>17</v>
      </c>
      <c r="M15" s="54" t="s">
        <v>17</v>
      </c>
      <c r="N15" s="30" t="s">
        <v>19</v>
      </c>
      <c r="O15" s="54" t="s">
        <v>8</v>
      </c>
      <c r="P15" s="54" t="s">
        <v>8</v>
      </c>
      <c r="Q15" s="56" t="s">
        <v>8</v>
      </c>
      <c r="R15" s="28"/>
      <c r="S15" s="48"/>
      <c r="T15" s="32"/>
      <c r="U15" s="32"/>
      <c r="V15" s="32"/>
      <c r="W15" s="32"/>
      <c r="X15" s="32"/>
      <c r="Y15" s="32"/>
      <c r="AA15" s="30" t="b">
        <f t="shared" si="0"/>
        <v>0</v>
      </c>
      <c r="AB15" s="30" t="b">
        <f t="shared" si="1"/>
        <v>0</v>
      </c>
      <c r="AC15" s="30" t="b">
        <f>IF(ISBLANK(D15),"FALSE",ISNA(VLOOKUP($D15,'Traceability Matrix'!D$2:D$500,1,FALSE)))</f>
        <v>0</v>
      </c>
    </row>
    <row r="16" spans="1:50" ht="56.25" customHeight="1" x14ac:dyDescent="0.2">
      <c r="A16" s="28"/>
      <c r="B16" s="28"/>
      <c r="C16" s="28"/>
      <c r="D16" s="57" t="s">
        <v>94</v>
      </c>
      <c r="E16" s="28" t="s">
        <v>105</v>
      </c>
      <c r="F16" s="29" t="s">
        <v>235</v>
      </c>
      <c r="G16" s="29" t="s">
        <v>45</v>
      </c>
      <c r="H16" s="54" t="s">
        <v>8</v>
      </c>
      <c r="I16" s="29"/>
      <c r="J16" s="26" t="s">
        <v>236</v>
      </c>
      <c r="K16" s="55" t="s">
        <v>12</v>
      </c>
      <c r="L16" s="55" t="s">
        <v>17</v>
      </c>
      <c r="M16" s="54" t="s">
        <v>17</v>
      </c>
      <c r="N16" s="30" t="s">
        <v>161</v>
      </c>
      <c r="O16" s="54" t="s">
        <v>8</v>
      </c>
      <c r="P16" s="54" t="s">
        <v>8</v>
      </c>
      <c r="Q16" s="56" t="s">
        <v>8</v>
      </c>
      <c r="R16" s="28" t="s">
        <v>101</v>
      </c>
      <c r="S16" s="48"/>
      <c r="T16" s="32"/>
      <c r="U16" s="32"/>
      <c r="V16" s="32"/>
      <c r="W16" s="32"/>
      <c r="X16" s="32"/>
      <c r="Y16" s="32"/>
      <c r="AA16" s="30" t="b">
        <f t="shared" si="0"/>
        <v>0</v>
      </c>
      <c r="AB16" s="30" t="b">
        <f t="shared" si="1"/>
        <v>0</v>
      </c>
      <c r="AC16" s="30" t="b">
        <f>IF(ISBLANK(D16),"FALSE",ISNA(VLOOKUP($D16,'Traceability Matrix'!D$2:D$500,1,FALSE)))</f>
        <v>0</v>
      </c>
    </row>
    <row r="17" spans="1:29" ht="42" customHeight="1" x14ac:dyDescent="0.2">
      <c r="A17" s="28"/>
      <c r="B17" s="28"/>
      <c r="C17" s="28"/>
      <c r="D17" s="57" t="s">
        <v>95</v>
      </c>
      <c r="E17" s="28" t="s">
        <v>72</v>
      </c>
      <c r="F17" s="29" t="s">
        <v>43</v>
      </c>
      <c r="G17" s="29" t="s">
        <v>11</v>
      </c>
      <c r="H17" s="54" t="s">
        <v>8</v>
      </c>
      <c r="I17" s="29"/>
      <c r="J17" s="26" t="s">
        <v>193</v>
      </c>
      <c r="K17" s="55" t="s">
        <v>12</v>
      </c>
      <c r="L17" s="55" t="s">
        <v>17</v>
      </c>
      <c r="M17" s="54" t="s">
        <v>17</v>
      </c>
      <c r="N17" s="30" t="s">
        <v>19</v>
      </c>
      <c r="O17" s="54" t="s">
        <v>8</v>
      </c>
      <c r="P17" s="54" t="s">
        <v>8</v>
      </c>
      <c r="Q17" s="56" t="s">
        <v>8</v>
      </c>
      <c r="R17" s="28"/>
      <c r="S17" s="48"/>
      <c r="T17" s="32"/>
      <c r="U17" s="32"/>
      <c r="V17" s="32"/>
      <c r="W17" s="32"/>
      <c r="X17" s="32"/>
      <c r="Y17" s="32"/>
      <c r="AA17" s="30" t="b">
        <f t="shared" si="0"/>
        <v>0</v>
      </c>
      <c r="AB17" s="30" t="b">
        <f t="shared" si="1"/>
        <v>0</v>
      </c>
      <c r="AC17" s="30" t="b">
        <f>IF(ISBLANK(D17),"FALSE",ISNA(VLOOKUP($D17,'Traceability Matrix'!D$2:D$500,1,FALSE)))</f>
        <v>0</v>
      </c>
    </row>
    <row r="18" spans="1:29" ht="49.5" customHeight="1" x14ac:dyDescent="0.2">
      <c r="A18" s="86"/>
      <c r="B18" s="86"/>
      <c r="C18" s="36" t="s">
        <v>127</v>
      </c>
      <c r="D18" s="57" t="s">
        <v>96</v>
      </c>
      <c r="E18" s="28" t="s">
        <v>73</v>
      </c>
      <c r="F18" s="29" t="s">
        <v>43</v>
      </c>
      <c r="G18" s="29" t="s">
        <v>11</v>
      </c>
      <c r="H18" s="54" t="s">
        <v>17</v>
      </c>
      <c r="I18" s="29" t="s">
        <v>26</v>
      </c>
      <c r="J18" s="26" t="s">
        <v>193</v>
      </c>
      <c r="K18" s="55" t="s">
        <v>12</v>
      </c>
      <c r="L18" s="55" t="s">
        <v>17</v>
      </c>
      <c r="M18" s="54" t="s">
        <v>8</v>
      </c>
      <c r="N18" s="30" t="s">
        <v>18</v>
      </c>
      <c r="O18" s="54" t="s">
        <v>8</v>
      </c>
      <c r="P18" s="54" t="s">
        <v>8</v>
      </c>
      <c r="Q18" s="56" t="s">
        <v>8</v>
      </c>
      <c r="R18" s="87"/>
      <c r="S18" s="48"/>
      <c r="T18" s="32"/>
      <c r="U18" s="32"/>
      <c r="V18" s="32"/>
      <c r="W18" s="32"/>
      <c r="X18" s="32"/>
      <c r="Y18" s="32"/>
      <c r="AA18" s="30" t="b">
        <f t="shared" si="0"/>
        <v>0</v>
      </c>
      <c r="AB18" s="30" t="b">
        <f t="shared" si="1"/>
        <v>0</v>
      </c>
      <c r="AC18" s="30" t="b">
        <f>IF(ISBLANK(D18),"FALSE",ISNA(VLOOKUP($D18,'Traceability Matrix'!D$2:D$500,1,FALSE)))</f>
        <v>0</v>
      </c>
    </row>
    <row r="19" spans="1:29" ht="51.75" customHeight="1" x14ac:dyDescent="0.2">
      <c r="A19" s="86"/>
      <c r="B19" s="86"/>
      <c r="C19" s="36" t="s">
        <v>127</v>
      </c>
      <c r="D19" s="57" t="s">
        <v>97</v>
      </c>
      <c r="E19" s="28" t="s">
        <v>74</v>
      </c>
      <c r="F19" s="29" t="s">
        <v>43</v>
      </c>
      <c r="G19" s="29" t="s">
        <v>11</v>
      </c>
      <c r="H19" s="54" t="s">
        <v>17</v>
      </c>
      <c r="I19" s="29" t="s">
        <v>26</v>
      </c>
      <c r="J19" s="26" t="s">
        <v>193</v>
      </c>
      <c r="K19" s="55" t="s">
        <v>12</v>
      </c>
      <c r="L19" s="55" t="s">
        <v>17</v>
      </c>
      <c r="M19" s="54" t="s">
        <v>8</v>
      </c>
      <c r="N19" s="30" t="s">
        <v>18</v>
      </c>
      <c r="O19" s="54" t="s">
        <v>8</v>
      </c>
      <c r="P19" s="54" t="s">
        <v>8</v>
      </c>
      <c r="Q19" s="56" t="s">
        <v>8</v>
      </c>
      <c r="R19" s="28"/>
      <c r="S19" s="48"/>
      <c r="T19" s="32"/>
      <c r="U19" s="32"/>
      <c r="V19" s="32"/>
      <c r="W19" s="32"/>
      <c r="X19" s="32"/>
      <c r="Y19" s="32"/>
      <c r="AA19" s="30" t="b">
        <f t="shared" si="0"/>
        <v>0</v>
      </c>
      <c r="AB19" s="30" t="b">
        <f t="shared" si="1"/>
        <v>0</v>
      </c>
      <c r="AC19" s="30" t="b">
        <f>IF(ISBLANK(D19),"FALSE",ISNA(VLOOKUP($D19,'Traceability Matrix'!D$2:D$500,1,FALSE)))</f>
        <v>0</v>
      </c>
    </row>
    <row r="20" spans="1:29" ht="40.5" customHeight="1" x14ac:dyDescent="0.2">
      <c r="A20" s="86"/>
      <c r="B20" s="86"/>
      <c r="C20" s="86"/>
      <c r="D20" s="57" t="s">
        <v>98</v>
      </c>
      <c r="E20" s="28" t="s">
        <v>75</v>
      </c>
      <c r="F20" s="29" t="s">
        <v>43</v>
      </c>
      <c r="G20" s="29" t="s">
        <v>11</v>
      </c>
      <c r="H20" s="54" t="s">
        <v>8</v>
      </c>
      <c r="I20" s="29"/>
      <c r="J20" s="26" t="s">
        <v>193</v>
      </c>
      <c r="K20" s="55" t="s">
        <v>12</v>
      </c>
      <c r="L20" s="55" t="s">
        <v>17</v>
      </c>
      <c r="M20" s="54" t="s">
        <v>8</v>
      </c>
      <c r="N20" s="30" t="s">
        <v>18</v>
      </c>
      <c r="O20" s="54" t="s">
        <v>8</v>
      </c>
      <c r="P20" s="54" t="s">
        <v>8</v>
      </c>
      <c r="Q20" s="56" t="s">
        <v>8</v>
      </c>
      <c r="R20" s="87"/>
      <c r="S20" s="46"/>
      <c r="T20" s="41"/>
      <c r="U20" s="41"/>
      <c r="V20" s="41"/>
      <c r="W20" s="41"/>
      <c r="X20" s="41"/>
      <c r="Y20" s="41"/>
      <c r="AA20" s="30" t="b">
        <f t="shared" si="0"/>
        <v>0</v>
      </c>
      <c r="AB20" s="30" t="b">
        <f t="shared" si="1"/>
        <v>0</v>
      </c>
      <c r="AC20" s="30" t="b">
        <f>IF(ISBLANK(D20),"FALSE",ISNA(VLOOKUP($D20,'Traceability Matrix'!D$2:D$500,1,FALSE)))</f>
        <v>0</v>
      </c>
    </row>
    <row r="21" spans="1:29" ht="42" customHeight="1" x14ac:dyDescent="0.2">
      <c r="A21" s="86"/>
      <c r="B21" s="92"/>
      <c r="C21" s="86"/>
      <c r="D21" s="57" t="s">
        <v>99</v>
      </c>
      <c r="E21" s="28" t="s">
        <v>76</v>
      </c>
      <c r="F21" s="29" t="s">
        <v>43</v>
      </c>
      <c r="G21" s="29" t="s">
        <v>44</v>
      </c>
      <c r="H21" s="54" t="s">
        <v>8</v>
      </c>
      <c r="I21" s="29"/>
      <c r="J21" s="26" t="s">
        <v>193</v>
      </c>
      <c r="K21" s="55" t="s">
        <v>12</v>
      </c>
      <c r="L21" s="55" t="s">
        <v>17</v>
      </c>
      <c r="M21" s="54" t="s">
        <v>8</v>
      </c>
      <c r="N21" s="30" t="s">
        <v>18</v>
      </c>
      <c r="O21" s="54" t="s">
        <v>8</v>
      </c>
      <c r="P21" s="54" t="s">
        <v>8</v>
      </c>
      <c r="Q21" s="56" t="s">
        <v>8</v>
      </c>
      <c r="R21" s="87"/>
      <c r="S21" s="48"/>
      <c r="T21" s="32"/>
      <c r="U21" s="32"/>
      <c r="V21" s="32"/>
      <c r="W21" s="32"/>
      <c r="X21" s="32"/>
      <c r="Y21" s="32"/>
      <c r="AA21" s="30" t="b">
        <f t="shared" si="0"/>
        <v>0</v>
      </c>
      <c r="AB21" s="30" t="b">
        <f t="shared" si="1"/>
        <v>0</v>
      </c>
      <c r="AC21" s="30" t="b">
        <f>IF(ISBLANK(D21),"FALSE",ISNA(VLOOKUP($D21,'Traceability Matrix'!D$2:D$500,1,FALSE)))</f>
        <v>0</v>
      </c>
    </row>
    <row r="22" spans="1:29" ht="39" customHeight="1" x14ac:dyDescent="0.2">
      <c r="A22" s="86"/>
      <c r="B22" s="86"/>
      <c r="C22" s="86"/>
      <c r="D22" s="57" t="s">
        <v>102</v>
      </c>
      <c r="E22" s="28" t="s">
        <v>154</v>
      </c>
      <c r="F22" s="29" t="s">
        <v>43</v>
      </c>
      <c r="G22" s="29" t="s">
        <v>45</v>
      </c>
      <c r="H22" s="54" t="s">
        <v>8</v>
      </c>
      <c r="I22" s="29"/>
      <c r="J22" s="26" t="s">
        <v>193</v>
      </c>
      <c r="K22" s="55" t="s">
        <v>12</v>
      </c>
      <c r="L22" s="55" t="s">
        <v>17</v>
      </c>
      <c r="M22" s="54" t="s">
        <v>17</v>
      </c>
      <c r="N22" s="30" t="s">
        <v>19</v>
      </c>
      <c r="O22" s="54" t="s">
        <v>8</v>
      </c>
      <c r="P22" s="54" t="s">
        <v>8</v>
      </c>
      <c r="Q22" s="56" t="s">
        <v>8</v>
      </c>
      <c r="R22" s="87" t="s">
        <v>101</v>
      </c>
      <c r="S22" s="48"/>
      <c r="T22" s="32"/>
      <c r="U22" s="32"/>
      <c r="V22" s="32"/>
      <c r="W22" s="32"/>
      <c r="X22" s="32"/>
      <c r="Y22" s="32"/>
      <c r="AA22" s="30" t="b">
        <f t="shared" si="0"/>
        <v>0</v>
      </c>
      <c r="AB22" s="30" t="b">
        <f t="shared" si="1"/>
        <v>0</v>
      </c>
      <c r="AC22" s="30" t="b">
        <f>IF(ISBLANK(D22),"FALSE",ISNA(VLOOKUP($D22,'Traceability Matrix'!D$2:D$500,1,FALSE)))</f>
        <v>0</v>
      </c>
    </row>
    <row r="23" spans="1:29" ht="26.25" customHeight="1" x14ac:dyDescent="0.2">
      <c r="A23" s="86"/>
      <c r="B23" s="86"/>
      <c r="C23" s="86"/>
      <c r="D23" s="57" t="s">
        <v>103</v>
      </c>
      <c r="E23" s="28" t="s">
        <v>106</v>
      </c>
      <c r="F23" s="29" t="s">
        <v>43</v>
      </c>
      <c r="G23" s="29" t="s">
        <v>11</v>
      </c>
      <c r="H23" s="54" t="s">
        <v>8</v>
      </c>
      <c r="I23" s="29"/>
      <c r="J23" s="26" t="s">
        <v>193</v>
      </c>
      <c r="K23" s="55" t="s">
        <v>12</v>
      </c>
      <c r="L23" s="55" t="s">
        <v>17</v>
      </c>
      <c r="M23" s="54" t="s">
        <v>17</v>
      </c>
      <c r="N23" s="30" t="s">
        <v>19</v>
      </c>
      <c r="O23" s="54" t="s">
        <v>8</v>
      </c>
      <c r="P23" s="54" t="s">
        <v>8</v>
      </c>
      <c r="Q23" s="56" t="s">
        <v>8</v>
      </c>
      <c r="R23" s="87" t="s">
        <v>104</v>
      </c>
      <c r="S23" s="46"/>
      <c r="T23" s="41"/>
      <c r="U23" s="41"/>
      <c r="V23" s="41"/>
      <c r="W23" s="41"/>
      <c r="X23" s="41"/>
      <c r="Y23" s="41"/>
      <c r="AA23" s="30" t="b">
        <f t="shared" si="0"/>
        <v>0</v>
      </c>
      <c r="AB23" s="30" t="b">
        <f t="shared" si="1"/>
        <v>0</v>
      </c>
      <c r="AC23" s="30" t="b">
        <f>IF(ISBLANK(D23),"FALSE",ISNA(VLOOKUP($D23,'Traceability Matrix'!D$2:D$500,1,FALSE)))</f>
        <v>0</v>
      </c>
    </row>
    <row r="24" spans="1:29" ht="39" customHeight="1" x14ac:dyDescent="0.2">
      <c r="A24" s="86"/>
      <c r="B24" s="92"/>
      <c r="C24" s="86"/>
      <c r="D24" s="57" t="s">
        <v>108</v>
      </c>
      <c r="E24" s="91" t="s">
        <v>107</v>
      </c>
      <c r="F24" s="29" t="s">
        <v>43</v>
      </c>
      <c r="G24" s="29" t="s">
        <v>44</v>
      </c>
      <c r="H24" s="54" t="s">
        <v>8</v>
      </c>
      <c r="I24" s="29"/>
      <c r="J24" s="26" t="s">
        <v>193</v>
      </c>
      <c r="K24" s="55" t="s">
        <v>12</v>
      </c>
      <c r="L24" s="55" t="s">
        <v>17</v>
      </c>
      <c r="M24" s="54" t="s">
        <v>8</v>
      </c>
      <c r="N24" s="30" t="s">
        <v>18</v>
      </c>
      <c r="O24" s="54" t="s">
        <v>8</v>
      </c>
      <c r="P24" s="54" t="s">
        <v>8</v>
      </c>
      <c r="Q24" s="56" t="s">
        <v>8</v>
      </c>
      <c r="R24" s="87" t="s">
        <v>118</v>
      </c>
      <c r="S24" s="46"/>
      <c r="T24" s="41"/>
      <c r="U24" s="41"/>
      <c r="V24" s="41"/>
      <c r="W24" s="41"/>
      <c r="X24" s="41"/>
      <c r="Y24" s="41"/>
      <c r="AA24" s="30" t="b">
        <f t="shared" si="0"/>
        <v>0</v>
      </c>
      <c r="AB24" s="30" t="b">
        <f t="shared" si="1"/>
        <v>0</v>
      </c>
      <c r="AC24" s="30" t="b">
        <f>IF(ISBLANK(D24),"FALSE",ISNA(VLOOKUP($D24,'Traceability Matrix'!D$2:D$500,1,FALSE)))</f>
        <v>0</v>
      </c>
    </row>
    <row r="25" spans="1:29" ht="63.75" customHeight="1" x14ac:dyDescent="0.2">
      <c r="A25" s="86"/>
      <c r="B25" s="86"/>
      <c r="C25" s="86"/>
      <c r="D25" s="57" t="s">
        <v>110</v>
      </c>
      <c r="E25" s="28" t="s">
        <v>109</v>
      </c>
      <c r="F25" s="29" t="s">
        <v>43</v>
      </c>
      <c r="G25" s="29" t="s">
        <v>44</v>
      </c>
      <c r="H25" s="54" t="s">
        <v>8</v>
      </c>
      <c r="I25" s="29"/>
      <c r="J25" s="26" t="s">
        <v>193</v>
      </c>
      <c r="K25" s="55" t="s">
        <v>12</v>
      </c>
      <c r="L25" s="55" t="s">
        <v>17</v>
      </c>
      <c r="M25" s="54" t="s">
        <v>17</v>
      </c>
      <c r="N25" s="30" t="s">
        <v>19</v>
      </c>
      <c r="O25" s="54" t="s">
        <v>8</v>
      </c>
      <c r="P25" s="54" t="s">
        <v>8</v>
      </c>
      <c r="Q25" s="56" t="s">
        <v>8</v>
      </c>
      <c r="R25" s="87" t="s">
        <v>118</v>
      </c>
      <c r="S25" s="48"/>
      <c r="T25" s="32"/>
      <c r="U25" s="32"/>
      <c r="V25" s="32"/>
      <c r="W25" s="32"/>
      <c r="X25" s="32"/>
      <c r="Y25" s="32"/>
      <c r="AA25" s="30" t="b">
        <f t="shared" si="0"/>
        <v>0</v>
      </c>
      <c r="AB25" s="30" t="b">
        <f t="shared" si="1"/>
        <v>0</v>
      </c>
      <c r="AC25" s="30" t="b">
        <f>IF(ISBLANK(D25),"FALSE",ISNA(VLOOKUP($D25,'Traceability Matrix'!D$2:D$500,1,FALSE)))</f>
        <v>0</v>
      </c>
    </row>
    <row r="26" spans="1:29" ht="64.5" customHeight="1" x14ac:dyDescent="0.2">
      <c r="A26" s="86"/>
      <c r="B26" s="86"/>
      <c r="C26" s="86"/>
      <c r="D26" s="57" t="s">
        <v>112</v>
      </c>
      <c r="E26" s="28" t="s">
        <v>111</v>
      </c>
      <c r="F26" s="29" t="s">
        <v>43</v>
      </c>
      <c r="G26" s="29" t="s">
        <v>44</v>
      </c>
      <c r="H26" s="54" t="s">
        <v>8</v>
      </c>
      <c r="I26" s="29"/>
      <c r="J26" s="26" t="s">
        <v>193</v>
      </c>
      <c r="K26" s="55" t="s">
        <v>12</v>
      </c>
      <c r="L26" s="55" t="s">
        <v>17</v>
      </c>
      <c r="M26" s="54" t="s">
        <v>17</v>
      </c>
      <c r="N26" s="30" t="s">
        <v>19</v>
      </c>
      <c r="O26" s="54" t="s">
        <v>8</v>
      </c>
      <c r="P26" s="54" t="s">
        <v>8</v>
      </c>
      <c r="Q26" s="56" t="s">
        <v>8</v>
      </c>
      <c r="R26" s="87" t="s">
        <v>118</v>
      </c>
      <c r="S26" s="48"/>
      <c r="T26" s="32"/>
      <c r="U26" s="32"/>
      <c r="V26" s="32"/>
      <c r="W26" s="32"/>
      <c r="X26" s="32"/>
      <c r="Y26" s="32"/>
      <c r="AA26" s="30" t="b">
        <f t="shared" si="0"/>
        <v>0</v>
      </c>
      <c r="AB26" s="30" t="b">
        <f t="shared" si="1"/>
        <v>0</v>
      </c>
      <c r="AC26" s="30" t="b">
        <f>IF(ISBLANK(D26),"FALSE",ISNA(VLOOKUP($D26,'Traceability Matrix'!D$2:D$500,1,FALSE)))</f>
        <v>0</v>
      </c>
    </row>
    <row r="27" spans="1:29" ht="52.5" customHeight="1" x14ac:dyDescent="0.2">
      <c r="A27" s="86"/>
      <c r="B27" s="86"/>
      <c r="C27" s="86"/>
      <c r="D27" s="57" t="s">
        <v>113</v>
      </c>
      <c r="E27" s="28" t="s">
        <v>155</v>
      </c>
      <c r="F27" s="29" t="s">
        <v>43</v>
      </c>
      <c r="G27" s="29" t="s">
        <v>45</v>
      </c>
      <c r="H27" s="54" t="s">
        <v>8</v>
      </c>
      <c r="I27" s="29"/>
      <c r="J27" s="26" t="s">
        <v>193</v>
      </c>
      <c r="K27" s="55" t="s">
        <v>12</v>
      </c>
      <c r="L27" s="55" t="s">
        <v>17</v>
      </c>
      <c r="M27" s="54" t="s">
        <v>17</v>
      </c>
      <c r="N27" s="30" t="s">
        <v>19</v>
      </c>
      <c r="O27" s="54" t="s">
        <v>8</v>
      </c>
      <c r="P27" s="54" t="s">
        <v>8</v>
      </c>
      <c r="Q27" s="56" t="s">
        <v>8</v>
      </c>
      <c r="R27" s="87" t="s">
        <v>118</v>
      </c>
      <c r="S27" s="48"/>
      <c r="T27" s="32"/>
      <c r="U27" s="32"/>
      <c r="V27" s="32"/>
      <c r="W27" s="32"/>
      <c r="X27" s="32"/>
      <c r="Y27" s="32"/>
      <c r="AA27" s="30" t="b">
        <f t="shared" si="0"/>
        <v>0</v>
      </c>
      <c r="AB27" s="30" t="b">
        <f t="shared" si="1"/>
        <v>0</v>
      </c>
      <c r="AC27" s="30" t="b">
        <f>IF(ISBLANK(D27),"FALSE",ISNA(VLOOKUP($D27,'Traceability Matrix'!D$2:D$500,1,FALSE)))</f>
        <v>0</v>
      </c>
    </row>
    <row r="28" spans="1:29" ht="39.75" customHeight="1" x14ac:dyDescent="0.2">
      <c r="A28" s="86"/>
      <c r="B28" s="86"/>
      <c r="C28" s="86"/>
      <c r="D28" s="57" t="s">
        <v>115</v>
      </c>
      <c r="E28" s="91" t="s">
        <v>114</v>
      </c>
      <c r="F28" s="29" t="s">
        <v>43</v>
      </c>
      <c r="G28" s="29" t="s">
        <v>45</v>
      </c>
      <c r="H28" s="54" t="s">
        <v>8</v>
      </c>
      <c r="I28" s="29"/>
      <c r="J28" s="26" t="s">
        <v>193</v>
      </c>
      <c r="K28" s="55" t="s">
        <v>12</v>
      </c>
      <c r="L28" s="55" t="s">
        <v>17</v>
      </c>
      <c r="M28" s="54" t="s">
        <v>8</v>
      </c>
      <c r="N28" s="30" t="s">
        <v>18</v>
      </c>
      <c r="O28" s="54" t="s">
        <v>8</v>
      </c>
      <c r="P28" s="54" t="s">
        <v>8</v>
      </c>
      <c r="Q28" s="56" t="s">
        <v>8</v>
      </c>
      <c r="R28" s="87" t="s">
        <v>118</v>
      </c>
      <c r="S28" s="48"/>
      <c r="T28" s="32"/>
      <c r="U28" s="32"/>
      <c r="V28" s="32"/>
      <c r="W28" s="32"/>
      <c r="X28" s="32"/>
      <c r="Y28" s="32"/>
      <c r="AA28" s="30" t="b">
        <f t="shared" si="0"/>
        <v>0</v>
      </c>
      <c r="AB28" s="30" t="b">
        <f t="shared" si="1"/>
        <v>0</v>
      </c>
      <c r="AC28" s="30" t="b">
        <f>IF(ISBLANK(D28),"FALSE",ISNA(VLOOKUP($D28,'Traceability Matrix'!D$2:D$500,1,FALSE)))</f>
        <v>0</v>
      </c>
    </row>
    <row r="29" spans="1:29" ht="39.75" customHeight="1" x14ac:dyDescent="0.2">
      <c r="A29" s="86"/>
      <c r="B29" s="92"/>
      <c r="C29" s="86"/>
      <c r="D29" s="57" t="s">
        <v>129</v>
      </c>
      <c r="E29" s="91" t="s">
        <v>146</v>
      </c>
      <c r="F29" s="29" t="s">
        <v>43</v>
      </c>
      <c r="G29" s="29" t="s">
        <v>11</v>
      </c>
      <c r="H29" s="54" t="s">
        <v>8</v>
      </c>
      <c r="I29" s="29"/>
      <c r="J29" s="26" t="s">
        <v>193</v>
      </c>
      <c r="K29" s="55" t="s">
        <v>12</v>
      </c>
      <c r="L29" s="55" t="s">
        <v>17</v>
      </c>
      <c r="M29" s="54" t="s">
        <v>8</v>
      </c>
      <c r="N29" s="30" t="s">
        <v>18</v>
      </c>
      <c r="O29" s="54" t="s">
        <v>8</v>
      </c>
      <c r="P29" s="54" t="s">
        <v>8</v>
      </c>
      <c r="Q29" s="56" t="s">
        <v>8</v>
      </c>
      <c r="R29" s="87"/>
      <c r="S29" s="48"/>
      <c r="T29" s="32"/>
      <c r="U29" s="32"/>
      <c r="V29" s="32"/>
      <c r="W29" s="32"/>
      <c r="X29" s="32"/>
      <c r="Y29" s="32"/>
      <c r="AA29" s="30" t="b">
        <f t="shared" si="0"/>
        <v>0</v>
      </c>
      <c r="AB29" s="30" t="b">
        <f t="shared" ref="AB29:AB34" si="2">NOT(IF(OR(NOT(ISBLANK(A29)),NOT(ISBLANK(C29))),IF(AND(EXACT(H29,"Yes"),NOT(ISBLANK(I29))),"TRUE","FALSE"),IF(OR(EXACT(H29,"Yes"),NOT(ISBLANK(I29))),"FALSE","TRUE")))</f>
        <v>0</v>
      </c>
      <c r="AC29" s="30" t="b">
        <f>IF(ISBLANK(D29),"FALSE",ISNA(VLOOKUP($D29,'Traceability Matrix'!D$2:D$500,1,FALSE)))</f>
        <v>0</v>
      </c>
    </row>
    <row r="30" spans="1:29" ht="39.75" customHeight="1" x14ac:dyDescent="0.2">
      <c r="A30" s="86"/>
      <c r="B30" s="92"/>
      <c r="C30" s="86"/>
      <c r="D30" s="57" t="s">
        <v>130</v>
      </c>
      <c r="E30" s="91" t="s">
        <v>137</v>
      </c>
      <c r="F30" s="29" t="s">
        <v>43</v>
      </c>
      <c r="G30" s="29" t="s">
        <v>141</v>
      </c>
      <c r="H30" s="54" t="s">
        <v>8</v>
      </c>
      <c r="I30" s="29"/>
      <c r="J30" s="26" t="s">
        <v>193</v>
      </c>
      <c r="K30" s="55" t="s">
        <v>12</v>
      </c>
      <c r="L30" s="55" t="s">
        <v>17</v>
      </c>
      <c r="M30" s="56" t="s">
        <v>8</v>
      </c>
      <c r="N30" s="30" t="s">
        <v>18</v>
      </c>
      <c r="O30" s="54" t="s">
        <v>8</v>
      </c>
      <c r="P30" s="54" t="s">
        <v>8</v>
      </c>
      <c r="Q30" s="56" t="s">
        <v>8</v>
      </c>
      <c r="R30" s="87"/>
      <c r="S30" s="48"/>
      <c r="T30" s="32"/>
      <c r="U30" s="32"/>
      <c r="V30" s="32"/>
      <c r="W30" s="32"/>
      <c r="X30" s="32"/>
      <c r="Y30" s="32"/>
      <c r="AA30" s="30" t="b">
        <f t="shared" si="0"/>
        <v>0</v>
      </c>
      <c r="AB30" s="30" t="b">
        <f t="shared" si="2"/>
        <v>0</v>
      </c>
      <c r="AC30" s="30" t="b">
        <f>IF(ISBLANK(D30),"FALSE",ISNA(VLOOKUP($D30,'Traceability Matrix'!D$2:D$500,1,FALSE)))</f>
        <v>0</v>
      </c>
    </row>
    <row r="31" spans="1:29" ht="39.75" customHeight="1" x14ac:dyDescent="0.2">
      <c r="A31" s="86"/>
      <c r="B31" s="92"/>
      <c r="C31" s="86"/>
      <c r="D31" s="57" t="s">
        <v>131</v>
      </c>
      <c r="E31" s="91" t="s">
        <v>138</v>
      </c>
      <c r="F31" s="29" t="s">
        <v>43</v>
      </c>
      <c r="G31" s="29" t="s">
        <v>141</v>
      </c>
      <c r="H31" s="54" t="s">
        <v>8</v>
      </c>
      <c r="I31" s="29"/>
      <c r="J31" s="26" t="s">
        <v>193</v>
      </c>
      <c r="K31" s="55" t="s">
        <v>12</v>
      </c>
      <c r="L31" s="55" t="s">
        <v>17</v>
      </c>
      <c r="M31" s="56" t="s">
        <v>8</v>
      </c>
      <c r="N31" s="30" t="s">
        <v>18</v>
      </c>
      <c r="O31" s="54" t="s">
        <v>8</v>
      </c>
      <c r="P31" s="54" t="s">
        <v>8</v>
      </c>
      <c r="Q31" s="56" t="s">
        <v>8</v>
      </c>
      <c r="R31" s="87"/>
      <c r="S31" s="48"/>
      <c r="T31" s="32"/>
      <c r="U31" s="32"/>
      <c r="V31" s="32"/>
      <c r="W31" s="32"/>
      <c r="X31" s="32"/>
      <c r="Y31" s="32"/>
      <c r="AA31" s="30" t="b">
        <f t="shared" si="0"/>
        <v>0</v>
      </c>
      <c r="AB31" s="30" t="b">
        <f t="shared" si="2"/>
        <v>0</v>
      </c>
      <c r="AC31" s="30" t="b">
        <f>IF(ISBLANK(D31),"FALSE",ISNA(VLOOKUP($D31,'Traceability Matrix'!D$2:D$500,1,FALSE)))</f>
        <v>0</v>
      </c>
    </row>
    <row r="32" spans="1:29" ht="30" customHeight="1" x14ac:dyDescent="0.2">
      <c r="A32" s="86"/>
      <c r="B32" s="92"/>
      <c r="C32" s="86"/>
      <c r="D32" s="57" t="s">
        <v>132</v>
      </c>
      <c r="E32" s="91" t="s">
        <v>139</v>
      </c>
      <c r="F32" s="29" t="s">
        <v>43</v>
      </c>
      <c r="G32" s="29" t="s">
        <v>141</v>
      </c>
      <c r="H32" s="56" t="s">
        <v>8</v>
      </c>
      <c r="I32" s="29"/>
      <c r="J32" s="26" t="s">
        <v>193</v>
      </c>
      <c r="K32" s="55" t="s">
        <v>12</v>
      </c>
      <c r="L32" s="55" t="s">
        <v>17</v>
      </c>
      <c r="M32" s="56" t="s">
        <v>8</v>
      </c>
      <c r="N32" s="30" t="s">
        <v>18</v>
      </c>
      <c r="O32" s="54" t="s">
        <v>8</v>
      </c>
      <c r="P32" s="54" t="s">
        <v>8</v>
      </c>
      <c r="Q32" s="56" t="s">
        <v>8</v>
      </c>
      <c r="R32" s="87"/>
      <c r="S32" s="48"/>
      <c r="T32" s="32"/>
      <c r="U32" s="32"/>
      <c r="V32" s="32"/>
      <c r="W32" s="32"/>
      <c r="X32" s="32"/>
      <c r="Y32" s="32"/>
      <c r="AA32" s="30" t="b">
        <f t="shared" si="0"/>
        <v>0</v>
      </c>
      <c r="AB32" s="30" t="b">
        <f t="shared" si="2"/>
        <v>0</v>
      </c>
      <c r="AC32" s="30" t="b">
        <f>IF(ISBLANK(D32),"FALSE",ISNA(VLOOKUP($D32,'Traceability Matrix'!D$2:D$500,1,FALSE)))</f>
        <v>0</v>
      </c>
    </row>
    <row r="33" spans="1:29" ht="53.25" customHeight="1" x14ac:dyDescent="0.2">
      <c r="A33" s="86"/>
      <c r="B33" s="92"/>
      <c r="C33" s="86"/>
      <c r="D33" s="57" t="s">
        <v>133</v>
      </c>
      <c r="E33" s="91" t="s">
        <v>194</v>
      </c>
      <c r="F33" s="29" t="s">
        <v>43</v>
      </c>
      <c r="G33" s="29" t="s">
        <v>141</v>
      </c>
      <c r="H33" s="56" t="s">
        <v>8</v>
      </c>
      <c r="I33" s="29"/>
      <c r="J33" s="26" t="s">
        <v>193</v>
      </c>
      <c r="K33" s="55" t="s">
        <v>12</v>
      </c>
      <c r="L33" s="55" t="s">
        <v>17</v>
      </c>
      <c r="M33" s="56" t="s">
        <v>8</v>
      </c>
      <c r="N33" s="30" t="s">
        <v>18</v>
      </c>
      <c r="O33" s="54" t="s">
        <v>8</v>
      </c>
      <c r="P33" s="54" t="s">
        <v>8</v>
      </c>
      <c r="Q33" s="56" t="s">
        <v>8</v>
      </c>
      <c r="R33" s="87"/>
      <c r="S33" s="48"/>
      <c r="T33" s="32"/>
      <c r="U33" s="32"/>
      <c r="V33" s="32"/>
      <c r="W33" s="32"/>
      <c r="X33" s="32"/>
      <c r="Y33" s="32"/>
      <c r="AA33" s="30" t="b">
        <f t="shared" si="0"/>
        <v>0</v>
      </c>
      <c r="AB33" s="30" t="b">
        <f t="shared" si="2"/>
        <v>0</v>
      </c>
      <c r="AC33" s="30" t="b">
        <f>IF(ISBLANK(D33),"FALSE",ISNA(VLOOKUP($D33,'Traceability Matrix'!D$2:D$500,1,FALSE)))</f>
        <v>0</v>
      </c>
    </row>
    <row r="34" spans="1:29" ht="39.75" customHeight="1" x14ac:dyDescent="0.2">
      <c r="A34" s="86"/>
      <c r="B34" s="92"/>
      <c r="C34" s="86"/>
      <c r="D34" s="57" t="s">
        <v>134</v>
      </c>
      <c r="E34" s="28" t="s">
        <v>207</v>
      </c>
      <c r="F34" s="29" t="s">
        <v>43</v>
      </c>
      <c r="G34" s="29" t="s">
        <v>141</v>
      </c>
      <c r="H34" s="56" t="s">
        <v>8</v>
      </c>
      <c r="I34" s="29"/>
      <c r="J34" s="110" t="s">
        <v>230</v>
      </c>
      <c r="K34" s="55" t="s">
        <v>12</v>
      </c>
      <c r="L34" s="55" t="s">
        <v>17</v>
      </c>
      <c r="M34" s="56" t="s">
        <v>8</v>
      </c>
      <c r="N34" s="30" t="s">
        <v>18</v>
      </c>
      <c r="O34" s="54" t="s">
        <v>8</v>
      </c>
      <c r="P34" s="54" t="s">
        <v>8</v>
      </c>
      <c r="Q34" s="56" t="s">
        <v>8</v>
      </c>
      <c r="R34" s="87"/>
      <c r="S34" s="48"/>
      <c r="T34" s="32"/>
      <c r="U34" s="32"/>
      <c r="V34" s="32"/>
      <c r="W34" s="32"/>
      <c r="X34" s="32"/>
      <c r="Y34" s="32"/>
      <c r="AA34" s="30" t="b">
        <f t="shared" si="0"/>
        <v>0</v>
      </c>
      <c r="AB34" s="30" t="b">
        <f t="shared" si="2"/>
        <v>0</v>
      </c>
      <c r="AC34" s="30" t="b">
        <f>IF(ISBLANK(D34),"FALSE",ISNA(VLOOKUP($D34,'Traceability Matrix'!D$2:D$500,1,FALSE)))</f>
        <v>0</v>
      </c>
    </row>
    <row r="35" spans="1:29" ht="39.75" customHeight="1" x14ac:dyDescent="0.2">
      <c r="A35" s="86"/>
      <c r="B35" s="92"/>
      <c r="C35" s="86"/>
      <c r="D35" s="57" t="s">
        <v>135</v>
      </c>
      <c r="E35" s="28" t="s">
        <v>197</v>
      </c>
      <c r="F35" s="29" t="s">
        <v>43</v>
      </c>
      <c r="G35" s="29" t="s">
        <v>141</v>
      </c>
      <c r="H35" s="56" t="s">
        <v>8</v>
      </c>
      <c r="I35" s="29"/>
      <c r="J35" s="26" t="s">
        <v>193</v>
      </c>
      <c r="K35" s="55" t="s">
        <v>12</v>
      </c>
      <c r="L35" s="55" t="s">
        <v>17</v>
      </c>
      <c r="M35" s="56" t="s">
        <v>8</v>
      </c>
      <c r="N35" s="30" t="s">
        <v>18</v>
      </c>
      <c r="O35" s="54" t="s">
        <v>8</v>
      </c>
      <c r="P35" s="54" t="s">
        <v>8</v>
      </c>
      <c r="Q35" s="56" t="s">
        <v>8</v>
      </c>
      <c r="R35" s="87"/>
      <c r="S35" s="48"/>
      <c r="T35" s="32"/>
      <c r="U35" s="32"/>
      <c r="V35" s="32"/>
      <c r="W35" s="32"/>
      <c r="X35" s="32"/>
      <c r="Y35" s="32"/>
      <c r="AA35" s="30" t="b">
        <f t="shared" si="0"/>
        <v>0</v>
      </c>
      <c r="AB35" s="30" t="b">
        <f t="shared" ref="AB35:AB36" si="3">NOT(IF(OR(NOT(ISBLANK(A35)),NOT(ISBLANK(C35))),IF(AND(EXACT(H35,"Yes"),NOT(ISBLANK(I35))),"TRUE","FALSE"),IF(OR(EXACT(H35,"Yes"),NOT(ISBLANK(I35))),"FALSE","TRUE")))</f>
        <v>0</v>
      </c>
      <c r="AC35" s="30" t="b">
        <f>IF(ISBLANK(D35),"FALSE",ISNA(VLOOKUP($D35,'Traceability Matrix'!D$2:D$500,1,FALSE)))</f>
        <v>0</v>
      </c>
    </row>
    <row r="36" spans="1:29" ht="39.75" customHeight="1" x14ac:dyDescent="0.2">
      <c r="A36" s="86"/>
      <c r="B36" s="92"/>
      <c r="C36" s="86"/>
      <c r="D36" s="57" t="s">
        <v>136</v>
      </c>
      <c r="E36" s="91" t="s">
        <v>140</v>
      </c>
      <c r="F36" s="29" t="s">
        <v>43</v>
      </c>
      <c r="G36" s="29" t="s">
        <v>141</v>
      </c>
      <c r="H36" s="56" t="s">
        <v>8</v>
      </c>
      <c r="I36" s="29"/>
      <c r="J36" s="26" t="s">
        <v>193</v>
      </c>
      <c r="K36" s="55" t="s">
        <v>12</v>
      </c>
      <c r="L36" s="55" t="s">
        <v>17</v>
      </c>
      <c r="M36" s="56" t="s">
        <v>8</v>
      </c>
      <c r="N36" s="30" t="s">
        <v>18</v>
      </c>
      <c r="O36" s="54" t="s">
        <v>8</v>
      </c>
      <c r="P36" s="54" t="s">
        <v>8</v>
      </c>
      <c r="Q36" s="56" t="s">
        <v>8</v>
      </c>
      <c r="R36" s="87"/>
      <c r="S36" s="48"/>
      <c r="T36" s="32"/>
      <c r="U36" s="32"/>
      <c r="V36" s="32"/>
      <c r="W36" s="32"/>
      <c r="X36" s="32"/>
      <c r="Y36" s="32"/>
      <c r="AA36" s="30" t="b">
        <f t="shared" ref="AA36:AA67" si="4">IF(MATCH(D36,$D$4:$D$47,0) &lt;&gt; (ROW() - 3), TRUE, FALSE)</f>
        <v>0</v>
      </c>
      <c r="AB36" s="30" t="b">
        <f t="shared" si="3"/>
        <v>0</v>
      </c>
      <c r="AC36" s="30" t="b">
        <f>IF(ISBLANK(D36),"FALSE",ISNA(VLOOKUP($D36,'Traceability Matrix'!D$2:D$500,1,FALSE)))</f>
        <v>0</v>
      </c>
    </row>
    <row r="37" spans="1:29" ht="39.75" customHeight="1" x14ac:dyDescent="0.2">
      <c r="A37" s="86"/>
      <c r="B37" s="92"/>
      <c r="C37" s="86"/>
      <c r="D37" s="57" t="s">
        <v>149</v>
      </c>
      <c r="E37" s="28" t="s">
        <v>202</v>
      </c>
      <c r="F37" s="29" t="s">
        <v>43</v>
      </c>
      <c r="G37" s="29" t="s">
        <v>141</v>
      </c>
      <c r="H37" s="56" t="s">
        <v>8</v>
      </c>
      <c r="I37" s="29"/>
      <c r="J37" s="26" t="s">
        <v>200</v>
      </c>
      <c r="K37" s="55" t="s">
        <v>12</v>
      </c>
      <c r="L37" s="55" t="s">
        <v>17</v>
      </c>
      <c r="M37" s="56" t="s">
        <v>8</v>
      </c>
      <c r="N37" s="30" t="s">
        <v>18</v>
      </c>
      <c r="O37" s="54" t="s">
        <v>8</v>
      </c>
      <c r="P37" s="54" t="s">
        <v>8</v>
      </c>
      <c r="Q37" s="56" t="s">
        <v>8</v>
      </c>
      <c r="R37" s="87"/>
      <c r="S37" s="48"/>
      <c r="T37" s="32"/>
      <c r="U37" s="32"/>
      <c r="V37" s="32"/>
      <c r="W37" s="32"/>
      <c r="X37" s="32"/>
      <c r="Y37" s="32"/>
      <c r="AA37" s="30" t="b">
        <f t="shared" ref="AA37:AA38" si="5">IF(MATCH(D37,$D$4:$D$47,0) &lt;&gt; (ROW() - 3), TRUE, FALSE)</f>
        <v>0</v>
      </c>
      <c r="AB37" s="30" t="b">
        <f t="shared" ref="AB37:AB38" si="6">NOT(IF(OR(NOT(ISBLANK(A37)),NOT(ISBLANK(C37))),IF(AND(EXACT(H37,"Yes"),NOT(ISBLANK(I37))),"TRUE","FALSE"),IF(OR(EXACT(H37,"Yes"),NOT(ISBLANK(I37))),"FALSE","TRUE")))</f>
        <v>0</v>
      </c>
      <c r="AC37" s="30" t="b">
        <f>IF(ISBLANK(D37),"FALSE",ISNA(VLOOKUP($D37,'Traceability Matrix'!D$2:D$500,1,FALSE)))</f>
        <v>0</v>
      </c>
    </row>
    <row r="38" spans="1:29" ht="39.75" customHeight="1" x14ac:dyDescent="0.2">
      <c r="A38" s="86"/>
      <c r="B38" s="92"/>
      <c r="C38" s="86"/>
      <c r="D38" s="57" t="s">
        <v>150</v>
      </c>
      <c r="E38" s="28" t="s">
        <v>201</v>
      </c>
      <c r="F38" s="29" t="s">
        <v>43</v>
      </c>
      <c r="G38" s="29" t="s">
        <v>141</v>
      </c>
      <c r="H38" s="56" t="s">
        <v>8</v>
      </c>
      <c r="I38" s="29"/>
      <c r="J38" s="26" t="s">
        <v>200</v>
      </c>
      <c r="K38" s="55" t="s">
        <v>12</v>
      </c>
      <c r="L38" s="55" t="s">
        <v>17</v>
      </c>
      <c r="M38" s="56" t="s">
        <v>8</v>
      </c>
      <c r="N38" s="30" t="s">
        <v>18</v>
      </c>
      <c r="O38" s="54" t="s">
        <v>8</v>
      </c>
      <c r="P38" s="54" t="s">
        <v>8</v>
      </c>
      <c r="Q38" s="56" t="s">
        <v>8</v>
      </c>
      <c r="R38" s="87"/>
      <c r="S38" s="48"/>
      <c r="T38" s="32"/>
      <c r="U38" s="32"/>
      <c r="V38" s="32"/>
      <c r="W38" s="32"/>
      <c r="X38" s="32"/>
      <c r="Y38" s="32"/>
      <c r="AA38" s="30" t="b">
        <f t="shared" si="5"/>
        <v>0</v>
      </c>
      <c r="AB38" s="30" t="b">
        <f t="shared" si="6"/>
        <v>0</v>
      </c>
      <c r="AC38" s="30" t="b">
        <f>IF(ISBLANK(D38),"FALSE",ISNA(VLOOKUP($D38,'Traceability Matrix'!D$2:D$500,1,FALSE)))</f>
        <v>0</v>
      </c>
    </row>
    <row r="39" spans="1:29" ht="38.25" customHeight="1" x14ac:dyDescent="0.2">
      <c r="A39" s="86"/>
      <c r="B39" s="92"/>
      <c r="C39" s="86"/>
      <c r="D39" s="96" t="s">
        <v>195</v>
      </c>
      <c r="E39" s="28" t="s">
        <v>196</v>
      </c>
      <c r="F39" s="29" t="s">
        <v>43</v>
      </c>
      <c r="G39" s="29" t="s">
        <v>11</v>
      </c>
      <c r="H39" s="56" t="s">
        <v>8</v>
      </c>
      <c r="I39" s="29"/>
      <c r="J39" s="26" t="s">
        <v>193</v>
      </c>
      <c r="K39" s="55" t="s">
        <v>12</v>
      </c>
      <c r="L39" s="55" t="s">
        <v>17</v>
      </c>
      <c r="M39" s="29" t="s">
        <v>17</v>
      </c>
      <c r="N39" s="30" t="s">
        <v>19</v>
      </c>
      <c r="O39" s="54" t="s">
        <v>8</v>
      </c>
      <c r="P39" s="54" t="s">
        <v>8</v>
      </c>
      <c r="Q39" s="56" t="s">
        <v>8</v>
      </c>
      <c r="R39" s="87"/>
      <c r="S39" s="48"/>
      <c r="T39" s="32"/>
      <c r="U39" s="32"/>
      <c r="V39" s="32"/>
      <c r="W39" s="32"/>
      <c r="X39" s="32"/>
      <c r="Y39" s="32"/>
      <c r="AA39" s="30" t="b">
        <f t="shared" si="4"/>
        <v>0</v>
      </c>
      <c r="AB39" s="30" t="b">
        <f t="shared" si="1"/>
        <v>0</v>
      </c>
      <c r="AC39" s="30" t="b">
        <f>IF(ISBLANK(D39),"FALSE",ISNA(VLOOKUP($D39,'Traceability Matrix'!D$2:D$500,1,FALSE)))</f>
        <v>0</v>
      </c>
    </row>
    <row r="40" spans="1:29" ht="44.25" customHeight="1" x14ac:dyDescent="0.2">
      <c r="A40" s="86"/>
      <c r="B40" s="92"/>
      <c r="C40" s="109" t="s">
        <v>122</v>
      </c>
      <c r="D40" s="96" t="s">
        <v>218</v>
      </c>
      <c r="E40" s="97" t="s">
        <v>216</v>
      </c>
      <c r="F40" s="29" t="s">
        <v>43</v>
      </c>
      <c r="G40" s="29" t="s">
        <v>229</v>
      </c>
      <c r="H40" s="56" t="s">
        <v>17</v>
      </c>
      <c r="I40" s="29" t="s">
        <v>26</v>
      </c>
      <c r="J40" s="110" t="s">
        <v>230</v>
      </c>
      <c r="K40" s="55" t="s">
        <v>12</v>
      </c>
      <c r="L40" s="55" t="s">
        <v>17</v>
      </c>
      <c r="M40" s="29" t="s">
        <v>17</v>
      </c>
      <c r="N40" s="30" t="s">
        <v>18</v>
      </c>
      <c r="O40" s="54" t="s">
        <v>8</v>
      </c>
      <c r="P40" s="54" t="s">
        <v>8</v>
      </c>
      <c r="Q40" s="56" t="s">
        <v>8</v>
      </c>
      <c r="R40" s="87"/>
      <c r="S40" s="48"/>
      <c r="T40" s="32"/>
      <c r="U40" s="32"/>
      <c r="V40" s="32"/>
      <c r="W40" s="32"/>
      <c r="X40" s="32"/>
      <c r="Y40" s="32"/>
      <c r="AA40" s="30" t="b">
        <f t="shared" si="4"/>
        <v>0</v>
      </c>
      <c r="AB40" s="30" t="b">
        <f t="shared" si="1"/>
        <v>0</v>
      </c>
      <c r="AC40" s="30" t="b">
        <f>IF(ISBLANK(D40),"FALSE",ISNA(VLOOKUP($D40,'Traceability Matrix'!D$2:D$500,1,FALSE)))</f>
        <v>0</v>
      </c>
    </row>
    <row r="41" spans="1:29" ht="44.25" customHeight="1" x14ac:dyDescent="0.2">
      <c r="A41" s="86"/>
      <c r="B41" s="92"/>
      <c r="C41" s="109" t="s">
        <v>208</v>
      </c>
      <c r="D41" s="96" t="s">
        <v>219</v>
      </c>
      <c r="E41" s="97" t="s">
        <v>217</v>
      </c>
      <c r="F41" s="29" t="s">
        <v>43</v>
      </c>
      <c r="G41" s="29" t="s">
        <v>229</v>
      </c>
      <c r="H41" s="56" t="s">
        <v>17</v>
      </c>
      <c r="I41" s="29" t="s">
        <v>26</v>
      </c>
      <c r="J41" s="110" t="s">
        <v>230</v>
      </c>
      <c r="K41" s="55" t="s">
        <v>12</v>
      </c>
      <c r="L41" s="55" t="s">
        <v>17</v>
      </c>
      <c r="M41" s="29" t="s">
        <v>17</v>
      </c>
      <c r="N41" s="30" t="s">
        <v>18</v>
      </c>
      <c r="O41" s="54" t="s">
        <v>8</v>
      </c>
      <c r="P41" s="54" t="s">
        <v>8</v>
      </c>
      <c r="Q41" s="56" t="s">
        <v>8</v>
      </c>
      <c r="R41" s="87"/>
      <c r="S41" s="48"/>
      <c r="T41" s="32"/>
      <c r="U41" s="32"/>
      <c r="V41" s="32"/>
      <c r="W41" s="32"/>
      <c r="X41" s="32"/>
      <c r="Y41" s="32"/>
      <c r="AA41" s="30" t="b">
        <f t="shared" si="4"/>
        <v>0</v>
      </c>
      <c r="AB41" s="30" t="b">
        <f t="shared" si="1"/>
        <v>0</v>
      </c>
      <c r="AC41" s="30" t="b">
        <f>IF(ISBLANK(D41),"FALSE",ISNA(VLOOKUP($D41,'Traceability Matrix'!D$2:D$500,1,FALSE)))</f>
        <v>0</v>
      </c>
    </row>
    <row r="42" spans="1:29" ht="84.75" customHeight="1" x14ac:dyDescent="0.2">
      <c r="A42" s="86"/>
      <c r="B42" s="92"/>
      <c r="C42" s="109" t="s">
        <v>123</v>
      </c>
      <c r="D42" s="96" t="s">
        <v>220</v>
      </c>
      <c r="E42" s="96" t="s">
        <v>242</v>
      </c>
      <c r="F42" s="29" t="s">
        <v>43</v>
      </c>
      <c r="G42" s="29" t="s">
        <v>229</v>
      </c>
      <c r="H42" s="56" t="s">
        <v>17</v>
      </c>
      <c r="I42" s="29" t="s">
        <v>26</v>
      </c>
      <c r="J42" s="110" t="s">
        <v>230</v>
      </c>
      <c r="K42" s="55" t="s">
        <v>12</v>
      </c>
      <c r="L42" s="55" t="s">
        <v>17</v>
      </c>
      <c r="M42" s="29" t="s">
        <v>17</v>
      </c>
      <c r="N42" s="30" t="s">
        <v>18</v>
      </c>
      <c r="O42" s="54" t="s">
        <v>8</v>
      </c>
      <c r="P42" s="54" t="s">
        <v>8</v>
      </c>
      <c r="Q42" s="56" t="s">
        <v>8</v>
      </c>
      <c r="R42" s="87"/>
      <c r="S42" s="48"/>
      <c r="T42" s="32"/>
      <c r="U42" s="32"/>
      <c r="V42" s="32"/>
      <c r="W42" s="32"/>
      <c r="X42" s="32"/>
      <c r="Y42" s="32"/>
      <c r="AA42" s="30" t="b">
        <f t="shared" si="4"/>
        <v>0</v>
      </c>
      <c r="AB42" s="30" t="b">
        <f t="shared" si="1"/>
        <v>0</v>
      </c>
      <c r="AC42" s="30" t="b">
        <f>IF(ISBLANK(D42),"FALSE",ISNA(VLOOKUP($D42,'Traceability Matrix'!D$2:D$500,1,FALSE)))</f>
        <v>0</v>
      </c>
    </row>
    <row r="43" spans="1:29" ht="80.25" customHeight="1" x14ac:dyDescent="0.2">
      <c r="A43" s="86"/>
      <c r="B43" s="92"/>
      <c r="C43" s="109" t="s">
        <v>125</v>
      </c>
      <c r="D43" s="96" t="s">
        <v>221</v>
      </c>
      <c r="E43" s="96" t="s">
        <v>243</v>
      </c>
      <c r="F43" s="29" t="s">
        <v>43</v>
      </c>
      <c r="G43" s="29" t="s">
        <v>229</v>
      </c>
      <c r="H43" s="56" t="s">
        <v>17</v>
      </c>
      <c r="I43" s="29" t="s">
        <v>26</v>
      </c>
      <c r="J43" s="110" t="s">
        <v>230</v>
      </c>
      <c r="K43" s="55" t="s">
        <v>12</v>
      </c>
      <c r="L43" s="55" t="s">
        <v>17</v>
      </c>
      <c r="M43" s="29" t="s">
        <v>17</v>
      </c>
      <c r="N43" s="30" t="s">
        <v>18</v>
      </c>
      <c r="O43" s="54" t="s">
        <v>8</v>
      </c>
      <c r="P43" s="54" t="s">
        <v>8</v>
      </c>
      <c r="Q43" s="56" t="s">
        <v>8</v>
      </c>
      <c r="R43" s="87"/>
      <c r="S43" s="48"/>
      <c r="T43" s="32"/>
      <c r="U43" s="32"/>
      <c r="V43" s="32"/>
      <c r="W43" s="32"/>
      <c r="X43" s="32"/>
      <c r="Y43" s="32"/>
      <c r="AA43" s="30" t="b">
        <f t="shared" si="4"/>
        <v>0</v>
      </c>
      <c r="AB43" s="30" t="b">
        <f t="shared" si="1"/>
        <v>0</v>
      </c>
      <c r="AC43" s="30" t="b">
        <f>IF(ISBLANK(D43),"FALSE",ISNA(VLOOKUP($D43,'Traceability Matrix'!D$2:D$500,1,FALSE)))</f>
        <v>0</v>
      </c>
    </row>
    <row r="44" spans="1:29" ht="67.5" customHeight="1" x14ac:dyDescent="0.2">
      <c r="A44" s="86"/>
      <c r="B44" s="92"/>
      <c r="C44" s="109" t="s">
        <v>209</v>
      </c>
      <c r="D44" s="96" t="s">
        <v>222</v>
      </c>
      <c r="E44" s="96" t="s">
        <v>244</v>
      </c>
      <c r="F44" s="29" t="s">
        <v>43</v>
      </c>
      <c r="G44" s="29" t="s">
        <v>229</v>
      </c>
      <c r="H44" s="56" t="s">
        <v>17</v>
      </c>
      <c r="I44" s="29" t="s">
        <v>26</v>
      </c>
      <c r="J44" s="110" t="s">
        <v>230</v>
      </c>
      <c r="K44" s="55" t="s">
        <v>12</v>
      </c>
      <c r="L44" s="55" t="s">
        <v>17</v>
      </c>
      <c r="M44" s="29" t="s">
        <v>17</v>
      </c>
      <c r="N44" s="30" t="s">
        <v>18</v>
      </c>
      <c r="O44" s="54" t="s">
        <v>8</v>
      </c>
      <c r="P44" s="54" t="s">
        <v>8</v>
      </c>
      <c r="Q44" s="56" t="s">
        <v>8</v>
      </c>
      <c r="R44" s="87"/>
      <c r="S44" s="48"/>
      <c r="T44" s="32"/>
      <c r="U44" s="32"/>
      <c r="V44" s="32"/>
      <c r="W44" s="32"/>
      <c r="X44" s="32"/>
      <c r="Y44" s="32"/>
      <c r="AA44" s="30" t="b">
        <f t="shared" si="4"/>
        <v>0</v>
      </c>
      <c r="AB44" s="30" t="b">
        <f t="shared" si="1"/>
        <v>0</v>
      </c>
      <c r="AC44" s="30" t="b">
        <f>IF(ISBLANK(D44),"FALSE",ISNA(VLOOKUP($D44,'Traceability Matrix'!D$2:D$500,1,FALSE)))</f>
        <v>0</v>
      </c>
    </row>
    <row r="45" spans="1:29" ht="69" customHeight="1" x14ac:dyDescent="0.2">
      <c r="A45" s="86"/>
      <c r="B45" s="92"/>
      <c r="C45" s="109" t="s">
        <v>210</v>
      </c>
      <c r="D45" s="96" t="s">
        <v>223</v>
      </c>
      <c r="E45" s="96" t="s">
        <v>245</v>
      </c>
      <c r="F45" s="29" t="s">
        <v>43</v>
      </c>
      <c r="G45" s="29" t="s">
        <v>229</v>
      </c>
      <c r="H45" s="56" t="s">
        <v>17</v>
      </c>
      <c r="I45" s="29" t="s">
        <v>26</v>
      </c>
      <c r="J45" s="110" t="s">
        <v>230</v>
      </c>
      <c r="K45" s="55" t="s">
        <v>12</v>
      </c>
      <c r="L45" s="55" t="s">
        <v>17</v>
      </c>
      <c r="M45" s="29" t="s">
        <v>17</v>
      </c>
      <c r="N45" s="30" t="s">
        <v>18</v>
      </c>
      <c r="O45" s="54" t="s">
        <v>8</v>
      </c>
      <c r="P45" s="54" t="s">
        <v>8</v>
      </c>
      <c r="Q45" s="56" t="s">
        <v>8</v>
      </c>
      <c r="R45" s="87"/>
      <c r="S45" s="48"/>
      <c r="T45" s="32"/>
      <c r="U45" s="32"/>
      <c r="V45" s="32"/>
      <c r="W45" s="32"/>
      <c r="X45" s="32"/>
      <c r="Y45" s="32"/>
      <c r="AA45" s="30" t="b">
        <f t="shared" si="4"/>
        <v>0</v>
      </c>
      <c r="AB45" s="30" t="b">
        <f t="shared" si="1"/>
        <v>0</v>
      </c>
      <c r="AC45" s="30" t="b">
        <f>IF(ISBLANK(D45),"FALSE",ISNA(VLOOKUP($D45,'Traceability Matrix'!D$2:D$500,1,FALSE)))</f>
        <v>0</v>
      </c>
    </row>
    <row r="46" spans="1:29" ht="80.25" customHeight="1" x14ac:dyDescent="0.2">
      <c r="A46" s="86"/>
      <c r="B46" s="92"/>
      <c r="C46" s="109" t="s">
        <v>211</v>
      </c>
      <c r="D46" s="96" t="s">
        <v>224</v>
      </c>
      <c r="E46" s="96" t="s">
        <v>246</v>
      </c>
      <c r="F46" s="29" t="s">
        <v>43</v>
      </c>
      <c r="G46" s="29" t="s">
        <v>229</v>
      </c>
      <c r="H46" s="56" t="s">
        <v>17</v>
      </c>
      <c r="I46" s="29" t="s">
        <v>26</v>
      </c>
      <c r="J46" s="110" t="s">
        <v>230</v>
      </c>
      <c r="K46" s="55" t="s">
        <v>12</v>
      </c>
      <c r="L46" s="55" t="s">
        <v>17</v>
      </c>
      <c r="M46" s="29" t="s">
        <v>17</v>
      </c>
      <c r="N46" s="30" t="s">
        <v>18</v>
      </c>
      <c r="O46" s="54" t="s">
        <v>8</v>
      </c>
      <c r="P46" s="54" t="s">
        <v>8</v>
      </c>
      <c r="Q46" s="56" t="s">
        <v>8</v>
      </c>
      <c r="R46" s="87"/>
      <c r="S46" s="48"/>
      <c r="T46" s="32"/>
      <c r="U46" s="32"/>
      <c r="V46" s="32"/>
      <c r="W46" s="32"/>
      <c r="X46" s="32"/>
      <c r="Y46" s="32"/>
      <c r="AA46" s="30" t="b">
        <f t="shared" si="4"/>
        <v>0</v>
      </c>
      <c r="AB46" s="30" t="b">
        <f t="shared" si="1"/>
        <v>0</v>
      </c>
      <c r="AC46" s="30" t="b">
        <f>IF(ISBLANK(D46),"FALSE",ISNA(VLOOKUP($D46,'Traceability Matrix'!D$2:D$500,1,FALSE)))</f>
        <v>0</v>
      </c>
    </row>
    <row r="47" spans="1:29" ht="85.5" customHeight="1" x14ac:dyDescent="0.2">
      <c r="A47" s="86"/>
      <c r="B47" s="92"/>
      <c r="C47" s="109" t="s">
        <v>212</v>
      </c>
      <c r="D47" s="96" t="s">
        <v>225</v>
      </c>
      <c r="E47" s="96" t="s">
        <v>247</v>
      </c>
      <c r="F47" s="29" t="s">
        <v>43</v>
      </c>
      <c r="G47" s="29" t="s">
        <v>229</v>
      </c>
      <c r="H47" s="56" t="s">
        <v>17</v>
      </c>
      <c r="I47" s="29" t="s">
        <v>26</v>
      </c>
      <c r="J47" s="110" t="s">
        <v>230</v>
      </c>
      <c r="K47" s="55" t="s">
        <v>12</v>
      </c>
      <c r="L47" s="55" t="s">
        <v>17</v>
      </c>
      <c r="M47" s="29" t="s">
        <v>17</v>
      </c>
      <c r="N47" s="30" t="s">
        <v>18</v>
      </c>
      <c r="O47" s="54" t="s">
        <v>8</v>
      </c>
      <c r="P47" s="54" t="s">
        <v>8</v>
      </c>
      <c r="Q47" s="56" t="s">
        <v>8</v>
      </c>
      <c r="R47" s="87"/>
      <c r="S47" s="48"/>
      <c r="T47" s="32"/>
      <c r="U47" s="32"/>
      <c r="V47" s="32"/>
      <c r="W47" s="32"/>
      <c r="X47" s="32"/>
      <c r="Y47" s="32"/>
      <c r="AA47" s="30" t="b">
        <f t="shared" si="4"/>
        <v>0</v>
      </c>
      <c r="AB47" s="30" t="b">
        <f t="shared" si="1"/>
        <v>0</v>
      </c>
      <c r="AC47" s="30" t="b">
        <f>IF(ISBLANK(D47),"FALSE",ISNA(VLOOKUP($D47,'Traceability Matrix'!D$2:D$500,1,FALSE)))</f>
        <v>0</v>
      </c>
    </row>
    <row r="48" spans="1:29" ht="81" customHeight="1" x14ac:dyDescent="0.2">
      <c r="A48" s="86"/>
      <c r="B48" s="92"/>
      <c r="C48" s="109" t="s">
        <v>213</v>
      </c>
      <c r="D48" s="96" t="s">
        <v>226</v>
      </c>
      <c r="E48" s="96" t="s">
        <v>248</v>
      </c>
      <c r="F48" s="29" t="s">
        <v>43</v>
      </c>
      <c r="G48" s="29" t="s">
        <v>229</v>
      </c>
      <c r="H48" s="56" t="s">
        <v>17</v>
      </c>
      <c r="I48" s="29" t="s">
        <v>26</v>
      </c>
      <c r="J48" s="110" t="s">
        <v>230</v>
      </c>
      <c r="K48" s="55" t="s">
        <v>12</v>
      </c>
      <c r="L48" s="55" t="s">
        <v>17</v>
      </c>
      <c r="M48" s="29" t="s">
        <v>17</v>
      </c>
      <c r="N48" s="30" t="s">
        <v>18</v>
      </c>
      <c r="O48" s="54" t="s">
        <v>8</v>
      </c>
      <c r="P48" s="54" t="s">
        <v>8</v>
      </c>
      <c r="Q48" s="56" t="s">
        <v>8</v>
      </c>
      <c r="R48" s="87"/>
      <c r="S48" s="48"/>
      <c r="T48" s="32"/>
      <c r="U48" s="32"/>
      <c r="V48" s="32"/>
      <c r="W48" s="32"/>
      <c r="X48" s="32"/>
      <c r="Y48" s="32"/>
      <c r="AA48" s="30" t="b">
        <f>IF(MATCH(D48,$D$4:$D$52,0) &lt;&gt; (ROW() - 3), TRUE, FALSE)</f>
        <v>0</v>
      </c>
      <c r="AB48" s="30" t="b">
        <f t="shared" si="1"/>
        <v>0</v>
      </c>
      <c r="AC48" s="30" t="b">
        <f>IF(ISBLANK(D48),"FALSE",ISNA(VLOOKUP($D48,'Traceability Matrix'!D$2:D$500,1,FALSE)))</f>
        <v>0</v>
      </c>
    </row>
    <row r="49" spans="1:29" ht="80.25" customHeight="1" x14ac:dyDescent="0.2">
      <c r="A49" s="86"/>
      <c r="B49" s="92"/>
      <c r="C49" s="109" t="s">
        <v>214</v>
      </c>
      <c r="D49" s="96" t="s">
        <v>227</v>
      </c>
      <c r="E49" s="96" t="s">
        <v>249</v>
      </c>
      <c r="F49" s="29" t="s">
        <v>43</v>
      </c>
      <c r="G49" s="29" t="s">
        <v>229</v>
      </c>
      <c r="H49" s="56" t="s">
        <v>17</v>
      </c>
      <c r="I49" s="29" t="s">
        <v>26</v>
      </c>
      <c r="J49" s="110" t="s">
        <v>230</v>
      </c>
      <c r="K49" s="55" t="s">
        <v>12</v>
      </c>
      <c r="L49" s="55" t="s">
        <v>17</v>
      </c>
      <c r="M49" s="29" t="s">
        <v>17</v>
      </c>
      <c r="N49" s="30" t="s">
        <v>18</v>
      </c>
      <c r="O49" s="54" t="s">
        <v>8</v>
      </c>
      <c r="P49" s="54" t="s">
        <v>8</v>
      </c>
      <c r="Q49" s="56" t="s">
        <v>8</v>
      </c>
      <c r="R49" s="87"/>
      <c r="S49" s="48"/>
      <c r="T49" s="32"/>
      <c r="U49" s="32"/>
      <c r="V49" s="32"/>
      <c r="W49" s="32"/>
      <c r="X49" s="32"/>
      <c r="Y49" s="32"/>
      <c r="AA49" s="30" t="b">
        <f>IF(MATCH(D49,$D$4:$D$52,0) &lt;&gt; (ROW() - 3), TRUE, FALSE)</f>
        <v>0</v>
      </c>
      <c r="AB49" s="30" t="b">
        <f t="shared" si="1"/>
        <v>0</v>
      </c>
      <c r="AC49" s="30" t="b">
        <f>IF(ISBLANK(D49),"FALSE",ISNA(VLOOKUP($D49,'Traceability Matrix'!D$2:D$500,1,FALSE)))</f>
        <v>0</v>
      </c>
    </row>
    <row r="50" spans="1:29" ht="79.5" customHeight="1" x14ac:dyDescent="0.2">
      <c r="A50" s="86"/>
      <c r="B50" s="92"/>
      <c r="C50" s="109" t="s">
        <v>215</v>
      </c>
      <c r="D50" s="96" t="s">
        <v>228</v>
      </c>
      <c r="E50" s="96" t="s">
        <v>250</v>
      </c>
      <c r="F50" s="29" t="s">
        <v>43</v>
      </c>
      <c r="G50" s="29" t="s">
        <v>229</v>
      </c>
      <c r="H50" s="56" t="s">
        <v>17</v>
      </c>
      <c r="I50" s="29" t="s">
        <v>26</v>
      </c>
      <c r="J50" s="110" t="s">
        <v>230</v>
      </c>
      <c r="K50" s="55" t="s">
        <v>12</v>
      </c>
      <c r="L50" s="55" t="s">
        <v>17</v>
      </c>
      <c r="M50" s="29" t="s">
        <v>17</v>
      </c>
      <c r="N50" s="30" t="s">
        <v>18</v>
      </c>
      <c r="O50" s="54" t="s">
        <v>8</v>
      </c>
      <c r="P50" s="54" t="s">
        <v>8</v>
      </c>
      <c r="Q50" s="56" t="s">
        <v>8</v>
      </c>
      <c r="R50" s="87"/>
      <c r="S50" s="48"/>
      <c r="T50" s="32"/>
      <c r="U50" s="32"/>
      <c r="V50" s="32"/>
      <c r="W50" s="32"/>
      <c r="X50" s="32"/>
      <c r="Y50" s="32"/>
      <c r="AA50" s="30" t="b">
        <f>IF(MATCH(D50,$D$4:$D$52,0) &lt;&gt; (ROW() - 3), TRUE, FALSE)</f>
        <v>0</v>
      </c>
      <c r="AB50" s="30" t="b">
        <f t="shared" si="1"/>
        <v>0</v>
      </c>
      <c r="AC50" s="30" t="b">
        <f>IF(ISBLANK(D50),"FALSE",ISNA(VLOOKUP($D50,'Traceability Matrix'!D$2:D$500,1,FALSE)))</f>
        <v>0</v>
      </c>
    </row>
    <row r="51" spans="1:29" ht="28.5" customHeight="1" x14ac:dyDescent="0.2">
      <c r="A51" s="86" t="s">
        <v>119</v>
      </c>
      <c r="B51" s="92"/>
      <c r="C51" s="109"/>
      <c r="D51" s="96" t="s">
        <v>233</v>
      </c>
      <c r="E51" s="91" t="s">
        <v>231</v>
      </c>
      <c r="F51" s="29" t="s">
        <v>43</v>
      </c>
      <c r="G51" s="29" t="s">
        <v>11</v>
      </c>
      <c r="H51" s="56" t="s">
        <v>17</v>
      </c>
      <c r="I51" s="29" t="s">
        <v>26</v>
      </c>
      <c r="J51" s="110" t="s">
        <v>230</v>
      </c>
      <c r="K51" s="55" t="s">
        <v>12</v>
      </c>
      <c r="L51" s="55" t="s">
        <v>17</v>
      </c>
      <c r="M51" s="29" t="s">
        <v>17</v>
      </c>
      <c r="N51" s="30" t="s">
        <v>18</v>
      </c>
      <c r="O51" s="54" t="s">
        <v>8</v>
      </c>
      <c r="P51" s="54" t="s">
        <v>8</v>
      </c>
      <c r="Q51" s="56" t="s">
        <v>8</v>
      </c>
      <c r="R51" s="32"/>
      <c r="S51" s="46"/>
      <c r="T51" s="49"/>
      <c r="U51" s="49"/>
      <c r="V51" s="49"/>
      <c r="W51" s="49"/>
      <c r="X51" s="49"/>
      <c r="Y51" s="49"/>
      <c r="AA51" s="30" t="b">
        <f>IF(MATCH(D51,$D$4:$D$52,0) &lt;&gt; (ROW() - 3), TRUE, FALSE)</f>
        <v>0</v>
      </c>
      <c r="AB51" s="30" t="b">
        <f t="shared" si="1"/>
        <v>0</v>
      </c>
      <c r="AC51" s="30" t="b">
        <f>IF(ISBLANK(D51),"FALSE",ISNA(VLOOKUP($D51,'Traceability Matrix'!D$2:D$500,1,FALSE)))</f>
        <v>0</v>
      </c>
    </row>
    <row r="52" spans="1:29" ht="30.75" customHeight="1" x14ac:dyDescent="0.2">
      <c r="A52" s="86" t="s">
        <v>120</v>
      </c>
      <c r="B52" s="92"/>
      <c r="C52" s="109"/>
      <c r="D52" s="96" t="s">
        <v>234</v>
      </c>
      <c r="E52" s="91" t="s">
        <v>232</v>
      </c>
      <c r="F52" s="29" t="s">
        <v>43</v>
      </c>
      <c r="G52" s="29" t="s">
        <v>11</v>
      </c>
      <c r="H52" s="56" t="s">
        <v>17</v>
      </c>
      <c r="I52" s="29" t="s">
        <v>26</v>
      </c>
      <c r="J52" s="110" t="s">
        <v>230</v>
      </c>
      <c r="K52" s="55" t="s">
        <v>12</v>
      </c>
      <c r="L52" s="55" t="s">
        <v>17</v>
      </c>
      <c r="M52" s="29" t="s">
        <v>17</v>
      </c>
      <c r="N52" s="30" t="s">
        <v>18</v>
      </c>
      <c r="O52" s="54" t="s">
        <v>8</v>
      </c>
      <c r="P52" s="54" t="s">
        <v>8</v>
      </c>
      <c r="Q52" s="56" t="s">
        <v>8</v>
      </c>
      <c r="R52" s="32"/>
      <c r="S52" s="48"/>
      <c r="T52" s="32"/>
      <c r="U52" s="32"/>
      <c r="V52" s="32"/>
      <c r="W52" s="32"/>
      <c r="X52" s="32"/>
      <c r="Y52" s="32"/>
      <c r="AA52" s="30" t="b">
        <f>IF(MATCH(D52,$D$4:$D$52,0) &lt;&gt; (ROW() - 3), TRUE, FALSE)</f>
        <v>0</v>
      </c>
      <c r="AB52" s="30" t="b">
        <f t="shared" si="1"/>
        <v>0</v>
      </c>
      <c r="AC52" s="30" t="b">
        <f>IF(ISBLANK(D52),"FALSE",ISNA(VLOOKUP($D52,'Traceability Matrix'!D$2:D$500,1,FALSE)))</f>
        <v>0</v>
      </c>
    </row>
    <row r="53" spans="1:29" ht="13.15" customHeight="1" x14ac:dyDescent="0.2">
      <c r="D53" s="38"/>
      <c r="E53" s="47"/>
      <c r="F53" s="42"/>
      <c r="G53" s="42"/>
      <c r="H53" s="42"/>
      <c r="I53" s="42"/>
      <c r="J53" s="43"/>
      <c r="K53" s="43"/>
      <c r="L53" s="43"/>
      <c r="M53" s="42"/>
      <c r="N53" s="44"/>
      <c r="O53" s="42"/>
      <c r="P53" s="42"/>
      <c r="Q53" s="45"/>
      <c r="R53" s="32"/>
      <c r="S53" s="48"/>
      <c r="T53" s="32"/>
      <c r="U53" s="32"/>
      <c r="V53" s="32"/>
      <c r="W53" s="32"/>
      <c r="X53" s="32"/>
      <c r="Y53" s="32"/>
      <c r="AA53" s="30" t="e">
        <f t="shared" si="4"/>
        <v>#N/A</v>
      </c>
      <c r="AB53" s="30" t="b">
        <f t="shared" si="1"/>
        <v>0</v>
      </c>
      <c r="AC53" s="30" t="str">
        <f>IF(ISBLANK(D53),"FALSE",ISNA(VLOOKUP($D53,'Traceability Matrix'!D$2:D$500,1,FALSE)))</f>
        <v>FALSE</v>
      </c>
    </row>
    <row r="54" spans="1:29" ht="13.15" customHeight="1" x14ac:dyDescent="0.2">
      <c r="D54" s="38"/>
      <c r="E54" s="47"/>
      <c r="F54" s="42"/>
      <c r="G54" s="42"/>
      <c r="H54" s="42"/>
      <c r="I54" s="42"/>
      <c r="J54" s="43"/>
      <c r="K54" s="43"/>
      <c r="L54" s="43"/>
      <c r="M54" s="42"/>
      <c r="N54" s="44"/>
      <c r="O54" s="42"/>
      <c r="P54" s="42"/>
      <c r="Q54" s="45"/>
      <c r="R54" s="32"/>
      <c r="S54" s="48"/>
      <c r="T54" s="32"/>
      <c r="U54" s="32"/>
      <c r="V54" s="32"/>
      <c r="W54" s="32"/>
      <c r="X54" s="32"/>
      <c r="Y54" s="32"/>
      <c r="AA54" s="30" t="e">
        <f t="shared" si="4"/>
        <v>#N/A</v>
      </c>
      <c r="AB54" s="30" t="b">
        <f t="shared" si="1"/>
        <v>0</v>
      </c>
      <c r="AC54" s="30" t="str">
        <f>IF(ISBLANK(D54),"FALSE",ISNA(VLOOKUP($D54,'Traceability Matrix'!D$2:D$500,1,FALSE)))</f>
        <v>FALSE</v>
      </c>
    </row>
    <row r="55" spans="1:29" ht="13.15" customHeight="1" x14ac:dyDescent="0.2">
      <c r="D55" s="38"/>
      <c r="E55" s="47"/>
      <c r="F55" s="42"/>
      <c r="G55" s="42"/>
      <c r="H55" s="42"/>
      <c r="I55" s="42"/>
      <c r="J55" s="43"/>
      <c r="K55" s="43"/>
      <c r="L55" s="43"/>
      <c r="M55" s="42"/>
      <c r="N55" s="44"/>
      <c r="O55" s="42"/>
      <c r="P55" s="42"/>
      <c r="Q55" s="45"/>
      <c r="R55" s="32"/>
      <c r="S55" s="46"/>
      <c r="T55" s="49"/>
      <c r="U55" s="49"/>
      <c r="V55" s="49"/>
      <c r="W55" s="49"/>
      <c r="X55" s="49"/>
      <c r="Y55" s="49"/>
      <c r="AA55" s="30" t="e">
        <f t="shared" si="4"/>
        <v>#N/A</v>
      </c>
      <c r="AB55" s="30" t="b">
        <f t="shared" si="1"/>
        <v>0</v>
      </c>
      <c r="AC55" s="30" t="str">
        <f>IF(ISBLANK(D55),"FALSE",ISNA(VLOOKUP($D55,'Traceability Matrix'!D$2:D$500,1,FALSE)))</f>
        <v>FALSE</v>
      </c>
    </row>
    <row r="56" spans="1:29" ht="13.15" customHeight="1" x14ac:dyDescent="0.2">
      <c r="D56" s="38"/>
      <c r="E56" s="47"/>
      <c r="F56" s="42"/>
      <c r="G56" s="42"/>
      <c r="H56" s="42"/>
      <c r="I56" s="42"/>
      <c r="J56" s="43"/>
      <c r="K56" s="43"/>
      <c r="L56" s="43"/>
      <c r="M56" s="42"/>
      <c r="N56" s="44"/>
      <c r="O56" s="42"/>
      <c r="P56" s="42"/>
      <c r="Q56" s="45"/>
      <c r="R56" s="32"/>
      <c r="S56" s="46"/>
      <c r="T56" s="49"/>
      <c r="U56" s="49"/>
      <c r="V56" s="49"/>
      <c r="W56" s="49"/>
      <c r="X56" s="49"/>
      <c r="Y56" s="49"/>
      <c r="AA56" s="30" t="e">
        <f t="shared" si="4"/>
        <v>#N/A</v>
      </c>
      <c r="AB56" s="30" t="b">
        <f t="shared" si="1"/>
        <v>0</v>
      </c>
      <c r="AC56" s="30" t="str">
        <f>IF(ISBLANK(D56),"FALSE",ISNA(VLOOKUP($D56,'Traceability Matrix'!D$2:D$500,1,FALSE)))</f>
        <v>FALSE</v>
      </c>
    </row>
    <row r="57" spans="1:29" ht="13.15" customHeight="1" x14ac:dyDescent="0.2">
      <c r="D57" s="38"/>
      <c r="E57" s="47"/>
      <c r="F57" s="42"/>
      <c r="G57" s="42"/>
      <c r="H57" s="42"/>
      <c r="I57" s="42"/>
      <c r="J57" s="43"/>
      <c r="K57" s="43"/>
      <c r="L57" s="43"/>
      <c r="M57" s="42"/>
      <c r="N57" s="44"/>
      <c r="O57" s="42"/>
      <c r="P57" s="42"/>
      <c r="Q57" s="45"/>
      <c r="R57" s="49"/>
      <c r="S57" s="46"/>
      <c r="T57" s="49"/>
      <c r="U57" s="49"/>
      <c r="V57" s="49"/>
      <c r="W57" s="49"/>
      <c r="X57" s="49"/>
      <c r="Y57" s="49"/>
      <c r="AA57" s="30" t="e">
        <f t="shared" si="4"/>
        <v>#N/A</v>
      </c>
      <c r="AB57" s="30" t="b">
        <f t="shared" si="1"/>
        <v>0</v>
      </c>
      <c r="AC57" s="30" t="str">
        <f>IF(ISBLANK(D57),"FALSE",ISNA(VLOOKUP($D57,'Traceability Matrix'!D$2:D$500,1,FALSE)))</f>
        <v>FALSE</v>
      </c>
    </row>
    <row r="58" spans="1:29" ht="13.15" customHeight="1" x14ac:dyDescent="0.2">
      <c r="D58" s="38"/>
      <c r="E58" s="47"/>
      <c r="F58" s="42"/>
      <c r="G58" s="42"/>
      <c r="H58" s="42"/>
      <c r="I58" s="42"/>
      <c r="J58" s="43"/>
      <c r="K58" s="43"/>
      <c r="L58" s="43"/>
      <c r="M58" s="42"/>
      <c r="N58" s="44"/>
      <c r="O58" s="42"/>
      <c r="P58" s="42"/>
      <c r="Q58" s="45"/>
      <c r="R58" s="32"/>
      <c r="S58" s="46"/>
      <c r="T58" s="49"/>
      <c r="U58" s="49"/>
      <c r="V58" s="49"/>
      <c r="W58" s="49"/>
      <c r="X58" s="49"/>
      <c r="Y58" s="49"/>
      <c r="AA58" s="30" t="e">
        <f t="shared" si="4"/>
        <v>#N/A</v>
      </c>
      <c r="AB58" s="30" t="b">
        <f t="shared" si="1"/>
        <v>0</v>
      </c>
      <c r="AC58" s="30" t="str">
        <f>IF(ISBLANK(D58),"FALSE",ISNA(VLOOKUP($D58,'Traceability Matrix'!D$2:D$500,1,FALSE)))</f>
        <v>FALSE</v>
      </c>
    </row>
    <row r="59" spans="1:29" ht="13.15" customHeight="1" x14ac:dyDescent="0.2">
      <c r="D59" s="38"/>
      <c r="E59" s="47"/>
      <c r="F59" s="42"/>
      <c r="G59" s="42"/>
      <c r="H59" s="42"/>
      <c r="I59" s="42"/>
      <c r="J59" s="43"/>
      <c r="K59" s="43"/>
      <c r="L59" s="43"/>
      <c r="M59" s="42"/>
      <c r="N59" s="44"/>
      <c r="O59" s="42"/>
      <c r="P59" s="42"/>
      <c r="Q59" s="45"/>
      <c r="R59" s="32"/>
      <c r="S59" s="46"/>
      <c r="T59" s="49"/>
      <c r="U59" s="49"/>
      <c r="V59" s="49"/>
      <c r="W59" s="49"/>
      <c r="X59" s="49"/>
      <c r="Y59" s="49"/>
      <c r="AA59" s="30" t="e">
        <f t="shared" si="4"/>
        <v>#N/A</v>
      </c>
      <c r="AB59" s="30" t="b">
        <f t="shared" si="1"/>
        <v>0</v>
      </c>
      <c r="AC59" s="30" t="str">
        <f>IF(ISBLANK(D59),"FALSE",ISNA(VLOOKUP($D59,'Traceability Matrix'!D$2:D$500,1,FALSE)))</f>
        <v>FALSE</v>
      </c>
    </row>
    <row r="60" spans="1:29" ht="13.15" customHeight="1" x14ac:dyDescent="0.2">
      <c r="D60" s="38"/>
      <c r="E60" s="47"/>
      <c r="F60" s="42"/>
      <c r="G60" s="42"/>
      <c r="H60" s="42"/>
      <c r="I60" s="42"/>
      <c r="J60" s="43"/>
      <c r="K60" s="43"/>
      <c r="L60" s="43"/>
      <c r="M60" s="42"/>
      <c r="N60" s="44"/>
      <c r="O60" s="42"/>
      <c r="P60" s="42"/>
      <c r="Q60" s="45"/>
      <c r="R60" s="32"/>
      <c r="S60" s="46"/>
      <c r="T60" s="49"/>
      <c r="U60" s="49"/>
      <c r="V60" s="49"/>
      <c r="W60" s="49"/>
      <c r="X60" s="49"/>
      <c r="Y60" s="49"/>
      <c r="AA60" s="30" t="e">
        <f t="shared" si="4"/>
        <v>#N/A</v>
      </c>
      <c r="AB60" s="30" t="b">
        <f t="shared" si="1"/>
        <v>0</v>
      </c>
      <c r="AC60" s="30" t="str">
        <f>IF(ISBLANK(D60),"FALSE",ISNA(VLOOKUP($D60,'Traceability Matrix'!D$2:D$500,1,FALSE)))</f>
        <v>FALSE</v>
      </c>
    </row>
    <row r="61" spans="1:29" ht="13.15" customHeight="1" x14ac:dyDescent="0.2">
      <c r="D61" s="38"/>
      <c r="E61" s="47"/>
      <c r="F61" s="42"/>
      <c r="G61" s="42"/>
      <c r="H61" s="42"/>
      <c r="I61" s="42"/>
      <c r="J61" s="43"/>
      <c r="K61" s="43"/>
      <c r="L61" s="43"/>
      <c r="M61" s="42"/>
      <c r="N61" s="44"/>
      <c r="O61" s="42"/>
      <c r="P61" s="42"/>
      <c r="Q61" s="45"/>
      <c r="R61" s="49"/>
      <c r="S61" s="46"/>
      <c r="T61" s="49"/>
      <c r="U61" s="49"/>
      <c r="V61" s="49"/>
      <c r="W61" s="49"/>
      <c r="X61" s="49"/>
      <c r="Y61" s="49"/>
      <c r="AA61" s="30" t="e">
        <f t="shared" si="4"/>
        <v>#N/A</v>
      </c>
      <c r="AB61" s="30" t="b">
        <f t="shared" si="1"/>
        <v>0</v>
      </c>
      <c r="AC61" s="30" t="str">
        <f>IF(ISBLANK(D61),"FALSE",ISNA(VLOOKUP($D61,'Traceability Matrix'!D$2:D$500,1,FALSE)))</f>
        <v>FALSE</v>
      </c>
    </row>
    <row r="62" spans="1:29" ht="13.15" customHeight="1" x14ac:dyDescent="0.2">
      <c r="D62" s="38"/>
      <c r="E62" s="47"/>
      <c r="F62" s="42"/>
      <c r="G62" s="42"/>
      <c r="H62" s="42"/>
      <c r="I62" s="42"/>
      <c r="J62" s="43"/>
      <c r="K62" s="43"/>
      <c r="L62" s="43"/>
      <c r="M62" s="42"/>
      <c r="N62" s="44"/>
      <c r="O62" s="42"/>
      <c r="P62" s="42"/>
      <c r="Q62" s="45"/>
      <c r="R62" s="49"/>
      <c r="S62" s="46"/>
      <c r="T62" s="49"/>
      <c r="U62" s="49"/>
      <c r="V62" s="49"/>
      <c r="W62" s="49"/>
      <c r="X62" s="49"/>
      <c r="Y62" s="49"/>
      <c r="AA62" s="30" t="e">
        <f t="shared" si="4"/>
        <v>#N/A</v>
      </c>
      <c r="AB62" s="30" t="b">
        <f t="shared" si="1"/>
        <v>0</v>
      </c>
      <c r="AC62" s="30" t="str">
        <f>IF(ISBLANK(D62),"FALSE",ISNA(VLOOKUP($D62,'Traceability Matrix'!D$2:D$500,1,FALSE)))</f>
        <v>FALSE</v>
      </c>
    </row>
    <row r="63" spans="1:29" ht="13.15" customHeight="1" x14ac:dyDescent="0.2">
      <c r="D63" s="38"/>
      <c r="E63" s="47"/>
      <c r="F63" s="42"/>
      <c r="G63" s="42"/>
      <c r="H63" s="42"/>
      <c r="I63" s="42"/>
      <c r="J63" s="43"/>
      <c r="K63" s="43"/>
      <c r="L63" s="43"/>
      <c r="M63" s="42"/>
      <c r="N63" s="44"/>
      <c r="O63" s="42"/>
      <c r="P63" s="42"/>
      <c r="Q63" s="45"/>
      <c r="R63" s="49"/>
      <c r="S63" s="46"/>
      <c r="T63" s="49"/>
      <c r="U63" s="49"/>
      <c r="V63" s="49"/>
      <c r="W63" s="49"/>
      <c r="X63" s="49"/>
      <c r="Y63" s="49"/>
      <c r="AA63" s="30" t="e">
        <f t="shared" si="4"/>
        <v>#N/A</v>
      </c>
      <c r="AB63" s="30" t="b">
        <f t="shared" si="1"/>
        <v>0</v>
      </c>
      <c r="AC63" s="30" t="str">
        <f>IF(ISBLANK(D63),"FALSE",ISNA(VLOOKUP($D63,'Traceability Matrix'!D$2:D$500,1,FALSE)))</f>
        <v>FALSE</v>
      </c>
    </row>
    <row r="64" spans="1:29" ht="13.15" customHeight="1" x14ac:dyDescent="0.2">
      <c r="D64" s="38"/>
      <c r="E64" s="47"/>
      <c r="F64" s="42"/>
      <c r="G64" s="42"/>
      <c r="H64" s="42"/>
      <c r="I64" s="42"/>
      <c r="J64" s="43"/>
      <c r="K64" s="43"/>
      <c r="L64" s="43"/>
      <c r="M64" s="42"/>
      <c r="N64" s="44"/>
      <c r="O64" s="42"/>
      <c r="P64" s="42"/>
      <c r="Q64" s="45"/>
      <c r="R64" s="49"/>
      <c r="S64" s="46"/>
      <c r="T64" s="49"/>
      <c r="U64" s="49"/>
      <c r="V64" s="49"/>
      <c r="W64" s="49"/>
      <c r="X64" s="49"/>
      <c r="Y64" s="49"/>
      <c r="AA64" s="30" t="e">
        <f t="shared" si="4"/>
        <v>#N/A</v>
      </c>
      <c r="AB64" s="30" t="b">
        <f t="shared" si="1"/>
        <v>0</v>
      </c>
      <c r="AC64" s="30" t="str">
        <f>IF(ISBLANK(D64),"FALSE",ISNA(VLOOKUP($D64,'Traceability Matrix'!D$2:D$500,1,FALSE)))</f>
        <v>FALSE</v>
      </c>
    </row>
    <row r="65" spans="4:29" ht="13.15" customHeight="1" x14ac:dyDescent="0.2">
      <c r="D65" s="38"/>
      <c r="E65" s="47"/>
      <c r="F65" s="42"/>
      <c r="G65" s="42"/>
      <c r="H65" s="42"/>
      <c r="I65" s="42"/>
      <c r="J65" s="43"/>
      <c r="K65" s="43"/>
      <c r="L65" s="43"/>
      <c r="M65" s="42"/>
      <c r="N65" s="44"/>
      <c r="O65" s="42"/>
      <c r="P65" s="42"/>
      <c r="Q65" s="45"/>
      <c r="R65" s="49"/>
      <c r="S65" s="46"/>
      <c r="T65" s="49"/>
      <c r="U65" s="49"/>
      <c r="V65" s="49"/>
      <c r="W65" s="49"/>
      <c r="X65" s="49"/>
      <c r="Y65" s="49"/>
      <c r="AA65" s="30" t="e">
        <f t="shared" si="4"/>
        <v>#N/A</v>
      </c>
      <c r="AB65" s="30" t="b">
        <f t="shared" si="1"/>
        <v>0</v>
      </c>
      <c r="AC65" s="30" t="str">
        <f>IF(ISBLANK(D65),"FALSE",ISNA(VLOOKUP($D65,'Traceability Matrix'!D$2:D$500,1,FALSE)))</f>
        <v>FALSE</v>
      </c>
    </row>
    <row r="66" spans="4:29" ht="13.15" customHeight="1" x14ac:dyDescent="0.2">
      <c r="D66" s="38"/>
      <c r="E66" s="47"/>
      <c r="F66" s="42"/>
      <c r="G66" s="42"/>
      <c r="H66" s="42"/>
      <c r="I66" s="42"/>
      <c r="J66" s="43"/>
      <c r="K66" s="43"/>
      <c r="L66" s="43"/>
      <c r="M66" s="42"/>
      <c r="N66" s="44"/>
      <c r="O66" s="42"/>
      <c r="P66" s="42"/>
      <c r="Q66" s="45"/>
      <c r="R66" s="49"/>
      <c r="S66" s="46"/>
      <c r="T66" s="49"/>
      <c r="U66" s="49"/>
      <c r="V66" s="49"/>
      <c r="W66" s="49"/>
      <c r="X66" s="49"/>
      <c r="Y66" s="49"/>
      <c r="AA66" s="30" t="e">
        <f t="shared" si="4"/>
        <v>#N/A</v>
      </c>
      <c r="AB66" s="30" t="b">
        <f t="shared" ref="AB66:AB129" si="7">NOT(IF(OR(NOT(ISBLANK(A66)),NOT(ISBLANK(C66))),IF(AND(EXACT(H66,"Yes"),NOT(ISBLANK(I66))),"TRUE","FALSE"),IF(OR(EXACT(H66,"Yes"),NOT(ISBLANK(I66))),"FALSE","TRUE")))</f>
        <v>0</v>
      </c>
      <c r="AC66" s="30" t="str">
        <f>IF(ISBLANK(D66),"FALSE",ISNA(VLOOKUP($D66,'Traceability Matrix'!D$2:D$500,1,FALSE)))</f>
        <v>FALSE</v>
      </c>
    </row>
    <row r="67" spans="4:29" ht="13.15" customHeight="1" x14ac:dyDescent="0.2">
      <c r="D67" s="38"/>
      <c r="E67" s="47"/>
      <c r="F67" s="42"/>
      <c r="G67" s="42"/>
      <c r="H67" s="42"/>
      <c r="I67" s="42"/>
      <c r="J67" s="43"/>
      <c r="K67" s="43"/>
      <c r="L67" s="43"/>
      <c r="M67" s="42"/>
      <c r="N67" s="44"/>
      <c r="O67" s="42"/>
      <c r="P67" s="42"/>
      <c r="Q67" s="45"/>
      <c r="R67" s="49"/>
      <c r="S67" s="46"/>
      <c r="T67" s="49"/>
      <c r="U67" s="49"/>
      <c r="V67" s="49"/>
      <c r="W67" s="49"/>
      <c r="X67" s="49"/>
      <c r="Y67" s="49"/>
      <c r="AA67" s="30" t="e">
        <f t="shared" si="4"/>
        <v>#N/A</v>
      </c>
      <c r="AB67" s="30" t="b">
        <f t="shared" si="7"/>
        <v>0</v>
      </c>
      <c r="AC67" s="30" t="str">
        <f>IF(ISBLANK(D67),"FALSE",ISNA(VLOOKUP($D67,'Traceability Matrix'!D$2:D$500,1,FALSE)))</f>
        <v>FALSE</v>
      </c>
    </row>
    <row r="68" spans="4:29" ht="13.15" customHeight="1" x14ac:dyDescent="0.2">
      <c r="D68" s="38"/>
      <c r="E68" s="47"/>
      <c r="F68" s="42"/>
      <c r="G68" s="42"/>
      <c r="H68" s="42"/>
      <c r="I68" s="42"/>
      <c r="J68" s="43"/>
      <c r="K68" s="43"/>
      <c r="L68" s="43"/>
      <c r="M68" s="42"/>
      <c r="N68" s="44"/>
      <c r="O68" s="42"/>
      <c r="P68" s="42"/>
      <c r="Q68" s="45"/>
      <c r="R68" s="49"/>
      <c r="S68" s="46"/>
      <c r="T68" s="41"/>
      <c r="U68" s="41"/>
      <c r="V68" s="41"/>
      <c r="W68" s="41"/>
      <c r="X68" s="41"/>
      <c r="Y68" s="41"/>
      <c r="AA68" s="30" t="e">
        <f t="shared" ref="AA68:AA99" si="8">IF(MATCH(D68,$D$4:$D$47,0) &lt;&gt; (ROW() - 3), TRUE, FALSE)</f>
        <v>#N/A</v>
      </c>
      <c r="AB68" s="30" t="b">
        <f t="shared" si="7"/>
        <v>0</v>
      </c>
      <c r="AC68" s="30" t="str">
        <f>IF(ISBLANK(D68),"FALSE",ISNA(VLOOKUP($D68,'Traceability Matrix'!D$2:D$500,1,FALSE)))</f>
        <v>FALSE</v>
      </c>
    </row>
    <row r="69" spans="4:29" ht="13.15" customHeight="1" x14ac:dyDescent="0.2">
      <c r="D69" s="38"/>
      <c r="E69" s="47"/>
      <c r="F69" s="42"/>
      <c r="G69" s="42"/>
      <c r="H69" s="42"/>
      <c r="I69" s="42"/>
      <c r="J69" s="43"/>
      <c r="K69" s="43"/>
      <c r="L69" s="43"/>
      <c r="M69" s="42"/>
      <c r="N69" s="44"/>
      <c r="O69" s="42"/>
      <c r="P69" s="42"/>
      <c r="Q69" s="45"/>
      <c r="R69" s="49"/>
      <c r="S69" s="50"/>
      <c r="T69" s="10"/>
      <c r="U69" s="10"/>
      <c r="V69" s="10"/>
      <c r="W69" s="10"/>
      <c r="X69" s="10"/>
      <c r="Y69" s="10"/>
      <c r="AA69" s="30" t="e">
        <f t="shared" si="8"/>
        <v>#N/A</v>
      </c>
      <c r="AB69" s="30" t="b">
        <f t="shared" si="7"/>
        <v>0</v>
      </c>
      <c r="AC69" s="30" t="str">
        <f>IF(ISBLANK(D69),"FALSE",ISNA(VLOOKUP($D69,'Traceability Matrix'!D$2:D$500,1,FALSE)))</f>
        <v>FALSE</v>
      </c>
    </row>
    <row r="70" spans="4:29" ht="13.15" customHeight="1" x14ac:dyDescent="0.2">
      <c r="D70" s="38"/>
      <c r="E70" s="47"/>
      <c r="F70" s="42"/>
      <c r="G70" s="42"/>
      <c r="H70" s="42"/>
      <c r="I70" s="42"/>
      <c r="J70" s="43"/>
      <c r="K70" s="43"/>
      <c r="L70" s="43"/>
      <c r="M70" s="42"/>
      <c r="N70" s="44"/>
      <c r="O70" s="42"/>
      <c r="P70" s="42"/>
      <c r="Q70" s="45"/>
      <c r="R70" s="49"/>
      <c r="S70" s="50"/>
      <c r="T70" s="10"/>
      <c r="U70" s="10"/>
      <c r="V70" s="10"/>
      <c r="W70" s="10"/>
      <c r="X70" s="10"/>
      <c r="Y70" s="10"/>
      <c r="AA70" s="30" t="e">
        <f t="shared" si="8"/>
        <v>#N/A</v>
      </c>
      <c r="AB70" s="30" t="b">
        <f t="shared" si="7"/>
        <v>0</v>
      </c>
      <c r="AC70" s="30" t="str">
        <f>IF(ISBLANK(D70),"FALSE",ISNA(VLOOKUP($D70,'Traceability Matrix'!D$2:D$500,1,FALSE)))</f>
        <v>FALSE</v>
      </c>
    </row>
    <row r="71" spans="4:29" ht="13.15" customHeight="1" x14ac:dyDescent="0.2">
      <c r="D71" s="38"/>
      <c r="E71" s="47"/>
      <c r="F71" s="42"/>
      <c r="G71" s="42"/>
      <c r="H71" s="42"/>
      <c r="I71" s="42"/>
      <c r="J71" s="43"/>
      <c r="K71" s="43"/>
      <c r="L71" s="43"/>
      <c r="M71" s="42"/>
      <c r="N71" s="44"/>
      <c r="O71" s="42"/>
      <c r="P71" s="42"/>
      <c r="Q71" s="45"/>
      <c r="R71" s="49"/>
      <c r="S71" s="50"/>
      <c r="T71" s="10"/>
      <c r="U71" s="10"/>
      <c r="V71" s="10"/>
      <c r="W71" s="10"/>
      <c r="X71" s="10"/>
      <c r="Y71" s="10"/>
      <c r="AA71" s="30" t="e">
        <f t="shared" si="8"/>
        <v>#N/A</v>
      </c>
      <c r="AB71" s="30" t="b">
        <f t="shared" si="7"/>
        <v>0</v>
      </c>
      <c r="AC71" s="30" t="str">
        <f>IF(ISBLANK(D71),"FALSE",ISNA(VLOOKUP($D71,'Traceability Matrix'!D$2:D$500,1,FALSE)))</f>
        <v>FALSE</v>
      </c>
    </row>
    <row r="72" spans="4:29" ht="13.15" customHeight="1" x14ac:dyDescent="0.2">
      <c r="D72" s="38"/>
      <c r="E72" s="47"/>
      <c r="F72" s="42"/>
      <c r="G72" s="42"/>
      <c r="H72" s="42"/>
      <c r="I72" s="42"/>
      <c r="J72" s="43"/>
      <c r="K72" s="43"/>
      <c r="L72" s="43"/>
      <c r="M72" s="42"/>
      <c r="N72" s="44"/>
      <c r="O72" s="42"/>
      <c r="P72" s="42"/>
      <c r="Q72" s="45"/>
      <c r="R72" s="49"/>
      <c r="S72" s="50"/>
      <c r="T72" s="10"/>
      <c r="U72" s="10"/>
      <c r="V72" s="10"/>
      <c r="W72" s="10"/>
      <c r="X72" s="10"/>
      <c r="Y72" s="10"/>
      <c r="AA72" s="30" t="e">
        <f t="shared" si="8"/>
        <v>#N/A</v>
      </c>
      <c r="AB72" s="30" t="b">
        <f t="shared" si="7"/>
        <v>0</v>
      </c>
      <c r="AC72" s="30" t="str">
        <f>IF(ISBLANK(D72),"FALSE",ISNA(VLOOKUP($D72,'Traceability Matrix'!D$2:D$500,1,FALSE)))</f>
        <v>FALSE</v>
      </c>
    </row>
    <row r="73" spans="4:29" ht="13.15" customHeight="1" x14ac:dyDescent="0.2">
      <c r="D73" s="38"/>
      <c r="E73" s="47"/>
      <c r="F73" s="42"/>
      <c r="G73" s="42"/>
      <c r="H73" s="42"/>
      <c r="I73" s="42"/>
      <c r="J73" s="43"/>
      <c r="K73" s="43"/>
      <c r="L73" s="43"/>
      <c r="M73" s="42"/>
      <c r="N73" s="44"/>
      <c r="O73" s="42"/>
      <c r="P73" s="42"/>
      <c r="Q73" s="45"/>
      <c r="R73" s="49"/>
      <c r="AA73" s="30" t="e">
        <f t="shared" si="8"/>
        <v>#N/A</v>
      </c>
      <c r="AB73" s="30" t="b">
        <f t="shared" si="7"/>
        <v>0</v>
      </c>
      <c r="AC73" s="30" t="str">
        <f>IF(ISBLANK(D73),"FALSE",ISNA(VLOOKUP($D73,'Traceability Matrix'!D$2:D$500,1,FALSE)))</f>
        <v>FALSE</v>
      </c>
    </row>
    <row r="74" spans="4:29" ht="13.15" customHeight="1" x14ac:dyDescent="0.2">
      <c r="D74" s="38"/>
      <c r="E74" s="47"/>
      <c r="F74" s="42"/>
      <c r="G74" s="42"/>
      <c r="H74" s="42"/>
      <c r="I74" s="42"/>
      <c r="J74" s="43"/>
      <c r="K74" s="43"/>
      <c r="L74" s="43"/>
      <c r="M74" s="42"/>
      <c r="N74" s="44"/>
      <c r="O74" s="42"/>
      <c r="P74" s="42"/>
      <c r="Q74" s="45"/>
      <c r="R74" s="41"/>
      <c r="AA74" s="30" t="e">
        <f t="shared" si="8"/>
        <v>#N/A</v>
      </c>
      <c r="AB74" s="30" t="b">
        <f t="shared" si="7"/>
        <v>0</v>
      </c>
      <c r="AC74" s="30" t="str">
        <f>IF(ISBLANK(D74),"FALSE",ISNA(VLOOKUP($D74,'Traceability Matrix'!D$2:D$500,1,FALSE)))</f>
        <v>FALSE</v>
      </c>
    </row>
    <row r="75" spans="4:29" ht="13.15" customHeight="1" x14ac:dyDescent="0.2">
      <c r="D75" s="38"/>
      <c r="E75" s="47"/>
      <c r="F75" s="42"/>
      <c r="G75" s="42"/>
      <c r="H75" s="42"/>
      <c r="I75" s="42"/>
      <c r="J75" s="43"/>
      <c r="K75" s="43"/>
      <c r="L75" s="43"/>
      <c r="M75" s="42"/>
      <c r="N75" s="44"/>
      <c r="O75" s="42"/>
      <c r="P75" s="42"/>
      <c r="Q75" s="45"/>
      <c r="R75" s="10"/>
      <c r="AA75" s="30" t="e">
        <f t="shared" si="8"/>
        <v>#N/A</v>
      </c>
      <c r="AB75" s="30" t="b">
        <f t="shared" si="7"/>
        <v>0</v>
      </c>
      <c r="AC75" s="30" t="str">
        <f>IF(ISBLANK(D75),"FALSE",ISNA(VLOOKUP($D75,'Traceability Matrix'!D$2:D$500,1,FALSE)))</f>
        <v>FALSE</v>
      </c>
    </row>
    <row r="76" spans="4:29" ht="13.15" customHeight="1" x14ac:dyDescent="0.2">
      <c r="D76" s="38"/>
      <c r="E76" s="47"/>
      <c r="F76" s="42"/>
      <c r="G76" s="42"/>
      <c r="H76" s="42"/>
      <c r="I76" s="42"/>
      <c r="J76" s="43"/>
      <c r="K76" s="43"/>
      <c r="L76" s="43"/>
      <c r="M76" s="42"/>
      <c r="N76" s="44"/>
      <c r="O76" s="42"/>
      <c r="P76" s="42"/>
      <c r="Q76" s="45"/>
      <c r="R76" s="10"/>
      <c r="AA76" s="30" t="e">
        <f t="shared" si="8"/>
        <v>#N/A</v>
      </c>
      <c r="AB76" s="30" t="b">
        <f t="shared" si="7"/>
        <v>0</v>
      </c>
      <c r="AC76" s="30" t="str">
        <f>IF(ISBLANK(D76),"FALSE",ISNA(VLOOKUP($D76,'Traceability Matrix'!D$2:D$500,1,FALSE)))</f>
        <v>FALSE</v>
      </c>
    </row>
    <row r="77" spans="4:29" ht="13.15" customHeight="1" x14ac:dyDescent="0.2">
      <c r="D77" s="38"/>
      <c r="E77" s="47"/>
      <c r="F77" s="42"/>
      <c r="G77" s="42"/>
      <c r="H77" s="42"/>
      <c r="I77" s="42"/>
      <c r="J77" s="43"/>
      <c r="K77" s="43"/>
      <c r="L77" s="43"/>
      <c r="M77" s="42"/>
      <c r="N77" s="44"/>
      <c r="O77" s="42"/>
      <c r="P77" s="42"/>
      <c r="Q77" s="45"/>
      <c r="R77" s="10"/>
      <c r="AA77" s="30" t="e">
        <f t="shared" si="8"/>
        <v>#N/A</v>
      </c>
      <c r="AB77" s="30" t="b">
        <f t="shared" si="7"/>
        <v>0</v>
      </c>
      <c r="AC77" s="30" t="str">
        <f>IF(ISBLANK(D77),"FALSE",ISNA(VLOOKUP($D77,'Traceability Matrix'!D$2:D$500,1,FALSE)))</f>
        <v>FALSE</v>
      </c>
    </row>
    <row r="78" spans="4:29" ht="13.15" customHeight="1" x14ac:dyDescent="0.2">
      <c r="D78" s="38"/>
      <c r="E78" s="47"/>
      <c r="F78" s="42"/>
      <c r="G78" s="42"/>
      <c r="H78" s="42"/>
      <c r="I78" s="42"/>
      <c r="J78" s="43"/>
      <c r="K78" s="43"/>
      <c r="L78" s="43"/>
      <c r="M78" s="42"/>
      <c r="N78" s="44"/>
      <c r="O78" s="42"/>
      <c r="P78" s="42"/>
      <c r="Q78" s="45"/>
      <c r="R78" s="10"/>
      <c r="AA78" s="30" t="e">
        <f t="shared" si="8"/>
        <v>#N/A</v>
      </c>
      <c r="AB78" s="30" t="b">
        <f t="shared" si="7"/>
        <v>0</v>
      </c>
      <c r="AC78" s="30" t="str">
        <f>IF(ISBLANK(D78),"FALSE",ISNA(VLOOKUP($D78,'Traceability Matrix'!D$2:D$500,1,FALSE)))</f>
        <v>FALSE</v>
      </c>
    </row>
    <row r="79" spans="4:29" ht="13.15" customHeight="1" x14ac:dyDescent="0.2">
      <c r="D79" s="38"/>
      <c r="E79" s="47"/>
      <c r="F79" s="42"/>
      <c r="G79" s="42"/>
      <c r="H79" s="42"/>
      <c r="I79" s="42"/>
      <c r="J79" s="43"/>
      <c r="K79" s="43"/>
      <c r="L79" s="43"/>
      <c r="M79" s="42"/>
      <c r="N79" s="44"/>
      <c r="O79" s="42"/>
      <c r="P79" s="42"/>
      <c r="Q79" s="45"/>
      <c r="AA79" s="30" t="e">
        <f t="shared" si="8"/>
        <v>#N/A</v>
      </c>
      <c r="AB79" s="30" t="b">
        <f t="shared" si="7"/>
        <v>0</v>
      </c>
      <c r="AC79" s="30" t="str">
        <f>IF(ISBLANK(D79),"FALSE",ISNA(VLOOKUP($D79,'Traceability Matrix'!D$2:D$500,1,FALSE)))</f>
        <v>FALSE</v>
      </c>
    </row>
    <row r="80" spans="4:29" ht="13.15" customHeight="1" x14ac:dyDescent="0.2">
      <c r="D80" s="38"/>
      <c r="E80" s="41"/>
      <c r="F80" s="42"/>
      <c r="G80" s="42"/>
      <c r="H80" s="42"/>
      <c r="I80" s="42"/>
      <c r="J80" s="43"/>
      <c r="K80" s="43"/>
      <c r="L80" s="43"/>
      <c r="M80" s="42"/>
      <c r="N80" s="44"/>
      <c r="O80" s="42"/>
      <c r="P80" s="42"/>
      <c r="Q80" s="45"/>
      <c r="AA80" s="30" t="e">
        <f t="shared" si="8"/>
        <v>#N/A</v>
      </c>
      <c r="AB80" s="30" t="b">
        <f t="shared" si="7"/>
        <v>0</v>
      </c>
      <c r="AC80" s="30" t="str">
        <f>IF(ISBLANK(D80),"FALSE",ISNA(VLOOKUP($D80,'Traceability Matrix'!D$2:D$500,1,FALSE)))</f>
        <v>FALSE</v>
      </c>
    </row>
    <row r="81" spans="4:29" ht="13.15" customHeight="1" x14ac:dyDescent="0.2">
      <c r="D81" s="38"/>
      <c r="E81" s="41"/>
      <c r="F81" s="42"/>
      <c r="G81" s="42"/>
      <c r="H81" s="42"/>
      <c r="I81" s="42"/>
      <c r="J81" s="43"/>
      <c r="K81" s="43"/>
      <c r="L81" s="43"/>
      <c r="M81" s="42"/>
      <c r="N81" s="44"/>
      <c r="O81" s="42"/>
      <c r="P81" s="42"/>
      <c r="Q81" s="45"/>
      <c r="AA81" s="30" t="e">
        <f t="shared" si="8"/>
        <v>#N/A</v>
      </c>
      <c r="AB81" s="30" t="b">
        <f t="shared" si="7"/>
        <v>0</v>
      </c>
      <c r="AC81" s="30" t="str">
        <f>IF(ISBLANK(D81),"FALSE",ISNA(VLOOKUP($D81,'Traceability Matrix'!D$2:D$500,1,FALSE)))</f>
        <v>FALSE</v>
      </c>
    </row>
    <row r="82" spans="4:29" ht="13.15" customHeight="1" x14ac:dyDescent="0.2">
      <c r="D82" s="38"/>
      <c r="E82" s="41"/>
      <c r="F82" s="42"/>
      <c r="G82" s="42"/>
      <c r="H82" s="42"/>
      <c r="I82" s="42"/>
      <c r="J82" s="43"/>
      <c r="K82" s="43"/>
      <c r="L82" s="43"/>
      <c r="M82" s="42"/>
      <c r="N82" s="44"/>
      <c r="O82" s="42"/>
      <c r="P82" s="42"/>
      <c r="Q82" s="45"/>
      <c r="AA82" s="30" t="e">
        <f t="shared" si="8"/>
        <v>#N/A</v>
      </c>
      <c r="AB82" s="30" t="b">
        <f t="shared" si="7"/>
        <v>0</v>
      </c>
      <c r="AC82" s="30" t="str">
        <f>IF(ISBLANK(D82),"FALSE",ISNA(VLOOKUP($D82,'Traceability Matrix'!D$2:D$500,1,FALSE)))</f>
        <v>FALSE</v>
      </c>
    </row>
    <row r="83" spans="4:29" ht="13.15" customHeight="1" x14ac:dyDescent="0.2">
      <c r="D83" s="38"/>
      <c r="E83" s="47"/>
      <c r="F83" s="42"/>
      <c r="G83" s="42"/>
      <c r="H83" s="42"/>
      <c r="I83" s="42"/>
      <c r="J83" s="43"/>
      <c r="K83" s="43"/>
      <c r="L83" s="43"/>
      <c r="M83" s="42"/>
      <c r="N83" s="44"/>
      <c r="O83" s="42"/>
      <c r="P83" s="42"/>
      <c r="Q83" s="45"/>
      <c r="AA83" s="30" t="e">
        <f t="shared" si="8"/>
        <v>#N/A</v>
      </c>
      <c r="AB83" s="30" t="b">
        <f t="shared" si="7"/>
        <v>0</v>
      </c>
      <c r="AC83" s="30" t="str">
        <f>IF(ISBLANK(D83),"FALSE",ISNA(VLOOKUP($D83,'Traceability Matrix'!D$2:D$500,1,FALSE)))</f>
        <v>FALSE</v>
      </c>
    </row>
    <row r="84" spans="4:29" ht="13.15" customHeight="1" x14ac:dyDescent="0.2">
      <c r="D84" s="38"/>
      <c r="E84" s="41"/>
      <c r="F84" s="42"/>
      <c r="G84" s="42"/>
      <c r="H84" s="42"/>
      <c r="I84" s="42"/>
      <c r="J84" s="43"/>
      <c r="K84" s="43"/>
      <c r="L84" s="43"/>
      <c r="M84" s="42"/>
      <c r="N84" s="44"/>
      <c r="O84" s="42"/>
      <c r="P84" s="42"/>
      <c r="Q84" s="45"/>
      <c r="AA84" s="30" t="e">
        <f t="shared" si="8"/>
        <v>#N/A</v>
      </c>
      <c r="AB84" s="30" t="b">
        <f t="shared" si="7"/>
        <v>0</v>
      </c>
      <c r="AC84" s="30" t="str">
        <f>IF(ISBLANK(D84),"FALSE",ISNA(VLOOKUP($D84,'Traceability Matrix'!D$2:D$500,1,FALSE)))</f>
        <v>FALSE</v>
      </c>
    </row>
    <row r="85" spans="4:29" ht="13.15" customHeight="1" x14ac:dyDescent="0.2">
      <c r="D85" s="38"/>
      <c r="E85" s="47"/>
      <c r="F85" s="42"/>
      <c r="G85" s="42"/>
      <c r="H85" s="42"/>
      <c r="I85" s="42"/>
      <c r="J85" s="43"/>
      <c r="K85" s="43"/>
      <c r="L85" s="43"/>
      <c r="M85" s="42"/>
      <c r="N85" s="44"/>
      <c r="O85" s="42"/>
      <c r="P85" s="42"/>
      <c r="Q85" s="45"/>
      <c r="AA85" s="30" t="e">
        <f t="shared" si="8"/>
        <v>#N/A</v>
      </c>
      <c r="AB85" s="30" t="b">
        <f t="shared" si="7"/>
        <v>0</v>
      </c>
      <c r="AC85" s="30" t="str">
        <f>IF(ISBLANK(D85),"FALSE",ISNA(VLOOKUP($D85,'Traceability Matrix'!D$2:D$500,1,FALSE)))</f>
        <v>FALSE</v>
      </c>
    </row>
    <row r="86" spans="4:29" ht="13.15" customHeight="1" x14ac:dyDescent="0.2">
      <c r="D86" s="38"/>
      <c r="E86" s="41"/>
      <c r="F86" s="42"/>
      <c r="G86" s="42"/>
      <c r="H86" s="42"/>
      <c r="I86" s="42"/>
      <c r="J86" s="43"/>
      <c r="K86" s="43"/>
      <c r="L86" s="43"/>
      <c r="M86" s="42"/>
      <c r="N86" s="44"/>
      <c r="O86" s="42"/>
      <c r="P86" s="42"/>
      <c r="Q86" s="45"/>
      <c r="AA86" s="30" t="e">
        <f t="shared" si="8"/>
        <v>#N/A</v>
      </c>
      <c r="AB86" s="30" t="b">
        <f t="shared" si="7"/>
        <v>0</v>
      </c>
      <c r="AC86" s="30" t="str">
        <f>IF(ISBLANK(D86),"FALSE",ISNA(VLOOKUP($D86,'Traceability Matrix'!D$2:D$500,1,FALSE)))</f>
        <v>FALSE</v>
      </c>
    </row>
    <row r="87" spans="4:29" ht="13.15" customHeight="1" x14ac:dyDescent="0.2">
      <c r="D87" s="38"/>
      <c r="E87" s="47"/>
      <c r="F87" s="42"/>
      <c r="G87" s="42"/>
      <c r="H87" s="42"/>
      <c r="I87" s="42"/>
      <c r="J87" s="43"/>
      <c r="K87" s="43"/>
      <c r="L87" s="43"/>
      <c r="M87" s="42"/>
      <c r="N87" s="44"/>
      <c r="O87" s="42"/>
      <c r="P87" s="42"/>
      <c r="Q87" s="45"/>
      <c r="AA87" s="30" t="e">
        <f t="shared" si="8"/>
        <v>#N/A</v>
      </c>
      <c r="AB87" s="30" t="b">
        <f t="shared" si="7"/>
        <v>0</v>
      </c>
      <c r="AC87" s="30" t="str">
        <f>IF(ISBLANK(D87),"FALSE",ISNA(VLOOKUP($D87,'Traceability Matrix'!D$2:D$500,1,FALSE)))</f>
        <v>FALSE</v>
      </c>
    </row>
    <row r="88" spans="4:29" ht="13.15" customHeight="1" x14ac:dyDescent="0.2">
      <c r="D88" s="38"/>
      <c r="E88" s="47"/>
      <c r="F88" s="42"/>
      <c r="G88" s="42"/>
      <c r="H88" s="42"/>
      <c r="I88" s="42"/>
      <c r="J88" s="43"/>
      <c r="K88" s="43"/>
      <c r="L88" s="43"/>
      <c r="M88" s="42"/>
      <c r="N88" s="44"/>
      <c r="O88" s="42"/>
      <c r="P88" s="42"/>
      <c r="Q88" s="45"/>
      <c r="AA88" s="30" t="e">
        <f t="shared" si="8"/>
        <v>#N/A</v>
      </c>
      <c r="AB88" s="30" t="b">
        <f t="shared" si="7"/>
        <v>0</v>
      </c>
      <c r="AC88" s="30" t="str">
        <f>IF(ISBLANK(D88),"FALSE",ISNA(VLOOKUP($D88,'Traceability Matrix'!D$2:D$500,1,FALSE)))</f>
        <v>FALSE</v>
      </c>
    </row>
    <row r="89" spans="4:29" ht="13.15" customHeight="1" x14ac:dyDescent="0.2">
      <c r="D89" s="38"/>
      <c r="E89" s="41"/>
      <c r="F89" s="42"/>
      <c r="G89" s="42"/>
      <c r="H89" s="42"/>
      <c r="I89" s="42"/>
      <c r="J89" s="43"/>
      <c r="K89" s="43"/>
      <c r="L89" s="43"/>
      <c r="M89" s="42"/>
      <c r="N89" s="44"/>
      <c r="O89" s="42"/>
      <c r="P89" s="42"/>
      <c r="Q89" s="45"/>
      <c r="AA89" s="30" t="e">
        <f t="shared" si="8"/>
        <v>#N/A</v>
      </c>
      <c r="AB89" s="30" t="b">
        <f t="shared" si="7"/>
        <v>0</v>
      </c>
      <c r="AC89" s="30" t="str">
        <f>IF(ISBLANK(D89),"FALSE",ISNA(VLOOKUP($D89,'Traceability Matrix'!D$2:D$500,1,FALSE)))</f>
        <v>FALSE</v>
      </c>
    </row>
    <row r="90" spans="4:29" ht="13.15" customHeight="1" x14ac:dyDescent="0.2">
      <c r="D90" s="38"/>
      <c r="E90" s="47"/>
      <c r="F90" s="42"/>
      <c r="G90" s="42"/>
      <c r="H90" s="42"/>
      <c r="I90" s="42"/>
      <c r="J90" s="43"/>
      <c r="K90" s="43"/>
      <c r="L90" s="43"/>
      <c r="M90" s="42"/>
      <c r="N90" s="44"/>
      <c r="O90" s="42"/>
      <c r="P90" s="42"/>
      <c r="Q90" s="45"/>
      <c r="AA90" s="30" t="e">
        <f t="shared" si="8"/>
        <v>#N/A</v>
      </c>
      <c r="AB90" s="30" t="b">
        <f t="shared" si="7"/>
        <v>0</v>
      </c>
      <c r="AC90" s="30" t="str">
        <f>IF(ISBLANK(D90),"FALSE",ISNA(VLOOKUP($D90,'Traceability Matrix'!D$2:D$500,1,FALSE)))</f>
        <v>FALSE</v>
      </c>
    </row>
    <row r="91" spans="4:29" ht="13.15" customHeight="1" x14ac:dyDescent="0.2">
      <c r="D91" s="38"/>
      <c r="E91" s="41"/>
      <c r="F91" s="42"/>
      <c r="G91" s="42"/>
      <c r="H91" s="42"/>
      <c r="I91" s="42"/>
      <c r="J91" s="43"/>
      <c r="K91" s="43"/>
      <c r="L91" s="43"/>
      <c r="M91" s="42"/>
      <c r="N91" s="44"/>
      <c r="O91" s="42"/>
      <c r="P91" s="42"/>
      <c r="Q91" s="45"/>
      <c r="AA91" s="30" t="e">
        <f t="shared" si="8"/>
        <v>#N/A</v>
      </c>
      <c r="AB91" s="30" t="b">
        <f t="shared" si="7"/>
        <v>0</v>
      </c>
      <c r="AC91" s="30" t="str">
        <f>IF(ISBLANK(D91),"FALSE",ISNA(VLOOKUP($D91,'Traceability Matrix'!D$2:D$500,1,FALSE)))</f>
        <v>FALSE</v>
      </c>
    </row>
    <row r="92" spans="4:29" ht="13.15" customHeight="1" x14ac:dyDescent="0.2">
      <c r="D92" s="38"/>
      <c r="E92" s="41"/>
      <c r="F92" s="42"/>
      <c r="G92" s="42"/>
      <c r="H92" s="42"/>
      <c r="I92" s="42"/>
      <c r="J92" s="43"/>
      <c r="K92" s="43"/>
      <c r="L92" s="43"/>
      <c r="M92" s="42"/>
      <c r="N92" s="44"/>
      <c r="O92" s="42"/>
      <c r="P92" s="42"/>
      <c r="Q92" s="45"/>
      <c r="AA92" s="30" t="e">
        <f t="shared" si="8"/>
        <v>#N/A</v>
      </c>
      <c r="AB92" s="30" t="b">
        <f t="shared" si="7"/>
        <v>0</v>
      </c>
      <c r="AC92" s="30" t="str">
        <f>IF(ISBLANK(D92),"FALSE",ISNA(VLOOKUP($D92,'Traceability Matrix'!D$2:D$500,1,FALSE)))</f>
        <v>FALSE</v>
      </c>
    </row>
    <row r="93" spans="4:29" ht="13.15" customHeight="1" x14ac:dyDescent="0.2">
      <c r="D93" s="38"/>
      <c r="E93" s="41"/>
      <c r="F93" s="42"/>
      <c r="G93" s="42"/>
      <c r="H93" s="42"/>
      <c r="I93" s="42"/>
      <c r="J93" s="43"/>
      <c r="K93" s="43"/>
      <c r="L93" s="43"/>
      <c r="M93" s="42"/>
      <c r="N93" s="44"/>
      <c r="O93" s="42"/>
      <c r="P93" s="42"/>
      <c r="Q93" s="45"/>
      <c r="AA93" s="30" t="e">
        <f t="shared" si="8"/>
        <v>#N/A</v>
      </c>
      <c r="AB93" s="30" t="b">
        <f t="shared" si="7"/>
        <v>0</v>
      </c>
      <c r="AC93" s="30" t="str">
        <f>IF(ISBLANK(D93),"FALSE",ISNA(VLOOKUP($D93,'Traceability Matrix'!D$2:D$500,1,FALSE)))</f>
        <v>FALSE</v>
      </c>
    </row>
    <row r="94" spans="4:29" ht="13.15" customHeight="1" x14ac:dyDescent="0.2">
      <c r="D94" s="38"/>
      <c r="E94" s="41"/>
      <c r="F94" s="42"/>
      <c r="G94" s="42"/>
      <c r="H94" s="42"/>
      <c r="I94" s="42"/>
      <c r="J94" s="43"/>
      <c r="K94" s="43"/>
      <c r="L94" s="43"/>
      <c r="M94" s="42"/>
      <c r="N94" s="44"/>
      <c r="O94" s="42"/>
      <c r="P94" s="42"/>
      <c r="Q94" s="45"/>
      <c r="AA94" s="30" t="e">
        <f t="shared" si="8"/>
        <v>#N/A</v>
      </c>
      <c r="AB94" s="30" t="b">
        <f t="shared" si="7"/>
        <v>0</v>
      </c>
      <c r="AC94" s="30" t="str">
        <f>IF(ISBLANK(D94),"FALSE",ISNA(VLOOKUP($D94,'Traceability Matrix'!D$2:D$500,1,FALSE)))</f>
        <v>FALSE</v>
      </c>
    </row>
    <row r="95" spans="4:29" ht="13.15" customHeight="1" x14ac:dyDescent="0.2">
      <c r="D95" s="38"/>
      <c r="E95" s="47"/>
      <c r="F95" s="42"/>
      <c r="G95" s="42"/>
      <c r="H95" s="42"/>
      <c r="I95" s="42"/>
      <c r="J95" s="43"/>
      <c r="K95" s="43"/>
      <c r="L95" s="43"/>
      <c r="M95" s="42"/>
      <c r="N95" s="44"/>
      <c r="O95" s="42"/>
      <c r="P95" s="42"/>
      <c r="Q95" s="45"/>
      <c r="AA95" s="30" t="e">
        <f t="shared" si="8"/>
        <v>#N/A</v>
      </c>
      <c r="AB95" s="30" t="b">
        <f t="shared" si="7"/>
        <v>0</v>
      </c>
      <c r="AC95" s="30" t="str">
        <f>IF(ISBLANK(D95),"FALSE",ISNA(VLOOKUP($D95,'Traceability Matrix'!D$2:D$500,1,FALSE)))</f>
        <v>FALSE</v>
      </c>
    </row>
    <row r="96" spans="4:29" ht="13.15" customHeight="1" x14ac:dyDescent="0.2">
      <c r="D96" s="38"/>
      <c r="E96" s="41"/>
      <c r="F96" s="42"/>
      <c r="G96" s="42"/>
      <c r="H96" s="42"/>
      <c r="I96" s="42"/>
      <c r="J96" s="43"/>
      <c r="K96" s="43"/>
      <c r="L96" s="43"/>
      <c r="M96" s="42"/>
      <c r="N96" s="44"/>
      <c r="O96" s="42"/>
      <c r="P96" s="42"/>
      <c r="Q96" s="45"/>
      <c r="AA96" s="30" t="e">
        <f t="shared" si="8"/>
        <v>#N/A</v>
      </c>
      <c r="AB96" s="30" t="b">
        <f t="shared" si="7"/>
        <v>0</v>
      </c>
      <c r="AC96" s="30" t="str">
        <f>IF(ISBLANK(D96),"FALSE",ISNA(VLOOKUP($D96,'Traceability Matrix'!D$2:D$500,1,FALSE)))</f>
        <v>FALSE</v>
      </c>
    </row>
    <row r="97" spans="4:29" ht="13.15" customHeight="1" x14ac:dyDescent="0.2">
      <c r="D97" s="38"/>
      <c r="E97" s="41"/>
      <c r="F97" s="42"/>
      <c r="G97" s="42"/>
      <c r="H97" s="42"/>
      <c r="I97" s="42"/>
      <c r="J97" s="43"/>
      <c r="K97" s="43"/>
      <c r="L97" s="43"/>
      <c r="M97" s="42"/>
      <c r="N97" s="44"/>
      <c r="O97" s="42"/>
      <c r="P97" s="42"/>
      <c r="Q97" s="45"/>
      <c r="AA97" s="30" t="e">
        <f t="shared" si="8"/>
        <v>#N/A</v>
      </c>
      <c r="AB97" s="30" t="b">
        <f t="shared" si="7"/>
        <v>0</v>
      </c>
      <c r="AC97" s="30" t="str">
        <f>IF(ISBLANK(D97),"FALSE",ISNA(VLOOKUP($D97,'Traceability Matrix'!D$2:D$500,1,FALSE)))</f>
        <v>FALSE</v>
      </c>
    </row>
    <row r="98" spans="4:29" ht="13.15" customHeight="1" x14ac:dyDescent="0.2">
      <c r="D98" s="38"/>
      <c r="E98" s="41"/>
      <c r="F98" s="42"/>
      <c r="G98" s="42"/>
      <c r="H98" s="42"/>
      <c r="I98" s="42"/>
      <c r="J98" s="43"/>
      <c r="K98" s="43"/>
      <c r="L98" s="43"/>
      <c r="M98" s="42"/>
      <c r="N98" s="44"/>
      <c r="O98" s="42"/>
      <c r="P98" s="42"/>
      <c r="Q98" s="45"/>
      <c r="AA98" s="30" t="e">
        <f t="shared" si="8"/>
        <v>#N/A</v>
      </c>
      <c r="AB98" s="30" t="b">
        <f t="shared" si="7"/>
        <v>0</v>
      </c>
      <c r="AC98" s="30" t="str">
        <f>IF(ISBLANK(D98),"FALSE",ISNA(VLOOKUP($D98,'Traceability Matrix'!D$2:D$500,1,FALSE)))</f>
        <v>FALSE</v>
      </c>
    </row>
    <row r="99" spans="4:29" ht="13.15" customHeight="1" x14ac:dyDescent="0.2">
      <c r="D99" s="38"/>
      <c r="E99" s="41"/>
      <c r="F99" s="42"/>
      <c r="G99" s="42"/>
      <c r="H99" s="42"/>
      <c r="I99" s="42"/>
      <c r="J99" s="43"/>
      <c r="K99" s="43"/>
      <c r="L99" s="43"/>
      <c r="M99" s="42"/>
      <c r="N99" s="44"/>
      <c r="O99" s="42"/>
      <c r="P99" s="42"/>
      <c r="Q99" s="45"/>
      <c r="AA99" s="30" t="e">
        <f t="shared" si="8"/>
        <v>#N/A</v>
      </c>
      <c r="AB99" s="30" t="b">
        <f t="shared" si="7"/>
        <v>0</v>
      </c>
      <c r="AC99" s="30" t="str">
        <f>IF(ISBLANK(D99),"FALSE",ISNA(VLOOKUP($D99,'Traceability Matrix'!D$2:D$500,1,FALSE)))</f>
        <v>FALSE</v>
      </c>
    </row>
    <row r="100" spans="4:29" ht="13.15" customHeight="1" x14ac:dyDescent="0.2">
      <c r="D100" s="38"/>
      <c r="E100" s="41"/>
      <c r="F100" s="42"/>
      <c r="G100" s="42"/>
      <c r="H100" s="42"/>
      <c r="I100" s="42"/>
      <c r="J100" s="43"/>
      <c r="K100" s="43"/>
      <c r="L100" s="43"/>
      <c r="M100" s="42"/>
      <c r="N100" s="44"/>
      <c r="O100" s="42"/>
      <c r="P100" s="42"/>
      <c r="Q100" s="45"/>
      <c r="AA100" s="30" t="e">
        <f t="shared" ref="AA100:AA131" si="9">IF(MATCH(D100,$D$4:$D$47,0) &lt;&gt; (ROW() - 3), TRUE, FALSE)</f>
        <v>#N/A</v>
      </c>
      <c r="AB100" s="30" t="b">
        <f t="shared" si="7"/>
        <v>0</v>
      </c>
      <c r="AC100" s="30" t="str">
        <f>IF(ISBLANK(D100),"FALSE",ISNA(VLOOKUP($D100,'Traceability Matrix'!D$2:D$500,1,FALSE)))</f>
        <v>FALSE</v>
      </c>
    </row>
    <row r="101" spans="4:29" ht="13.15" customHeight="1" x14ac:dyDescent="0.2">
      <c r="D101" s="38"/>
      <c r="E101" s="47"/>
      <c r="F101" s="42"/>
      <c r="G101" s="42"/>
      <c r="H101" s="42"/>
      <c r="I101" s="42"/>
      <c r="J101" s="43"/>
      <c r="K101" s="43"/>
      <c r="L101" s="43"/>
      <c r="M101" s="42"/>
      <c r="N101" s="44"/>
      <c r="O101" s="42"/>
      <c r="P101" s="42"/>
      <c r="Q101" s="45"/>
      <c r="AA101" s="30" t="e">
        <f t="shared" si="9"/>
        <v>#N/A</v>
      </c>
      <c r="AB101" s="30" t="b">
        <f t="shared" si="7"/>
        <v>0</v>
      </c>
      <c r="AC101" s="30" t="str">
        <f>IF(ISBLANK(D101),"FALSE",ISNA(VLOOKUP($D101,'Traceability Matrix'!D$2:D$500,1,FALSE)))</f>
        <v>FALSE</v>
      </c>
    </row>
    <row r="102" spans="4:29" ht="13.15" customHeight="1" x14ac:dyDescent="0.2">
      <c r="D102" s="38"/>
      <c r="E102" s="47"/>
      <c r="F102" s="42"/>
      <c r="G102" s="42"/>
      <c r="H102" s="42"/>
      <c r="I102" s="42"/>
      <c r="J102" s="43"/>
      <c r="K102" s="43"/>
      <c r="L102" s="43"/>
      <c r="M102" s="42"/>
      <c r="N102" s="44"/>
      <c r="O102" s="42"/>
      <c r="P102" s="42"/>
      <c r="Q102" s="42"/>
      <c r="AA102" s="30" t="e">
        <f t="shared" si="9"/>
        <v>#N/A</v>
      </c>
      <c r="AB102" s="30" t="b">
        <f t="shared" si="7"/>
        <v>0</v>
      </c>
      <c r="AC102" s="30" t="str">
        <f>IF(ISBLANK(D102),"FALSE",ISNA(VLOOKUP($D102,'Traceability Matrix'!D$2:D$500,1,FALSE)))</f>
        <v>FALSE</v>
      </c>
    </row>
    <row r="103" spans="4:29" ht="13.15" customHeight="1" x14ac:dyDescent="0.2">
      <c r="D103" s="38"/>
      <c r="E103" s="47"/>
      <c r="F103" s="42"/>
      <c r="G103" s="42"/>
      <c r="H103" s="42"/>
      <c r="I103" s="42"/>
      <c r="J103" s="43"/>
      <c r="K103" s="43"/>
      <c r="L103" s="43"/>
      <c r="M103" s="42"/>
      <c r="N103" s="44"/>
      <c r="O103" s="42"/>
      <c r="P103" s="42"/>
      <c r="Q103" s="42"/>
      <c r="AA103" s="30" t="e">
        <f t="shared" si="9"/>
        <v>#N/A</v>
      </c>
      <c r="AB103" s="30" t="b">
        <f t="shared" si="7"/>
        <v>0</v>
      </c>
      <c r="AC103" s="30" t="str">
        <f>IF(ISBLANK(D103),"FALSE",ISNA(VLOOKUP($D103,'Traceability Matrix'!D$2:D$500,1,FALSE)))</f>
        <v>FALSE</v>
      </c>
    </row>
    <row r="104" spans="4:29" ht="13.15" customHeight="1" x14ac:dyDescent="0.2">
      <c r="D104" s="38"/>
      <c r="E104" s="47"/>
      <c r="F104" s="42"/>
      <c r="G104" s="42"/>
      <c r="H104" s="42"/>
      <c r="I104" s="42"/>
      <c r="J104" s="43"/>
      <c r="K104" s="43"/>
      <c r="L104" s="43"/>
      <c r="M104" s="42"/>
      <c r="N104" s="44"/>
      <c r="O104" s="42"/>
      <c r="P104" s="42"/>
      <c r="Q104" s="42"/>
      <c r="AA104" s="30" t="e">
        <f t="shared" si="9"/>
        <v>#N/A</v>
      </c>
      <c r="AB104" s="30" t="b">
        <f t="shared" si="7"/>
        <v>0</v>
      </c>
      <c r="AC104" s="30" t="str">
        <f>IF(ISBLANK(D104),"FALSE",ISNA(VLOOKUP($D104,'Traceability Matrix'!D$2:D$500,1,FALSE)))</f>
        <v>FALSE</v>
      </c>
    </row>
    <row r="105" spans="4:29" ht="13.15" customHeight="1" x14ac:dyDescent="0.2">
      <c r="D105" s="38"/>
      <c r="E105" s="47"/>
      <c r="F105" s="42"/>
      <c r="G105" s="42"/>
      <c r="H105" s="42"/>
      <c r="I105" s="42"/>
      <c r="J105" s="43"/>
      <c r="K105" s="43"/>
      <c r="L105" s="43"/>
      <c r="M105" s="42"/>
      <c r="N105" s="44"/>
      <c r="O105" s="42"/>
      <c r="P105" s="42"/>
      <c r="Q105" s="42"/>
      <c r="AA105" s="30" t="e">
        <f t="shared" si="9"/>
        <v>#N/A</v>
      </c>
      <c r="AB105" s="30" t="b">
        <f t="shared" si="7"/>
        <v>0</v>
      </c>
      <c r="AC105" s="30" t="str">
        <f>IF(ISBLANK(D105),"FALSE",ISNA(VLOOKUP($D105,'Traceability Matrix'!D$2:D$500,1,FALSE)))</f>
        <v>FALSE</v>
      </c>
    </row>
    <row r="106" spans="4:29" ht="13.15" customHeight="1" x14ac:dyDescent="0.2">
      <c r="D106" s="38"/>
      <c r="E106" s="47"/>
      <c r="F106" s="42"/>
      <c r="G106" s="42"/>
      <c r="H106" s="42"/>
      <c r="I106" s="42"/>
      <c r="J106" s="43"/>
      <c r="K106" s="43"/>
      <c r="L106" s="43"/>
      <c r="M106" s="42"/>
      <c r="N106" s="44"/>
      <c r="O106" s="42"/>
      <c r="P106" s="42"/>
      <c r="Q106" s="42"/>
      <c r="AA106" s="30" t="e">
        <f t="shared" si="9"/>
        <v>#N/A</v>
      </c>
      <c r="AB106" s="30" t="b">
        <f t="shared" si="7"/>
        <v>0</v>
      </c>
      <c r="AC106" s="30" t="str">
        <f>IF(ISBLANK(D106),"FALSE",ISNA(VLOOKUP($D106,'Traceability Matrix'!D$2:D$500,1,FALSE)))</f>
        <v>FALSE</v>
      </c>
    </row>
    <row r="107" spans="4:29" ht="13.15" customHeight="1" x14ac:dyDescent="0.2">
      <c r="D107" s="38"/>
      <c r="E107" s="47"/>
      <c r="F107" s="42"/>
      <c r="G107" s="42"/>
      <c r="H107" s="42"/>
      <c r="I107" s="42"/>
      <c r="J107" s="43"/>
      <c r="K107" s="43"/>
      <c r="L107" s="43"/>
      <c r="M107" s="42"/>
      <c r="N107" s="44"/>
      <c r="O107" s="42"/>
      <c r="P107" s="42"/>
      <c r="Q107" s="42"/>
      <c r="AA107" s="30" t="e">
        <f t="shared" si="9"/>
        <v>#N/A</v>
      </c>
      <c r="AB107" s="30" t="b">
        <f t="shared" si="7"/>
        <v>0</v>
      </c>
      <c r="AC107" s="30" t="str">
        <f>IF(ISBLANK(D107),"FALSE",ISNA(VLOOKUP($D107,'Traceability Matrix'!D$2:D$500,1,FALSE)))</f>
        <v>FALSE</v>
      </c>
    </row>
    <row r="108" spans="4:29" ht="13.15" customHeight="1" x14ac:dyDescent="0.2">
      <c r="D108" s="38"/>
      <c r="E108" s="47"/>
      <c r="F108" s="42"/>
      <c r="G108" s="42"/>
      <c r="H108" s="42"/>
      <c r="I108" s="42"/>
      <c r="J108" s="10"/>
      <c r="K108" s="43"/>
      <c r="L108" s="43"/>
      <c r="M108" s="42"/>
      <c r="N108" s="44"/>
      <c r="O108" s="42"/>
      <c r="P108" s="42"/>
      <c r="AA108" s="30" t="e">
        <f t="shared" si="9"/>
        <v>#N/A</v>
      </c>
      <c r="AB108" s="30" t="b">
        <f t="shared" si="7"/>
        <v>0</v>
      </c>
      <c r="AC108" s="30" t="str">
        <f>IF(ISBLANK(D108),"FALSE",ISNA(VLOOKUP($D108,'Traceability Matrix'!D$2:D$500,1,FALSE)))</f>
        <v>FALSE</v>
      </c>
    </row>
    <row r="109" spans="4:29" ht="13.15" customHeight="1" x14ac:dyDescent="0.2">
      <c r="D109" s="38"/>
      <c r="E109" s="47"/>
      <c r="F109" s="42"/>
      <c r="G109" s="42"/>
      <c r="H109" s="42"/>
      <c r="I109" s="42"/>
      <c r="J109" s="10"/>
      <c r="K109" s="43"/>
      <c r="L109" s="43"/>
      <c r="M109" s="42"/>
      <c r="N109" s="44"/>
      <c r="O109" s="42"/>
      <c r="P109" s="42"/>
      <c r="AA109" s="30" t="e">
        <f t="shared" si="9"/>
        <v>#N/A</v>
      </c>
      <c r="AB109" s="30" t="b">
        <f t="shared" si="7"/>
        <v>0</v>
      </c>
      <c r="AC109" s="30" t="str">
        <f>IF(ISBLANK(D109),"FALSE",ISNA(VLOOKUP($D109,'Traceability Matrix'!D$2:D$500,1,FALSE)))</f>
        <v>FALSE</v>
      </c>
    </row>
    <row r="110" spans="4:29" ht="13.15" customHeight="1" x14ac:dyDescent="0.2">
      <c r="D110" s="38"/>
      <c r="E110" s="47"/>
      <c r="F110" s="42"/>
      <c r="G110" s="42"/>
      <c r="H110" s="42"/>
      <c r="I110" s="42"/>
      <c r="J110" s="10"/>
      <c r="K110" s="43"/>
      <c r="L110" s="43"/>
      <c r="M110" s="42"/>
      <c r="N110" s="44"/>
      <c r="O110" s="42"/>
      <c r="P110" s="42"/>
      <c r="AA110" s="30" t="e">
        <f t="shared" si="9"/>
        <v>#N/A</v>
      </c>
      <c r="AB110" s="30" t="b">
        <f t="shared" si="7"/>
        <v>0</v>
      </c>
      <c r="AC110" s="30" t="str">
        <f>IF(ISBLANK(D110),"FALSE",ISNA(VLOOKUP($D110,'Traceability Matrix'!D$2:D$500,1,FALSE)))</f>
        <v>FALSE</v>
      </c>
    </row>
    <row r="111" spans="4:29" ht="13.15" customHeight="1" x14ac:dyDescent="0.2">
      <c r="D111" s="38"/>
      <c r="E111" s="47"/>
      <c r="F111" s="42"/>
      <c r="G111" s="42"/>
      <c r="H111" s="42"/>
      <c r="I111" s="42"/>
      <c r="J111" s="10"/>
      <c r="K111" s="43"/>
      <c r="L111" s="43"/>
      <c r="M111" s="42"/>
      <c r="N111" s="44"/>
      <c r="O111" s="42"/>
      <c r="P111" s="42"/>
      <c r="AA111" s="30" t="e">
        <f t="shared" si="9"/>
        <v>#N/A</v>
      </c>
      <c r="AB111" s="30" t="b">
        <f t="shared" si="7"/>
        <v>0</v>
      </c>
      <c r="AC111" s="30" t="str">
        <f>IF(ISBLANK(D111),"FALSE",ISNA(VLOOKUP($D111,'Traceability Matrix'!D$2:D$500,1,FALSE)))</f>
        <v>FALSE</v>
      </c>
    </row>
    <row r="112" spans="4:29" ht="13.15" customHeight="1" x14ac:dyDescent="0.2">
      <c r="D112" s="38"/>
      <c r="E112" s="47"/>
      <c r="F112" s="42"/>
      <c r="G112" s="42"/>
      <c r="H112" s="42"/>
      <c r="I112" s="42"/>
      <c r="J112" s="10"/>
      <c r="K112" s="43"/>
      <c r="L112" s="43"/>
      <c r="M112" s="42"/>
      <c r="N112" s="44"/>
      <c r="O112" s="42"/>
      <c r="P112" s="42"/>
      <c r="AA112" s="30" t="e">
        <f t="shared" si="9"/>
        <v>#N/A</v>
      </c>
      <c r="AB112" s="30" t="b">
        <f t="shared" si="7"/>
        <v>0</v>
      </c>
      <c r="AC112" s="30" t="str">
        <f>IF(ISBLANK(D112),"FALSE",ISNA(VLOOKUP($D112,'Traceability Matrix'!D$2:D$500,1,FALSE)))</f>
        <v>FALSE</v>
      </c>
    </row>
    <row r="113" spans="4:29" ht="13.15" customHeight="1" x14ac:dyDescent="0.2">
      <c r="D113" s="38"/>
      <c r="E113" s="47"/>
      <c r="F113" s="42"/>
      <c r="G113" s="42"/>
      <c r="H113" s="42"/>
      <c r="I113" s="42"/>
      <c r="J113" s="10"/>
      <c r="K113" s="43"/>
      <c r="L113" s="43"/>
      <c r="M113" s="42"/>
      <c r="N113" s="44"/>
      <c r="O113" s="42"/>
      <c r="P113" s="42"/>
      <c r="AA113" s="30" t="e">
        <f t="shared" si="9"/>
        <v>#N/A</v>
      </c>
      <c r="AB113" s="30" t="b">
        <f t="shared" si="7"/>
        <v>0</v>
      </c>
      <c r="AC113" s="30" t="str">
        <f>IF(ISBLANK(D113),"FALSE",ISNA(VLOOKUP($D113,'Traceability Matrix'!D$2:D$500,1,FALSE)))</f>
        <v>FALSE</v>
      </c>
    </row>
    <row r="114" spans="4:29" ht="13.15" customHeight="1" x14ac:dyDescent="0.2">
      <c r="D114" s="38"/>
      <c r="E114" s="47"/>
      <c r="F114" s="42"/>
      <c r="G114" s="42"/>
      <c r="H114" s="42"/>
      <c r="I114" s="42"/>
      <c r="J114" s="10"/>
      <c r="K114" s="43"/>
      <c r="L114" s="43"/>
      <c r="M114" s="42"/>
      <c r="N114" s="44"/>
      <c r="O114" s="42"/>
      <c r="P114" s="42"/>
      <c r="AA114" s="30" t="e">
        <f t="shared" si="9"/>
        <v>#N/A</v>
      </c>
      <c r="AB114" s="30" t="b">
        <f t="shared" si="7"/>
        <v>0</v>
      </c>
      <c r="AC114" s="30" t="str">
        <f>IF(ISBLANK(D114),"FALSE",ISNA(VLOOKUP($D114,'Traceability Matrix'!D$2:D$500,1,FALSE)))</f>
        <v>FALSE</v>
      </c>
    </row>
    <row r="115" spans="4:29" ht="13.15" customHeight="1" x14ac:dyDescent="0.2">
      <c r="D115" s="38"/>
      <c r="E115" s="47"/>
      <c r="F115" s="42"/>
      <c r="G115" s="42"/>
      <c r="H115" s="42"/>
      <c r="I115" s="42"/>
      <c r="J115" s="10"/>
      <c r="K115" s="43"/>
      <c r="L115" s="43"/>
      <c r="M115" s="42"/>
      <c r="N115" s="44"/>
      <c r="O115" s="42"/>
      <c r="P115" s="42"/>
      <c r="AA115" s="30" t="e">
        <f t="shared" si="9"/>
        <v>#N/A</v>
      </c>
      <c r="AB115" s="30" t="b">
        <f t="shared" si="7"/>
        <v>0</v>
      </c>
      <c r="AC115" s="30" t="str">
        <f>IF(ISBLANK(D115),"FALSE",ISNA(VLOOKUP($D115,'Traceability Matrix'!D$2:D$500,1,FALSE)))</f>
        <v>FALSE</v>
      </c>
    </row>
    <row r="116" spans="4:29" ht="13.15" customHeight="1" x14ac:dyDescent="0.2">
      <c r="D116" s="38"/>
      <c r="E116" s="47"/>
      <c r="F116" s="42"/>
      <c r="G116" s="42"/>
      <c r="H116" s="42"/>
      <c r="I116" s="42"/>
      <c r="J116" s="10"/>
      <c r="K116" s="43"/>
      <c r="L116" s="43"/>
      <c r="M116" s="42"/>
      <c r="N116" s="44"/>
      <c r="O116" s="42"/>
      <c r="P116" s="42"/>
      <c r="AA116" s="30" t="e">
        <f t="shared" si="9"/>
        <v>#N/A</v>
      </c>
      <c r="AB116" s="30" t="b">
        <f t="shared" si="7"/>
        <v>0</v>
      </c>
      <c r="AC116" s="30" t="str">
        <f>IF(ISBLANK(D116),"FALSE",ISNA(VLOOKUP($D116,'Traceability Matrix'!D$2:D$500,1,FALSE)))</f>
        <v>FALSE</v>
      </c>
    </row>
    <row r="117" spans="4:29" ht="13.15" customHeight="1" x14ac:dyDescent="0.2">
      <c r="D117" s="38"/>
      <c r="E117" s="47"/>
      <c r="F117" s="42"/>
      <c r="G117" s="42"/>
      <c r="H117" s="42"/>
      <c r="I117" s="42"/>
      <c r="K117" s="43"/>
      <c r="L117" s="43"/>
      <c r="M117" s="42"/>
      <c r="N117" s="44"/>
      <c r="O117" s="42"/>
      <c r="P117" s="42"/>
      <c r="AA117" s="30" t="e">
        <f t="shared" si="9"/>
        <v>#N/A</v>
      </c>
      <c r="AB117" s="30" t="b">
        <f t="shared" si="7"/>
        <v>0</v>
      </c>
      <c r="AC117" s="30" t="str">
        <f>IF(ISBLANK(D117),"FALSE",ISNA(VLOOKUP($D117,'Traceability Matrix'!D$2:D$500,1,FALSE)))</f>
        <v>FALSE</v>
      </c>
    </row>
    <row r="118" spans="4:29" ht="13.15" customHeight="1" x14ac:dyDescent="0.2">
      <c r="D118" s="38"/>
      <c r="E118" s="47"/>
      <c r="F118" s="42"/>
      <c r="G118" s="42"/>
      <c r="H118" s="42"/>
      <c r="I118" s="42"/>
      <c r="K118" s="43"/>
      <c r="L118" s="43"/>
      <c r="M118" s="42"/>
      <c r="N118" s="44"/>
      <c r="O118" s="42"/>
      <c r="P118" s="42"/>
      <c r="AA118" s="30" t="e">
        <f t="shared" si="9"/>
        <v>#N/A</v>
      </c>
      <c r="AB118" s="30" t="b">
        <f t="shared" si="7"/>
        <v>0</v>
      </c>
      <c r="AC118" s="30" t="str">
        <f>IF(ISBLANK(D118),"FALSE",ISNA(VLOOKUP($D118,'Traceability Matrix'!D$2:D$500,1,FALSE)))</f>
        <v>FALSE</v>
      </c>
    </row>
    <row r="119" spans="4:29" ht="13.15" customHeight="1" x14ac:dyDescent="0.2">
      <c r="D119" s="38"/>
      <c r="E119" s="47"/>
      <c r="F119" s="42"/>
      <c r="G119" s="42"/>
      <c r="H119" s="42"/>
      <c r="I119" s="42"/>
      <c r="K119" s="43"/>
      <c r="L119" s="43"/>
      <c r="M119" s="42"/>
      <c r="N119" s="44"/>
      <c r="O119" s="42"/>
      <c r="P119" s="42"/>
      <c r="AA119" s="30" t="e">
        <f t="shared" si="9"/>
        <v>#N/A</v>
      </c>
      <c r="AB119" s="30" t="b">
        <f t="shared" si="7"/>
        <v>0</v>
      </c>
      <c r="AC119" s="30" t="str">
        <f>IF(ISBLANK(D119),"FALSE",ISNA(VLOOKUP($D119,'Traceability Matrix'!D$2:D$500,1,FALSE)))</f>
        <v>FALSE</v>
      </c>
    </row>
    <row r="120" spans="4:29" ht="13.15" customHeight="1" x14ac:dyDescent="0.2">
      <c r="D120" s="38"/>
      <c r="E120" s="47"/>
      <c r="F120" s="42"/>
      <c r="G120" s="42"/>
      <c r="H120" s="42"/>
      <c r="I120" s="42"/>
      <c r="K120" s="43"/>
      <c r="L120" s="43"/>
      <c r="M120" s="42"/>
      <c r="N120" s="44"/>
      <c r="O120" s="42"/>
      <c r="P120" s="42"/>
      <c r="AA120" s="30" t="e">
        <f t="shared" si="9"/>
        <v>#N/A</v>
      </c>
      <c r="AB120" s="30" t="b">
        <f t="shared" si="7"/>
        <v>0</v>
      </c>
      <c r="AC120" s="30" t="str">
        <f>IF(ISBLANK(D120),"FALSE",ISNA(VLOOKUP($D120,'Traceability Matrix'!D$2:D$500,1,FALSE)))</f>
        <v>FALSE</v>
      </c>
    </row>
    <row r="121" spans="4:29" ht="13.15" customHeight="1" x14ac:dyDescent="0.2">
      <c r="D121" s="38"/>
      <c r="E121" s="47"/>
      <c r="F121" s="42"/>
      <c r="G121" s="42"/>
      <c r="H121" s="42"/>
      <c r="I121" s="42"/>
      <c r="K121" s="43"/>
      <c r="L121" s="43"/>
      <c r="M121" s="42"/>
      <c r="N121" s="44"/>
      <c r="O121" s="42"/>
      <c r="P121" s="42"/>
      <c r="AA121" s="30" t="e">
        <f t="shared" si="9"/>
        <v>#N/A</v>
      </c>
      <c r="AB121" s="30" t="b">
        <f t="shared" si="7"/>
        <v>0</v>
      </c>
      <c r="AC121" s="30" t="str">
        <f>IF(ISBLANK(D121),"FALSE",ISNA(VLOOKUP($D121,'Traceability Matrix'!D$2:D$500,1,FALSE)))</f>
        <v>FALSE</v>
      </c>
    </row>
    <row r="122" spans="4:29" ht="13.15" customHeight="1" x14ac:dyDescent="0.2">
      <c r="D122" s="38"/>
      <c r="E122" s="47"/>
      <c r="F122" s="42"/>
      <c r="G122" s="42"/>
      <c r="H122" s="42"/>
      <c r="I122" s="42"/>
      <c r="K122" s="43"/>
      <c r="L122" s="43"/>
      <c r="M122" s="42"/>
      <c r="N122" s="44"/>
      <c r="O122" s="42"/>
      <c r="P122" s="42"/>
      <c r="AA122" s="30" t="e">
        <f t="shared" si="9"/>
        <v>#N/A</v>
      </c>
      <c r="AB122" s="30" t="b">
        <f t="shared" si="7"/>
        <v>0</v>
      </c>
      <c r="AC122" s="30" t="str">
        <f>IF(ISBLANK(D122),"FALSE",ISNA(VLOOKUP($D122,'Traceability Matrix'!D$2:D$500,1,FALSE)))</f>
        <v>FALSE</v>
      </c>
    </row>
    <row r="123" spans="4:29" ht="13.15" customHeight="1" x14ac:dyDescent="0.2">
      <c r="D123" s="38"/>
      <c r="E123" s="47"/>
      <c r="F123" s="42"/>
      <c r="G123" s="42"/>
      <c r="H123" s="42"/>
      <c r="I123" s="42"/>
      <c r="K123" s="43"/>
      <c r="L123" s="43"/>
      <c r="M123" s="42"/>
      <c r="N123" s="44"/>
      <c r="O123" s="42"/>
      <c r="P123" s="42"/>
      <c r="AA123" s="30" t="e">
        <f t="shared" si="9"/>
        <v>#N/A</v>
      </c>
      <c r="AB123" s="30" t="b">
        <f t="shared" si="7"/>
        <v>0</v>
      </c>
      <c r="AC123" s="30" t="str">
        <f>IF(ISBLANK(D123),"FALSE",ISNA(VLOOKUP($D123,'Traceability Matrix'!D$2:D$500,1,FALSE)))</f>
        <v>FALSE</v>
      </c>
    </row>
    <row r="124" spans="4:29" ht="13.15" customHeight="1" x14ac:dyDescent="0.2">
      <c r="D124" s="38"/>
      <c r="E124" s="47"/>
      <c r="F124" s="42"/>
      <c r="G124" s="42"/>
      <c r="H124" s="42"/>
      <c r="I124" s="42"/>
      <c r="K124" s="43"/>
      <c r="L124" s="43"/>
      <c r="M124" s="42"/>
      <c r="N124" s="44"/>
      <c r="O124" s="42"/>
      <c r="P124" s="42"/>
      <c r="AA124" s="30" t="e">
        <f t="shared" si="9"/>
        <v>#N/A</v>
      </c>
      <c r="AB124" s="30" t="b">
        <f t="shared" si="7"/>
        <v>0</v>
      </c>
      <c r="AC124" s="30" t="str">
        <f>IF(ISBLANK(D124),"FALSE",ISNA(VLOOKUP($D124,'Traceability Matrix'!D$2:D$500,1,FALSE)))</f>
        <v>FALSE</v>
      </c>
    </row>
    <row r="125" spans="4:29" ht="13.15" customHeight="1" x14ac:dyDescent="0.2">
      <c r="D125" s="38"/>
      <c r="E125" s="47"/>
      <c r="F125" s="42"/>
      <c r="G125" s="42"/>
      <c r="H125" s="42"/>
      <c r="I125" s="42"/>
      <c r="K125" s="43"/>
      <c r="L125" s="43"/>
      <c r="M125" s="42"/>
      <c r="N125" s="44"/>
      <c r="O125" s="42"/>
      <c r="P125" s="42"/>
      <c r="AA125" s="30" t="e">
        <f t="shared" si="9"/>
        <v>#N/A</v>
      </c>
      <c r="AB125" s="30" t="b">
        <f t="shared" si="7"/>
        <v>0</v>
      </c>
      <c r="AC125" s="30" t="str">
        <f>IF(ISBLANK(D125),"FALSE",ISNA(VLOOKUP($D125,'Traceability Matrix'!D$2:D$500,1,FALSE)))</f>
        <v>FALSE</v>
      </c>
    </row>
    <row r="126" spans="4:29" ht="13.15" customHeight="1" x14ac:dyDescent="0.2">
      <c r="D126" s="38"/>
      <c r="E126" s="47"/>
      <c r="F126" s="42"/>
      <c r="G126" s="42"/>
      <c r="H126" s="42"/>
      <c r="I126" s="42"/>
      <c r="K126" s="43"/>
      <c r="L126" s="43"/>
      <c r="M126" s="42"/>
      <c r="N126" s="44"/>
      <c r="O126" s="42"/>
      <c r="P126" s="42"/>
      <c r="AA126" s="30" t="e">
        <f t="shared" si="9"/>
        <v>#N/A</v>
      </c>
      <c r="AB126" s="30" t="b">
        <f t="shared" si="7"/>
        <v>0</v>
      </c>
      <c r="AC126" s="30" t="str">
        <f>IF(ISBLANK(D126),"FALSE",ISNA(VLOOKUP($D126,'Traceability Matrix'!D$2:D$500,1,FALSE)))</f>
        <v>FALSE</v>
      </c>
    </row>
    <row r="127" spans="4:29" ht="13.15" customHeight="1" x14ac:dyDescent="0.2">
      <c r="D127" s="38"/>
      <c r="E127" s="47"/>
      <c r="F127" s="42"/>
      <c r="G127" s="42"/>
      <c r="H127" s="42"/>
      <c r="I127" s="42"/>
      <c r="K127" s="43"/>
      <c r="L127" s="43"/>
      <c r="M127" s="42"/>
      <c r="N127" s="44"/>
      <c r="O127" s="42"/>
      <c r="P127" s="42"/>
      <c r="AA127" s="30" t="e">
        <f t="shared" si="9"/>
        <v>#N/A</v>
      </c>
      <c r="AB127" s="30" t="b">
        <f t="shared" si="7"/>
        <v>0</v>
      </c>
      <c r="AC127" s="30" t="str">
        <f>IF(ISBLANK(D127),"FALSE",ISNA(VLOOKUP($D127,'Traceability Matrix'!D$2:D$500,1,FALSE)))</f>
        <v>FALSE</v>
      </c>
    </row>
    <row r="128" spans="4:29" ht="13.15" customHeight="1" x14ac:dyDescent="0.2">
      <c r="D128" s="38"/>
      <c r="E128" s="47"/>
      <c r="F128" s="42"/>
      <c r="G128" s="42"/>
      <c r="H128" s="42"/>
      <c r="I128" s="42"/>
      <c r="K128" s="43"/>
      <c r="L128" s="43"/>
      <c r="M128" s="42"/>
      <c r="N128" s="44"/>
      <c r="O128" s="42"/>
      <c r="P128" s="42"/>
      <c r="AA128" s="30" t="e">
        <f t="shared" si="9"/>
        <v>#N/A</v>
      </c>
      <c r="AB128" s="30" t="b">
        <f t="shared" si="7"/>
        <v>0</v>
      </c>
      <c r="AC128" s="30" t="str">
        <f>IF(ISBLANK(D128),"FALSE",ISNA(VLOOKUP($D128,'Traceability Matrix'!D$2:D$500,1,FALSE)))</f>
        <v>FALSE</v>
      </c>
    </row>
    <row r="129" spans="4:29" ht="13.15" customHeight="1" x14ac:dyDescent="0.2">
      <c r="D129" s="38"/>
      <c r="E129" s="47"/>
      <c r="F129" s="42"/>
      <c r="G129" s="42"/>
      <c r="H129" s="42"/>
      <c r="I129" s="42"/>
      <c r="K129" s="43"/>
      <c r="L129" s="43"/>
      <c r="M129" s="42"/>
      <c r="N129" s="44"/>
      <c r="O129" s="42"/>
      <c r="P129" s="42"/>
      <c r="AA129" s="30" t="e">
        <f t="shared" si="9"/>
        <v>#N/A</v>
      </c>
      <c r="AB129" s="30" t="b">
        <f t="shared" si="7"/>
        <v>0</v>
      </c>
      <c r="AC129" s="30" t="str">
        <f>IF(ISBLANK(D129),"FALSE",ISNA(VLOOKUP($D129,'Traceability Matrix'!D$2:D$500,1,FALSE)))</f>
        <v>FALSE</v>
      </c>
    </row>
    <row r="130" spans="4:29" ht="13.15" customHeight="1" x14ac:dyDescent="0.2">
      <c r="D130" s="38"/>
      <c r="E130" s="47"/>
      <c r="F130" s="42"/>
      <c r="G130" s="42"/>
      <c r="H130" s="42"/>
      <c r="I130" s="42"/>
      <c r="K130" s="43"/>
      <c r="L130" s="43"/>
      <c r="M130" s="42"/>
      <c r="N130" s="44"/>
      <c r="O130" s="42"/>
      <c r="P130" s="42"/>
      <c r="AA130" s="30" t="e">
        <f t="shared" si="9"/>
        <v>#N/A</v>
      </c>
      <c r="AB130" s="30" t="b">
        <f t="shared" ref="AB130:AB138" si="10">NOT(IF(OR(NOT(ISBLANK(A130)),NOT(ISBLANK(C130))),IF(AND(EXACT(H130,"Yes"),NOT(ISBLANK(I130))),"TRUE","FALSE"),IF(OR(EXACT(H130,"Yes"),NOT(ISBLANK(I130))),"FALSE","TRUE")))</f>
        <v>0</v>
      </c>
      <c r="AC130" s="30" t="str">
        <f>IF(ISBLANK(D130),"FALSE",ISNA(VLOOKUP($D130,'Traceability Matrix'!D$2:D$500,1,FALSE)))</f>
        <v>FALSE</v>
      </c>
    </row>
    <row r="131" spans="4:29" ht="13.15" customHeight="1" x14ac:dyDescent="0.2">
      <c r="D131" s="38"/>
      <c r="E131" s="47"/>
      <c r="F131" s="42"/>
      <c r="G131" s="42"/>
      <c r="H131" s="42"/>
      <c r="I131" s="42"/>
      <c r="K131" s="43"/>
      <c r="L131" s="43"/>
      <c r="M131" s="42"/>
      <c r="N131" s="44"/>
      <c r="O131" s="42"/>
      <c r="P131" s="42"/>
      <c r="AA131" s="30" t="e">
        <f t="shared" si="9"/>
        <v>#N/A</v>
      </c>
      <c r="AB131" s="30" t="b">
        <f t="shared" si="10"/>
        <v>0</v>
      </c>
      <c r="AC131" s="30" t="str">
        <f>IF(ISBLANK(D131),"FALSE",ISNA(VLOOKUP($D131,'Traceability Matrix'!D$2:D$500,1,FALSE)))</f>
        <v>FALSE</v>
      </c>
    </row>
    <row r="132" spans="4:29" ht="13.15" customHeight="1" x14ac:dyDescent="0.2">
      <c r="D132" s="38"/>
      <c r="E132" s="47"/>
      <c r="F132" s="42"/>
      <c r="G132" s="42"/>
      <c r="H132" s="42"/>
      <c r="I132" s="42"/>
      <c r="K132" s="43"/>
      <c r="L132" s="43"/>
      <c r="M132" s="42"/>
      <c r="N132" s="44"/>
      <c r="O132" s="42"/>
      <c r="P132" s="42"/>
      <c r="AA132" s="30" t="e">
        <f t="shared" ref="AA132:AA138" si="11">IF(MATCH(D132,$D$4:$D$47,0) &lt;&gt; (ROW() - 3), TRUE, FALSE)</f>
        <v>#N/A</v>
      </c>
      <c r="AB132" s="30" t="b">
        <f t="shared" si="10"/>
        <v>0</v>
      </c>
      <c r="AC132" s="30" t="str">
        <f>IF(ISBLANK(D132),"FALSE",ISNA(VLOOKUP($D132,'Traceability Matrix'!D$2:D$500,1,FALSE)))</f>
        <v>FALSE</v>
      </c>
    </row>
    <row r="133" spans="4:29" ht="13.15" customHeight="1" x14ac:dyDescent="0.2">
      <c r="D133" s="38"/>
      <c r="E133" s="47"/>
      <c r="F133" s="42"/>
      <c r="G133" s="42"/>
      <c r="H133" s="42"/>
      <c r="I133" s="42"/>
      <c r="K133" s="43"/>
      <c r="L133" s="43"/>
      <c r="M133" s="42"/>
      <c r="N133" s="44"/>
      <c r="O133" s="42"/>
      <c r="P133" s="42"/>
      <c r="AA133" s="30" t="e">
        <f t="shared" si="11"/>
        <v>#N/A</v>
      </c>
      <c r="AB133" s="30" t="b">
        <f t="shared" si="10"/>
        <v>0</v>
      </c>
      <c r="AC133" s="30" t="str">
        <f>IF(ISBLANK(D133),"FALSE",ISNA(VLOOKUP($D133,'Traceability Matrix'!D$2:D$500,1,FALSE)))</f>
        <v>FALSE</v>
      </c>
    </row>
    <row r="134" spans="4:29" ht="13.15" customHeight="1" x14ac:dyDescent="0.2">
      <c r="D134" s="38"/>
      <c r="E134" s="47"/>
      <c r="F134" s="42"/>
      <c r="G134" s="42"/>
      <c r="H134" s="42"/>
      <c r="I134" s="42"/>
      <c r="K134" s="43"/>
      <c r="L134" s="43"/>
      <c r="M134" s="42"/>
      <c r="N134" s="44"/>
      <c r="O134" s="42"/>
      <c r="P134" s="42"/>
      <c r="AA134" s="30" t="e">
        <f t="shared" si="11"/>
        <v>#N/A</v>
      </c>
      <c r="AB134" s="30" t="b">
        <f t="shared" si="10"/>
        <v>0</v>
      </c>
      <c r="AC134" s="30" t="str">
        <f>IF(ISBLANK(D134),"FALSE",ISNA(VLOOKUP($D134,'Traceability Matrix'!D$2:D$500,1,FALSE)))</f>
        <v>FALSE</v>
      </c>
    </row>
    <row r="135" spans="4:29" ht="13.15" customHeight="1" x14ac:dyDescent="0.2">
      <c r="D135" s="38"/>
      <c r="E135" s="47"/>
      <c r="F135" s="42"/>
      <c r="G135" s="42"/>
      <c r="H135" s="42"/>
      <c r="I135" s="42"/>
      <c r="K135" s="43"/>
      <c r="L135" s="43"/>
      <c r="M135" s="42"/>
      <c r="N135" s="44"/>
      <c r="O135" s="42"/>
      <c r="P135" s="42"/>
      <c r="AA135" s="30" t="e">
        <f t="shared" si="11"/>
        <v>#N/A</v>
      </c>
      <c r="AB135" s="30" t="b">
        <f t="shared" si="10"/>
        <v>0</v>
      </c>
      <c r="AC135" s="30" t="str">
        <f>IF(ISBLANK(D135),"FALSE",ISNA(VLOOKUP($D135,'Traceability Matrix'!D$2:D$500,1,FALSE)))</f>
        <v>FALSE</v>
      </c>
    </row>
    <row r="136" spans="4:29" ht="13.15" customHeight="1" x14ac:dyDescent="0.2">
      <c r="D136" s="38"/>
      <c r="E136" s="47"/>
      <c r="F136" s="42"/>
      <c r="G136" s="42"/>
      <c r="H136" s="42"/>
      <c r="I136" s="42"/>
      <c r="K136" s="43"/>
      <c r="L136" s="43"/>
      <c r="M136" s="42"/>
      <c r="N136" s="44"/>
      <c r="O136" s="42"/>
      <c r="P136" s="42"/>
      <c r="AA136" s="30" t="e">
        <f t="shared" si="11"/>
        <v>#N/A</v>
      </c>
      <c r="AB136" s="30" t="b">
        <f t="shared" si="10"/>
        <v>0</v>
      </c>
      <c r="AC136" s="30" t="str">
        <f>IF(ISBLANK(D136),"FALSE",ISNA(VLOOKUP($D136,'Traceability Matrix'!D$2:D$500,1,FALSE)))</f>
        <v>FALSE</v>
      </c>
    </row>
    <row r="137" spans="4:29" ht="13.15" customHeight="1" x14ac:dyDescent="0.2">
      <c r="D137" s="38"/>
      <c r="E137" s="47"/>
      <c r="F137" s="42"/>
      <c r="G137" s="42"/>
      <c r="H137" s="42"/>
      <c r="I137" s="42"/>
      <c r="K137" s="43"/>
      <c r="L137" s="43"/>
      <c r="M137" s="42"/>
      <c r="N137" s="44"/>
      <c r="O137" s="42"/>
      <c r="P137" s="42"/>
      <c r="AA137" s="30" t="e">
        <f t="shared" si="11"/>
        <v>#N/A</v>
      </c>
      <c r="AB137" s="30" t="b">
        <f t="shared" si="10"/>
        <v>0</v>
      </c>
      <c r="AC137" s="30" t="str">
        <f>IF(ISBLANK(D137),"FALSE",ISNA(VLOOKUP($D137,'Traceability Matrix'!D$2:D$500,1,FALSE)))</f>
        <v>FALSE</v>
      </c>
    </row>
    <row r="138" spans="4:29" ht="13.15" customHeight="1" x14ac:dyDescent="0.2">
      <c r="D138" s="38"/>
      <c r="E138" s="47"/>
      <c r="F138" s="42"/>
      <c r="G138" s="42"/>
      <c r="H138" s="42"/>
      <c r="I138" s="42"/>
      <c r="K138" s="43"/>
      <c r="L138" s="43"/>
      <c r="M138" s="42"/>
      <c r="N138" s="44"/>
      <c r="O138" s="42"/>
      <c r="P138" s="42"/>
      <c r="AA138" s="30" t="e">
        <f t="shared" si="11"/>
        <v>#N/A</v>
      </c>
      <c r="AB138" s="30" t="b">
        <f t="shared" si="10"/>
        <v>0</v>
      </c>
      <c r="AC138" s="30" t="str">
        <f>IF(ISBLANK(D138),"FALSE",ISNA(VLOOKUP($D138,'Traceability Matrix'!D$2:D$500,1,FALSE)))</f>
        <v>FALSE</v>
      </c>
    </row>
    <row r="139" spans="4:29" ht="13.15" customHeight="1" x14ac:dyDescent="0.2">
      <c r="D139" s="38"/>
      <c r="E139" s="47"/>
      <c r="F139" s="42"/>
      <c r="G139" s="42"/>
      <c r="H139" s="42"/>
      <c r="I139" s="42"/>
      <c r="K139" s="43"/>
      <c r="L139" s="43"/>
      <c r="M139" s="42"/>
      <c r="N139" s="44"/>
      <c r="O139" s="42"/>
      <c r="P139" s="42"/>
    </row>
    <row r="140" spans="4:29" ht="13.15" customHeight="1" x14ac:dyDescent="0.2">
      <c r="D140" s="38"/>
      <c r="E140" s="47"/>
      <c r="F140" s="42"/>
      <c r="G140" s="42"/>
      <c r="H140" s="42"/>
      <c r="I140" s="42"/>
      <c r="K140" s="43"/>
      <c r="L140" s="43"/>
      <c r="M140" s="42"/>
      <c r="N140" s="44"/>
      <c r="O140" s="42"/>
      <c r="P140" s="42"/>
    </row>
    <row r="141" spans="4:29" ht="13.15" customHeight="1" x14ac:dyDescent="0.2">
      <c r="D141" s="38"/>
      <c r="E141" s="47"/>
      <c r="F141" s="42"/>
      <c r="G141" s="42"/>
      <c r="H141" s="42"/>
      <c r="I141" s="42"/>
      <c r="K141" s="43"/>
      <c r="L141" s="43"/>
      <c r="M141" s="42"/>
      <c r="N141" s="44"/>
      <c r="O141" s="42"/>
      <c r="P141" s="42"/>
    </row>
    <row r="142" spans="4:29" ht="13.15" customHeight="1" x14ac:dyDescent="0.2">
      <c r="D142" s="38"/>
      <c r="E142" s="47"/>
      <c r="F142" s="42"/>
      <c r="G142" s="42"/>
      <c r="H142" s="42"/>
      <c r="I142" s="42"/>
      <c r="K142" s="43"/>
      <c r="L142" s="43"/>
      <c r="M142" s="42"/>
      <c r="N142" s="44"/>
      <c r="O142" s="42"/>
      <c r="P142" s="42"/>
    </row>
    <row r="143" spans="4:29" ht="13.15" customHeight="1" x14ac:dyDescent="0.2">
      <c r="D143" s="38"/>
      <c r="E143" s="47"/>
      <c r="F143" s="42"/>
      <c r="G143" s="42"/>
      <c r="H143" s="42"/>
      <c r="I143" s="42"/>
      <c r="K143" s="43"/>
      <c r="L143" s="43"/>
      <c r="M143" s="42"/>
      <c r="N143" s="44"/>
      <c r="O143" s="42"/>
      <c r="P143" s="42"/>
    </row>
    <row r="144" spans="4:29" ht="13.15" customHeight="1" x14ac:dyDescent="0.2">
      <c r="D144" s="38"/>
      <c r="E144" s="47"/>
      <c r="F144" s="42"/>
      <c r="G144" s="42"/>
      <c r="H144" s="42"/>
      <c r="I144" s="42"/>
      <c r="K144" s="43"/>
      <c r="L144" s="43"/>
      <c r="M144" s="42"/>
      <c r="N144" s="44"/>
      <c r="O144" s="42"/>
      <c r="P144" s="42"/>
    </row>
    <row r="145" spans="4:16" ht="13.15" customHeight="1" x14ac:dyDescent="0.2">
      <c r="D145" s="38"/>
      <c r="E145" s="47"/>
      <c r="F145" s="42"/>
      <c r="G145" s="42"/>
      <c r="H145" s="42"/>
      <c r="I145" s="42"/>
      <c r="K145" s="43"/>
      <c r="L145" s="43"/>
      <c r="M145" s="42"/>
      <c r="N145" s="44"/>
      <c r="O145" s="42"/>
      <c r="P145" s="42"/>
    </row>
    <row r="146" spans="4:16" ht="13.15" customHeight="1" x14ac:dyDescent="0.2">
      <c r="D146" s="38"/>
      <c r="E146" s="47"/>
      <c r="F146" s="42"/>
      <c r="G146" s="42"/>
      <c r="H146" s="42"/>
      <c r="I146" s="42"/>
      <c r="K146" s="43"/>
      <c r="L146" s="43"/>
      <c r="M146" s="42"/>
      <c r="N146" s="44"/>
      <c r="O146" s="42"/>
      <c r="P146" s="42"/>
    </row>
    <row r="147" spans="4:16" ht="13.15" customHeight="1" x14ac:dyDescent="0.2">
      <c r="D147" s="38"/>
      <c r="E147" s="47"/>
      <c r="F147" s="42"/>
      <c r="G147" s="42"/>
      <c r="H147" s="42"/>
      <c r="I147" s="42"/>
      <c r="K147" s="43"/>
      <c r="L147" s="43"/>
      <c r="M147" s="42"/>
      <c r="N147" s="44"/>
      <c r="O147" s="42"/>
      <c r="P147" s="42"/>
    </row>
    <row r="148" spans="4:16" ht="13.15" customHeight="1" x14ac:dyDescent="0.2">
      <c r="D148" s="38"/>
      <c r="E148" s="47"/>
      <c r="F148" s="42"/>
      <c r="G148" s="42"/>
      <c r="H148" s="42"/>
      <c r="I148" s="42"/>
      <c r="K148" s="43"/>
      <c r="L148" s="43"/>
      <c r="M148" s="42"/>
      <c r="N148" s="44"/>
      <c r="O148" s="42"/>
      <c r="P148" s="42"/>
    </row>
    <row r="149" spans="4:16" ht="13.15" customHeight="1" x14ac:dyDescent="0.2">
      <c r="D149" s="38"/>
      <c r="E149" s="47"/>
      <c r="F149" s="42"/>
      <c r="G149" s="42"/>
      <c r="H149" s="42"/>
      <c r="I149" s="42"/>
      <c r="K149" s="43"/>
      <c r="L149" s="43"/>
      <c r="M149" s="42"/>
      <c r="N149" s="44"/>
      <c r="O149" s="42"/>
      <c r="P149" s="42"/>
    </row>
    <row r="150" spans="4:16" ht="13.15" customHeight="1" x14ac:dyDescent="0.2">
      <c r="D150" s="38"/>
      <c r="E150" s="47"/>
      <c r="F150" s="42"/>
      <c r="G150" s="42"/>
      <c r="H150" s="42"/>
      <c r="I150" s="42"/>
      <c r="K150" s="43"/>
      <c r="L150" s="43"/>
      <c r="M150" s="42"/>
      <c r="N150" s="44"/>
      <c r="O150" s="42"/>
      <c r="P150" s="42"/>
    </row>
    <row r="151" spans="4:16" ht="13.15" customHeight="1" x14ac:dyDescent="0.2">
      <c r="D151" s="38"/>
      <c r="E151" s="47"/>
      <c r="F151" s="42"/>
      <c r="G151" s="42"/>
      <c r="H151" s="42"/>
      <c r="I151" s="42"/>
      <c r="K151" s="43"/>
      <c r="L151" s="43"/>
      <c r="M151" s="42"/>
      <c r="N151" s="44"/>
      <c r="O151" s="42"/>
      <c r="P151" s="42"/>
    </row>
    <row r="152" spans="4:16" ht="13.15" customHeight="1" x14ac:dyDescent="0.2">
      <c r="D152" s="38"/>
      <c r="E152" s="47"/>
      <c r="F152" s="42"/>
      <c r="G152" s="42"/>
      <c r="H152" s="42"/>
      <c r="I152" s="42"/>
      <c r="K152" s="43"/>
      <c r="L152" s="43"/>
      <c r="M152" s="42"/>
      <c r="N152" s="44"/>
      <c r="O152" s="42"/>
      <c r="P152" s="42"/>
    </row>
    <row r="153" spans="4:16" ht="13.15" customHeight="1" x14ac:dyDescent="0.2">
      <c r="D153" s="38"/>
      <c r="E153" s="47"/>
      <c r="F153" s="42"/>
      <c r="G153" s="42"/>
      <c r="H153" s="42"/>
      <c r="I153" s="42"/>
      <c r="K153" s="43"/>
      <c r="L153" s="43"/>
      <c r="M153" s="42"/>
      <c r="N153" s="44"/>
      <c r="O153" s="42"/>
      <c r="P153" s="42"/>
    </row>
    <row r="154" spans="4:16" ht="13.15" customHeight="1" x14ac:dyDescent="0.2">
      <c r="D154" s="38"/>
      <c r="E154" s="47"/>
      <c r="F154" s="42"/>
      <c r="G154" s="42"/>
      <c r="H154" s="42"/>
      <c r="I154" s="42"/>
      <c r="K154" s="43"/>
      <c r="L154" s="43"/>
      <c r="M154" s="42"/>
      <c r="N154" s="44"/>
      <c r="O154" s="42"/>
      <c r="P154" s="42"/>
    </row>
    <row r="155" spans="4:16" ht="13.15" customHeight="1" x14ac:dyDescent="0.2">
      <c r="D155" s="38"/>
      <c r="E155" s="47"/>
      <c r="F155" s="42"/>
      <c r="G155" s="42"/>
      <c r="H155" s="42"/>
      <c r="I155" s="42"/>
      <c r="K155" s="43"/>
      <c r="L155" s="43"/>
      <c r="M155" s="42"/>
      <c r="N155" s="44"/>
      <c r="O155" s="42"/>
      <c r="P155" s="42"/>
    </row>
    <row r="156" spans="4:16" ht="13.15" customHeight="1" x14ac:dyDescent="0.2">
      <c r="D156" s="38"/>
      <c r="E156" s="47"/>
      <c r="F156" s="42"/>
      <c r="G156" s="42"/>
      <c r="H156" s="42"/>
      <c r="I156" s="42"/>
      <c r="K156" s="43"/>
      <c r="L156" s="43"/>
      <c r="M156" s="42"/>
      <c r="N156" s="44"/>
      <c r="O156" s="42"/>
      <c r="P156" s="42"/>
    </row>
    <row r="157" spans="4:16" ht="13.15" customHeight="1" x14ac:dyDescent="0.2">
      <c r="D157" s="38"/>
      <c r="E157" s="47"/>
      <c r="F157" s="42"/>
      <c r="G157" s="42"/>
      <c r="H157" s="42"/>
      <c r="I157" s="42"/>
      <c r="K157" s="43"/>
      <c r="L157" s="43"/>
      <c r="M157" s="42"/>
      <c r="N157" s="44"/>
      <c r="O157" s="42"/>
      <c r="P157" s="42"/>
    </row>
    <row r="158" spans="4:16" ht="13.15" customHeight="1" x14ac:dyDescent="0.2">
      <c r="D158" s="38"/>
      <c r="E158" s="47"/>
      <c r="F158" s="42"/>
      <c r="G158" s="42"/>
      <c r="H158" s="42"/>
      <c r="I158" s="42"/>
      <c r="K158" s="43"/>
      <c r="L158" s="43"/>
      <c r="M158" s="42"/>
      <c r="N158" s="44"/>
      <c r="O158" s="42"/>
      <c r="P158" s="42"/>
    </row>
    <row r="159" spans="4:16" ht="13.15" customHeight="1" x14ac:dyDescent="0.2">
      <c r="D159" s="38"/>
      <c r="E159" s="47"/>
      <c r="F159" s="42"/>
      <c r="G159" s="42"/>
      <c r="H159" s="42"/>
      <c r="I159" s="42"/>
      <c r="K159" s="43"/>
      <c r="L159" s="43"/>
      <c r="M159" s="42"/>
      <c r="N159" s="44"/>
      <c r="O159" s="42"/>
      <c r="P159" s="42"/>
    </row>
    <row r="160" spans="4:16" ht="13.15" customHeight="1" x14ac:dyDescent="0.2">
      <c r="D160" s="38"/>
      <c r="E160" s="47"/>
      <c r="F160" s="42"/>
      <c r="G160" s="42"/>
      <c r="H160" s="42"/>
      <c r="I160" s="42"/>
      <c r="K160" s="43"/>
      <c r="L160" s="43"/>
      <c r="M160" s="42"/>
      <c r="N160" s="44"/>
      <c r="O160" s="42"/>
      <c r="P160" s="42"/>
    </row>
    <row r="161" spans="4:16" ht="13.15" customHeight="1" x14ac:dyDescent="0.2">
      <c r="D161" s="38"/>
      <c r="E161" s="47"/>
      <c r="F161" s="42"/>
      <c r="G161" s="42"/>
      <c r="H161" s="42"/>
      <c r="I161" s="42"/>
      <c r="K161" s="43"/>
      <c r="L161" s="43"/>
      <c r="M161" s="42"/>
      <c r="N161" s="44"/>
      <c r="O161" s="42"/>
      <c r="P161" s="42"/>
    </row>
    <row r="162" spans="4:16" ht="13.15" customHeight="1" x14ac:dyDescent="0.2">
      <c r="D162" s="38"/>
      <c r="E162" s="47"/>
      <c r="F162" s="42"/>
      <c r="G162" s="42"/>
      <c r="H162" s="42"/>
      <c r="I162" s="42"/>
      <c r="K162" s="43"/>
      <c r="L162" s="43"/>
      <c r="M162" s="42"/>
      <c r="N162" s="44"/>
      <c r="O162" s="42"/>
      <c r="P162" s="42"/>
    </row>
    <row r="163" spans="4:16" ht="13.15" customHeight="1" x14ac:dyDescent="0.2">
      <c r="D163" s="38"/>
      <c r="E163" s="47"/>
      <c r="F163" s="42"/>
      <c r="G163" s="42"/>
      <c r="H163" s="42"/>
      <c r="I163" s="42"/>
      <c r="K163" s="43"/>
      <c r="L163" s="43"/>
      <c r="M163" s="42"/>
      <c r="N163" s="44"/>
      <c r="O163" s="42"/>
      <c r="P163" s="42"/>
    </row>
    <row r="164" spans="4:16" ht="13.15" customHeight="1" x14ac:dyDescent="0.2">
      <c r="D164" s="38"/>
      <c r="E164" s="47"/>
      <c r="F164" s="42"/>
      <c r="G164" s="42"/>
      <c r="H164" s="42"/>
      <c r="I164" s="42"/>
      <c r="K164" s="43"/>
      <c r="L164" s="43"/>
      <c r="M164" s="42"/>
      <c r="N164" s="44"/>
      <c r="O164" s="42"/>
      <c r="P164" s="42"/>
    </row>
    <row r="165" spans="4:16" ht="13.15" customHeight="1" x14ac:dyDescent="0.2">
      <c r="D165" s="38"/>
      <c r="E165" s="47"/>
      <c r="F165" s="42"/>
      <c r="G165" s="42"/>
      <c r="H165" s="42"/>
      <c r="I165" s="42"/>
      <c r="K165" s="43"/>
      <c r="L165" s="43"/>
      <c r="M165" s="42"/>
      <c r="N165" s="44"/>
      <c r="O165" s="42"/>
      <c r="P165" s="42"/>
    </row>
    <row r="166" spans="4:16" ht="13.15" customHeight="1" x14ac:dyDescent="0.2">
      <c r="D166" s="38"/>
      <c r="E166" s="47"/>
      <c r="F166" s="42"/>
      <c r="G166" s="42"/>
      <c r="H166" s="42"/>
      <c r="I166" s="42"/>
      <c r="K166" s="43"/>
      <c r="L166" s="43"/>
      <c r="M166" s="42"/>
      <c r="N166" s="44"/>
      <c r="O166" s="42"/>
      <c r="P166" s="42"/>
    </row>
    <row r="167" spans="4:16" ht="13.15" customHeight="1" x14ac:dyDescent="0.2">
      <c r="D167" s="38"/>
      <c r="E167" s="47"/>
      <c r="F167" s="42"/>
      <c r="G167" s="42"/>
      <c r="H167" s="42"/>
      <c r="I167" s="42"/>
      <c r="K167" s="43"/>
      <c r="L167" s="43"/>
      <c r="M167" s="42"/>
      <c r="N167" s="44"/>
      <c r="O167" s="42"/>
      <c r="P167" s="42"/>
    </row>
    <row r="168" spans="4:16" ht="13.15" customHeight="1" x14ac:dyDescent="0.2">
      <c r="D168" s="38"/>
      <c r="E168" s="47"/>
      <c r="F168" s="42"/>
      <c r="G168" s="42"/>
      <c r="H168" s="42"/>
      <c r="I168" s="42"/>
      <c r="K168" s="43"/>
      <c r="L168" s="43"/>
      <c r="M168" s="42"/>
      <c r="N168" s="44"/>
      <c r="O168" s="42"/>
      <c r="P168" s="42"/>
    </row>
    <row r="169" spans="4:16" ht="13.15" customHeight="1" x14ac:dyDescent="0.2">
      <c r="D169" s="38"/>
      <c r="E169" s="47"/>
      <c r="F169" s="42"/>
      <c r="G169" s="42"/>
      <c r="H169" s="42"/>
      <c r="I169" s="42"/>
      <c r="K169" s="43"/>
      <c r="L169" s="43"/>
      <c r="M169" s="42"/>
      <c r="N169" s="44"/>
      <c r="O169" s="42"/>
      <c r="P169" s="42"/>
    </row>
    <row r="170" spans="4:16" ht="13.15" customHeight="1" x14ac:dyDescent="0.2">
      <c r="D170" s="38"/>
      <c r="E170" s="47"/>
      <c r="F170" s="42"/>
      <c r="G170" s="42"/>
      <c r="H170" s="42"/>
      <c r="I170" s="42"/>
      <c r="K170" s="43"/>
      <c r="L170" s="43"/>
      <c r="M170" s="42"/>
      <c r="N170" s="44"/>
      <c r="O170" s="42"/>
      <c r="P170" s="42"/>
    </row>
    <row r="171" spans="4:16" ht="13.15" customHeight="1" x14ac:dyDescent="0.2">
      <c r="D171" s="38"/>
      <c r="E171" s="47"/>
      <c r="F171" s="42"/>
      <c r="G171" s="42"/>
      <c r="H171" s="42"/>
      <c r="I171" s="42"/>
      <c r="K171" s="43"/>
      <c r="L171" s="43"/>
      <c r="M171" s="42"/>
      <c r="N171" s="44"/>
      <c r="O171" s="42"/>
      <c r="P171" s="42"/>
    </row>
    <row r="172" spans="4:16" ht="13.15" customHeight="1" x14ac:dyDescent="0.2">
      <c r="D172" s="38"/>
      <c r="E172" s="47"/>
      <c r="F172" s="42"/>
      <c r="G172" s="42"/>
      <c r="H172" s="42"/>
      <c r="I172" s="42"/>
      <c r="K172" s="43"/>
      <c r="L172" s="43"/>
      <c r="M172" s="42"/>
      <c r="N172" s="44"/>
      <c r="O172" s="42"/>
      <c r="P172" s="42"/>
    </row>
    <row r="173" spans="4:16" ht="13.15" customHeight="1" x14ac:dyDescent="0.2">
      <c r="D173" s="38"/>
      <c r="E173" s="47"/>
      <c r="F173" s="42"/>
      <c r="G173" s="42"/>
      <c r="H173" s="42"/>
      <c r="I173" s="42"/>
      <c r="K173" s="43"/>
      <c r="L173" s="43"/>
      <c r="M173" s="42"/>
      <c r="N173" s="44"/>
      <c r="O173" s="42"/>
      <c r="P173" s="42"/>
    </row>
    <row r="174" spans="4:16" ht="13.15" customHeight="1" x14ac:dyDescent="0.2">
      <c r="D174" s="38"/>
      <c r="E174" s="47"/>
      <c r="F174" s="42"/>
      <c r="G174" s="42"/>
      <c r="H174" s="42"/>
      <c r="I174" s="42"/>
      <c r="K174" s="43"/>
      <c r="L174" s="43"/>
      <c r="M174" s="42"/>
      <c r="N174" s="44"/>
      <c r="O174" s="42"/>
      <c r="P174" s="42"/>
    </row>
    <row r="175" spans="4:16" ht="13.15" customHeight="1" x14ac:dyDescent="0.2">
      <c r="D175" s="38"/>
      <c r="E175" s="47"/>
      <c r="F175" s="42"/>
      <c r="G175" s="42"/>
      <c r="H175" s="42"/>
      <c r="I175" s="42"/>
      <c r="K175" s="43"/>
      <c r="L175" s="43"/>
      <c r="M175" s="42"/>
      <c r="N175" s="44"/>
      <c r="O175" s="42"/>
      <c r="P175" s="42"/>
    </row>
    <row r="176" spans="4:16" ht="13.15" customHeight="1" x14ac:dyDescent="0.2">
      <c r="D176" s="38"/>
      <c r="E176" s="47"/>
      <c r="F176" s="42"/>
      <c r="G176" s="42"/>
      <c r="H176" s="42"/>
      <c r="I176" s="42"/>
      <c r="K176" s="43"/>
      <c r="L176" s="43"/>
      <c r="M176" s="42"/>
      <c r="N176" s="44"/>
      <c r="O176" s="42"/>
      <c r="P176" s="42"/>
    </row>
    <row r="177" spans="4:16" ht="13.15" customHeight="1" x14ac:dyDescent="0.2">
      <c r="D177" s="38"/>
      <c r="E177" s="47"/>
      <c r="F177" s="42"/>
      <c r="G177" s="42"/>
      <c r="H177" s="42"/>
      <c r="I177" s="42"/>
      <c r="K177" s="43"/>
      <c r="L177" s="43"/>
      <c r="M177" s="42"/>
      <c r="N177" s="44"/>
      <c r="O177" s="42"/>
      <c r="P177" s="42"/>
    </row>
    <row r="178" spans="4:16" ht="13.15" customHeight="1" x14ac:dyDescent="0.2">
      <c r="D178" s="38"/>
      <c r="E178" s="47"/>
      <c r="F178" s="42"/>
      <c r="G178" s="42"/>
      <c r="H178" s="42"/>
      <c r="I178" s="42"/>
      <c r="K178" s="43"/>
      <c r="L178" s="43"/>
      <c r="M178" s="42"/>
      <c r="N178" s="44"/>
      <c r="O178" s="42"/>
      <c r="P178" s="42"/>
    </row>
    <row r="179" spans="4:16" ht="13.15" customHeight="1" x14ac:dyDescent="0.2">
      <c r="D179" s="38"/>
      <c r="E179" s="47"/>
      <c r="F179" s="42"/>
      <c r="G179" s="42"/>
      <c r="H179" s="42"/>
      <c r="I179" s="42"/>
      <c r="K179" s="43"/>
      <c r="L179" s="43"/>
      <c r="M179" s="42"/>
      <c r="N179" s="44"/>
      <c r="O179" s="42"/>
      <c r="P179" s="42"/>
    </row>
    <row r="180" spans="4:16" ht="13.15" customHeight="1" x14ac:dyDescent="0.2">
      <c r="D180" s="38"/>
      <c r="E180" s="47"/>
      <c r="F180" s="42"/>
      <c r="G180" s="42"/>
      <c r="H180" s="42"/>
      <c r="I180" s="42"/>
      <c r="K180" s="43"/>
      <c r="L180" s="43"/>
      <c r="M180" s="42"/>
      <c r="N180" s="44"/>
      <c r="O180" s="42"/>
      <c r="P180" s="42"/>
    </row>
    <row r="181" spans="4:16" ht="13.15" customHeight="1" x14ac:dyDescent="0.2">
      <c r="D181" s="38"/>
      <c r="E181" s="47"/>
      <c r="F181" s="42"/>
      <c r="G181" s="42"/>
      <c r="H181" s="42"/>
      <c r="I181" s="42"/>
      <c r="K181" s="43"/>
      <c r="L181" s="43"/>
      <c r="M181" s="42"/>
      <c r="N181" s="44"/>
      <c r="O181" s="42"/>
      <c r="P181" s="42"/>
    </row>
    <row r="182" spans="4:16" ht="13.15" customHeight="1" x14ac:dyDescent="0.2">
      <c r="D182" s="38"/>
      <c r="E182" s="47"/>
      <c r="F182" s="42"/>
      <c r="G182" s="42"/>
      <c r="H182" s="42"/>
      <c r="I182" s="42"/>
      <c r="K182" s="43"/>
      <c r="L182" s="43"/>
      <c r="M182" s="42"/>
      <c r="N182" s="44"/>
      <c r="O182" s="42"/>
      <c r="P182" s="42"/>
    </row>
    <row r="183" spans="4:16" ht="13.15" customHeight="1" x14ac:dyDescent="0.2">
      <c r="D183" s="38"/>
      <c r="E183" s="47"/>
      <c r="F183" s="42"/>
      <c r="G183" s="42"/>
      <c r="H183" s="42"/>
      <c r="I183" s="42"/>
      <c r="K183" s="43"/>
      <c r="L183" s="43"/>
      <c r="M183" s="42"/>
      <c r="N183" s="44"/>
      <c r="O183" s="42"/>
      <c r="P183" s="42"/>
    </row>
    <row r="184" spans="4:16" ht="13.15" customHeight="1" x14ac:dyDescent="0.2">
      <c r="D184" s="38"/>
      <c r="E184" s="47"/>
      <c r="F184" s="42"/>
      <c r="G184" s="42"/>
      <c r="H184" s="42"/>
      <c r="I184" s="42"/>
      <c r="K184" s="43"/>
      <c r="L184" s="43"/>
      <c r="M184" s="42"/>
      <c r="N184" s="44"/>
      <c r="O184" s="42"/>
      <c r="P184" s="42"/>
    </row>
    <row r="185" spans="4:16" ht="13.15" customHeight="1" x14ac:dyDescent="0.2">
      <c r="D185" s="38"/>
      <c r="E185" s="47"/>
      <c r="F185" s="42"/>
      <c r="G185" s="42"/>
      <c r="H185" s="42"/>
      <c r="I185" s="42"/>
      <c r="K185" s="43"/>
      <c r="L185" s="43"/>
      <c r="M185" s="42"/>
      <c r="N185" s="44"/>
      <c r="O185" s="42"/>
      <c r="P185" s="42"/>
    </row>
    <row r="186" spans="4:16" ht="13.15" customHeight="1" x14ac:dyDescent="0.2">
      <c r="D186" s="38"/>
      <c r="E186" s="47"/>
      <c r="F186" s="42"/>
      <c r="G186" s="42"/>
      <c r="H186" s="42"/>
      <c r="I186" s="42"/>
      <c r="K186" s="43"/>
      <c r="L186" s="43"/>
      <c r="M186" s="42"/>
      <c r="N186" s="44"/>
      <c r="O186" s="42"/>
      <c r="P186" s="42"/>
    </row>
    <row r="187" spans="4:16" ht="13.15" customHeight="1" x14ac:dyDescent="0.2">
      <c r="D187" s="38"/>
      <c r="E187" s="47"/>
      <c r="F187" s="42"/>
      <c r="G187" s="42"/>
      <c r="H187" s="42"/>
      <c r="I187" s="42"/>
      <c r="K187" s="43"/>
      <c r="L187" s="43"/>
      <c r="M187" s="42"/>
      <c r="N187" s="44"/>
      <c r="O187" s="42"/>
      <c r="P187" s="42"/>
    </row>
    <row r="188" spans="4:16" ht="13.15" customHeight="1" x14ac:dyDescent="0.2">
      <c r="D188" s="38"/>
      <c r="E188" s="47"/>
      <c r="F188" s="42"/>
      <c r="G188" s="42"/>
      <c r="H188" s="42"/>
      <c r="I188" s="42"/>
      <c r="K188" s="43"/>
      <c r="L188" s="43"/>
      <c r="M188" s="42"/>
      <c r="N188" s="44"/>
      <c r="O188" s="42"/>
      <c r="P188" s="42"/>
    </row>
    <row r="189" spans="4:16" ht="13.15" customHeight="1" x14ac:dyDescent="0.2">
      <c r="D189" s="38"/>
      <c r="E189" s="47"/>
      <c r="F189" s="42"/>
      <c r="G189" s="42"/>
      <c r="H189" s="42"/>
      <c r="I189" s="42"/>
      <c r="K189" s="43"/>
      <c r="L189" s="43"/>
      <c r="M189" s="42"/>
      <c r="N189" s="44"/>
      <c r="O189" s="42"/>
      <c r="P189" s="42"/>
    </row>
    <row r="190" spans="4:16" ht="13.15" customHeight="1" x14ac:dyDescent="0.2">
      <c r="D190" s="38"/>
      <c r="E190" s="47"/>
      <c r="F190" s="42"/>
      <c r="G190" s="42"/>
      <c r="H190" s="42"/>
      <c r="I190" s="42"/>
      <c r="K190" s="43"/>
      <c r="L190" s="43"/>
      <c r="M190" s="42"/>
      <c r="N190" s="44"/>
      <c r="O190" s="42"/>
      <c r="P190" s="42"/>
    </row>
    <row r="191" spans="4:16" ht="13.15" customHeight="1" x14ac:dyDescent="0.2">
      <c r="D191" s="38"/>
      <c r="E191" s="47"/>
      <c r="F191" s="42"/>
      <c r="G191" s="42"/>
      <c r="H191" s="42"/>
      <c r="I191" s="42"/>
      <c r="K191" s="43"/>
      <c r="L191" s="43"/>
      <c r="M191" s="42"/>
      <c r="N191" s="44"/>
      <c r="O191" s="42"/>
      <c r="P191" s="42"/>
    </row>
    <row r="192" spans="4:16" ht="13.15" customHeight="1" x14ac:dyDescent="0.2">
      <c r="D192" s="38"/>
      <c r="E192" s="47"/>
      <c r="F192" s="42"/>
      <c r="G192" s="42"/>
      <c r="H192" s="42"/>
      <c r="I192" s="42"/>
      <c r="K192" s="43"/>
      <c r="L192" s="43"/>
      <c r="M192" s="42"/>
      <c r="N192" s="44"/>
      <c r="O192" s="42"/>
      <c r="P192" s="42"/>
    </row>
    <row r="193" spans="4:16" ht="13.15" customHeight="1" x14ac:dyDescent="0.2">
      <c r="D193" s="38"/>
      <c r="E193" s="47"/>
      <c r="F193" s="42"/>
      <c r="G193" s="42"/>
      <c r="H193" s="42"/>
      <c r="I193" s="42"/>
      <c r="K193" s="43"/>
      <c r="L193" s="43"/>
      <c r="M193" s="42"/>
      <c r="N193" s="44"/>
      <c r="O193" s="42"/>
      <c r="P193" s="42"/>
    </row>
    <row r="194" spans="4:16" ht="13.15" customHeight="1" x14ac:dyDescent="0.2">
      <c r="D194" s="38"/>
      <c r="E194" s="47"/>
      <c r="F194" s="42"/>
      <c r="G194" s="42"/>
      <c r="H194" s="42"/>
      <c r="I194" s="42"/>
      <c r="K194" s="43"/>
      <c r="L194" s="43"/>
      <c r="M194" s="42"/>
      <c r="N194" s="44"/>
      <c r="O194" s="42"/>
      <c r="P194" s="42"/>
    </row>
    <row r="195" spans="4:16" ht="13.15" customHeight="1" x14ac:dyDescent="0.2">
      <c r="D195" s="38"/>
      <c r="E195" s="47"/>
      <c r="F195" s="42"/>
      <c r="G195" s="42"/>
      <c r="H195" s="42"/>
      <c r="I195" s="42"/>
      <c r="K195" s="43"/>
      <c r="L195" s="43"/>
      <c r="M195" s="42"/>
      <c r="N195" s="44"/>
      <c r="O195" s="42"/>
      <c r="P195" s="42"/>
    </row>
    <row r="196" spans="4:16" ht="13.15" customHeight="1" x14ac:dyDescent="0.2">
      <c r="D196" s="38"/>
      <c r="E196" s="47"/>
      <c r="F196" s="42"/>
      <c r="G196" s="42"/>
      <c r="H196" s="42"/>
      <c r="I196" s="42"/>
      <c r="K196" s="43"/>
      <c r="L196" s="43"/>
      <c r="M196" s="42"/>
      <c r="N196" s="44"/>
      <c r="O196" s="42"/>
      <c r="P196" s="42"/>
    </row>
    <row r="197" spans="4:16" ht="13.15" customHeight="1" x14ac:dyDescent="0.2">
      <c r="D197" s="38"/>
      <c r="E197" s="47"/>
      <c r="F197" s="42"/>
      <c r="G197" s="42"/>
      <c r="H197" s="42"/>
      <c r="I197" s="42"/>
      <c r="K197" s="43"/>
      <c r="L197" s="43"/>
      <c r="M197" s="42"/>
      <c r="N197" s="44"/>
      <c r="O197" s="42"/>
      <c r="P197" s="42"/>
    </row>
    <row r="198" spans="4:16" ht="13.15" customHeight="1" x14ac:dyDescent="0.2">
      <c r="D198" s="38"/>
      <c r="E198" s="47"/>
      <c r="F198" s="42"/>
      <c r="G198" s="42"/>
      <c r="H198" s="42"/>
      <c r="I198" s="42"/>
      <c r="K198" s="43"/>
      <c r="L198" s="43"/>
      <c r="M198" s="42"/>
      <c r="N198" s="44"/>
      <c r="O198" s="42"/>
      <c r="P198" s="42"/>
    </row>
    <row r="199" spans="4:16" ht="13.15" customHeight="1" x14ac:dyDescent="0.2">
      <c r="D199" s="38"/>
      <c r="E199" s="47"/>
      <c r="F199" s="42"/>
      <c r="G199" s="42"/>
      <c r="H199" s="42"/>
      <c r="I199" s="42"/>
      <c r="K199" s="43"/>
      <c r="L199" s="43"/>
      <c r="M199" s="42"/>
      <c r="N199" s="44"/>
      <c r="O199" s="42"/>
      <c r="P199" s="42"/>
    </row>
    <row r="200" spans="4:16" ht="13.15" customHeight="1" x14ac:dyDescent="0.2">
      <c r="D200" s="38"/>
      <c r="E200" s="47"/>
      <c r="F200" s="42"/>
      <c r="G200" s="42"/>
      <c r="H200" s="42"/>
      <c r="I200" s="42"/>
      <c r="K200" s="43"/>
      <c r="L200" s="43"/>
      <c r="M200" s="42"/>
      <c r="N200" s="44"/>
      <c r="O200" s="42"/>
      <c r="P200" s="42"/>
    </row>
    <row r="201" spans="4:16" ht="13.15" customHeight="1" x14ac:dyDescent="0.2">
      <c r="D201" s="38"/>
      <c r="E201" s="47"/>
      <c r="F201" s="42"/>
      <c r="G201" s="42"/>
      <c r="H201" s="42"/>
      <c r="I201" s="42"/>
      <c r="K201" s="43"/>
      <c r="L201" s="43"/>
      <c r="M201" s="42"/>
      <c r="N201" s="44"/>
      <c r="O201" s="42"/>
      <c r="P201" s="42"/>
    </row>
    <row r="202" spans="4:16" ht="13.15" customHeight="1" x14ac:dyDescent="0.2">
      <c r="D202" s="38"/>
      <c r="E202" s="47"/>
      <c r="F202" s="42"/>
      <c r="G202" s="42"/>
      <c r="H202" s="42"/>
      <c r="I202" s="42"/>
      <c r="K202" s="43"/>
      <c r="L202" s="43"/>
      <c r="M202" s="42"/>
      <c r="N202" s="44"/>
      <c r="O202" s="42"/>
      <c r="P202" s="42"/>
    </row>
    <row r="203" spans="4:16" ht="13.15" customHeight="1" x14ac:dyDescent="0.2">
      <c r="D203" s="38"/>
      <c r="E203" s="47"/>
      <c r="F203" s="42"/>
      <c r="G203" s="42"/>
      <c r="H203" s="42"/>
      <c r="I203" s="42"/>
      <c r="K203" s="43"/>
      <c r="L203" s="43"/>
      <c r="M203" s="42"/>
      <c r="N203" s="44"/>
      <c r="O203" s="42"/>
      <c r="P203" s="42"/>
    </row>
    <row r="204" spans="4:16" ht="13.15" customHeight="1" x14ac:dyDescent="0.2">
      <c r="D204" s="38"/>
      <c r="E204" s="47"/>
      <c r="F204" s="42"/>
      <c r="G204" s="42"/>
      <c r="H204" s="42"/>
      <c r="I204" s="42"/>
      <c r="K204" s="43"/>
      <c r="L204" s="43"/>
      <c r="M204" s="42"/>
      <c r="N204" s="44"/>
      <c r="O204" s="42"/>
      <c r="P204" s="42"/>
    </row>
    <row r="205" spans="4:16" ht="13.15" customHeight="1" x14ac:dyDescent="0.2">
      <c r="D205" s="38"/>
      <c r="E205" s="47"/>
      <c r="F205" s="42"/>
      <c r="G205" s="42"/>
      <c r="H205" s="42"/>
      <c r="I205" s="42"/>
      <c r="K205" s="43"/>
      <c r="L205" s="43"/>
      <c r="M205" s="42"/>
      <c r="N205" s="44"/>
      <c r="O205" s="42"/>
      <c r="P205" s="42"/>
    </row>
    <row r="206" spans="4:16" ht="13.15" customHeight="1" x14ac:dyDescent="0.2">
      <c r="D206" s="38"/>
      <c r="E206" s="47"/>
      <c r="F206" s="42"/>
      <c r="G206" s="42"/>
      <c r="H206" s="42"/>
      <c r="I206" s="42"/>
      <c r="K206" s="43"/>
      <c r="L206" s="43"/>
      <c r="M206" s="42"/>
      <c r="N206" s="44"/>
      <c r="O206" s="42"/>
      <c r="P206" s="42"/>
    </row>
    <row r="207" spans="4:16" ht="13.15" customHeight="1" x14ac:dyDescent="0.2">
      <c r="D207" s="38"/>
      <c r="E207" s="47"/>
      <c r="F207" s="42"/>
      <c r="G207" s="42"/>
      <c r="H207" s="42"/>
      <c r="I207" s="42"/>
      <c r="K207" s="43"/>
      <c r="L207" s="43"/>
      <c r="M207" s="42"/>
      <c r="N207" s="44"/>
      <c r="O207" s="42"/>
      <c r="P207" s="42"/>
    </row>
    <row r="208" spans="4:16" ht="13.15" customHeight="1" x14ac:dyDescent="0.2">
      <c r="D208" s="38"/>
      <c r="E208" s="47"/>
      <c r="F208" s="42"/>
      <c r="G208" s="42"/>
      <c r="H208" s="42"/>
      <c r="I208" s="42"/>
      <c r="K208" s="43"/>
      <c r="L208" s="43"/>
      <c r="M208" s="42"/>
      <c r="N208" s="44"/>
      <c r="O208" s="42"/>
      <c r="P208" s="42"/>
    </row>
    <row r="209" spans="4:16" ht="13.15" customHeight="1" x14ac:dyDescent="0.2">
      <c r="D209" s="38"/>
      <c r="E209" s="47"/>
      <c r="F209" s="42"/>
      <c r="G209" s="42"/>
      <c r="H209" s="42"/>
      <c r="I209" s="42"/>
      <c r="K209" s="43"/>
      <c r="L209" s="43"/>
      <c r="M209" s="42"/>
      <c r="N209" s="44"/>
      <c r="O209" s="42"/>
      <c r="P209" s="42"/>
    </row>
    <row r="210" spans="4:16" ht="13.15" customHeight="1" x14ac:dyDescent="0.2">
      <c r="D210" s="38"/>
      <c r="E210" s="47"/>
      <c r="F210" s="42"/>
      <c r="G210" s="42"/>
      <c r="H210" s="42"/>
      <c r="I210" s="42"/>
      <c r="K210" s="43"/>
      <c r="L210" s="43"/>
      <c r="M210" s="42"/>
      <c r="N210" s="44"/>
      <c r="O210" s="42"/>
      <c r="P210" s="42"/>
    </row>
    <row r="211" spans="4:16" ht="13.15" customHeight="1" x14ac:dyDescent="0.2">
      <c r="D211" s="38"/>
      <c r="E211" s="47"/>
      <c r="F211" s="42"/>
      <c r="G211" s="42"/>
      <c r="H211" s="42"/>
      <c r="I211" s="42"/>
      <c r="K211" s="43"/>
      <c r="L211" s="43"/>
      <c r="M211" s="42"/>
      <c r="N211" s="44"/>
      <c r="O211" s="42"/>
      <c r="P211" s="42"/>
    </row>
    <row r="212" spans="4:16" ht="13.15" customHeight="1" x14ac:dyDescent="0.2">
      <c r="D212" s="38"/>
      <c r="E212" s="47"/>
      <c r="F212" s="42"/>
      <c r="G212" s="42"/>
      <c r="H212" s="42"/>
      <c r="I212" s="42"/>
      <c r="K212" s="43"/>
      <c r="L212" s="43"/>
      <c r="M212" s="42"/>
      <c r="N212" s="44"/>
      <c r="O212" s="42"/>
      <c r="P212" s="42"/>
    </row>
    <row r="213" spans="4:16" ht="13.15" customHeight="1" x14ac:dyDescent="0.2">
      <c r="D213" s="38"/>
      <c r="E213" s="47"/>
      <c r="F213" s="42"/>
      <c r="G213" s="42"/>
      <c r="H213" s="42"/>
      <c r="I213" s="42"/>
      <c r="K213" s="43"/>
      <c r="L213" s="43"/>
      <c r="M213" s="42"/>
      <c r="N213" s="44"/>
      <c r="O213" s="42"/>
      <c r="P213" s="42"/>
    </row>
    <row r="214" spans="4:16" ht="13.15" customHeight="1" x14ac:dyDescent="0.2">
      <c r="D214" s="38"/>
      <c r="E214" s="47"/>
      <c r="F214" s="42"/>
      <c r="G214" s="42"/>
      <c r="H214" s="42"/>
      <c r="I214" s="42"/>
      <c r="K214" s="43"/>
      <c r="L214" s="43"/>
      <c r="M214" s="42"/>
      <c r="N214" s="44"/>
      <c r="O214" s="42"/>
      <c r="P214" s="42"/>
    </row>
    <row r="215" spans="4:16" ht="13.15" customHeight="1" x14ac:dyDescent="0.2">
      <c r="D215" s="38"/>
      <c r="E215" s="47"/>
      <c r="F215" s="42"/>
      <c r="G215" s="42"/>
      <c r="H215" s="42"/>
      <c r="I215" s="42"/>
      <c r="K215" s="43"/>
      <c r="L215" s="43"/>
      <c r="M215" s="42"/>
      <c r="N215" s="44"/>
      <c r="O215" s="42"/>
      <c r="P215" s="42"/>
    </row>
    <row r="216" spans="4:16" ht="13.15" customHeight="1" x14ac:dyDescent="0.2">
      <c r="D216" s="38"/>
      <c r="E216" s="47"/>
      <c r="F216" s="42"/>
      <c r="G216" s="42"/>
      <c r="H216" s="42"/>
      <c r="I216" s="42"/>
      <c r="K216" s="43"/>
      <c r="L216" s="43"/>
      <c r="M216" s="42"/>
      <c r="N216" s="44"/>
      <c r="O216" s="42"/>
      <c r="P216" s="42"/>
    </row>
    <row r="217" spans="4:16" ht="13.15" customHeight="1" x14ac:dyDescent="0.2">
      <c r="D217" s="38"/>
      <c r="E217" s="47"/>
      <c r="F217" s="42"/>
      <c r="G217" s="42"/>
      <c r="H217" s="42"/>
      <c r="I217" s="42"/>
      <c r="K217" s="43"/>
      <c r="L217" s="43"/>
      <c r="M217" s="42"/>
      <c r="N217" s="44"/>
      <c r="O217" s="42"/>
      <c r="P217" s="42"/>
    </row>
    <row r="218" spans="4:16" ht="13.15" customHeight="1" x14ac:dyDescent="0.2">
      <c r="D218" s="38"/>
      <c r="E218" s="47"/>
      <c r="F218" s="42"/>
      <c r="G218" s="42"/>
      <c r="H218" s="42"/>
      <c r="I218" s="42"/>
      <c r="K218" s="43"/>
      <c r="L218" s="43"/>
      <c r="M218" s="42"/>
      <c r="N218" s="44"/>
      <c r="O218" s="42"/>
      <c r="P218" s="42"/>
    </row>
    <row r="219" spans="4:16" ht="13.15" customHeight="1" x14ac:dyDescent="0.2">
      <c r="D219" s="38"/>
      <c r="E219" s="47"/>
      <c r="F219" s="42"/>
      <c r="G219" s="42"/>
      <c r="H219" s="42"/>
      <c r="I219" s="42"/>
      <c r="K219" s="43"/>
      <c r="L219" s="43"/>
      <c r="M219" s="42"/>
      <c r="N219" s="44"/>
      <c r="O219" s="42"/>
      <c r="P219" s="42"/>
    </row>
    <row r="220" spans="4:16" ht="13.15" customHeight="1" x14ac:dyDescent="0.2">
      <c r="D220" s="38"/>
      <c r="E220" s="47"/>
      <c r="F220" s="42"/>
      <c r="G220" s="42"/>
      <c r="H220" s="42"/>
      <c r="I220" s="42"/>
      <c r="K220" s="43"/>
      <c r="L220" s="43"/>
      <c r="M220" s="42"/>
      <c r="N220" s="44"/>
      <c r="O220" s="42"/>
      <c r="P220" s="42"/>
    </row>
    <row r="221" spans="4:16" ht="13.15" customHeight="1" x14ac:dyDescent="0.2">
      <c r="D221" s="38"/>
      <c r="E221" s="47"/>
      <c r="F221" s="42"/>
      <c r="G221" s="42"/>
      <c r="H221" s="42"/>
      <c r="I221" s="42"/>
      <c r="K221" s="43"/>
      <c r="L221" s="43"/>
      <c r="M221" s="42"/>
      <c r="N221" s="44"/>
      <c r="O221" s="42"/>
      <c r="P221" s="42"/>
    </row>
    <row r="222" spans="4:16" x14ac:dyDescent="0.2">
      <c r="D222" s="38"/>
      <c r="E222" s="47"/>
      <c r="F222" s="42"/>
      <c r="G222" s="42"/>
      <c r="H222" s="42"/>
      <c r="I222" s="42"/>
      <c r="K222" s="43"/>
      <c r="L222" s="43"/>
      <c r="M222" s="42"/>
      <c r="N222" s="44"/>
      <c r="O222" s="42"/>
      <c r="P222" s="42"/>
    </row>
    <row r="223" spans="4:16" x14ac:dyDescent="0.2">
      <c r="D223" s="38"/>
      <c r="E223" s="47"/>
      <c r="F223" s="42"/>
      <c r="G223" s="42"/>
      <c r="H223" s="42"/>
      <c r="I223" s="42"/>
      <c r="K223" s="43"/>
      <c r="L223" s="43"/>
      <c r="M223" s="42"/>
      <c r="N223" s="44"/>
      <c r="O223" s="42"/>
      <c r="P223" s="42"/>
    </row>
    <row r="224" spans="4:16" x14ac:dyDescent="0.2">
      <c r="D224" s="38"/>
      <c r="E224" s="47"/>
      <c r="F224" s="42"/>
      <c r="G224" s="42"/>
      <c r="H224" s="42"/>
      <c r="I224" s="42"/>
      <c r="K224" s="43"/>
      <c r="L224" s="43"/>
      <c r="M224" s="42"/>
      <c r="N224" s="44"/>
      <c r="O224" s="42"/>
      <c r="P224" s="42"/>
    </row>
    <row r="225" spans="4:16" x14ac:dyDescent="0.2">
      <c r="D225" s="38"/>
      <c r="E225" s="47"/>
      <c r="F225" s="42"/>
      <c r="G225" s="42"/>
      <c r="H225" s="42"/>
      <c r="I225" s="42"/>
      <c r="K225" s="43"/>
      <c r="L225" s="43"/>
      <c r="M225" s="42"/>
      <c r="N225" s="44"/>
      <c r="O225" s="42"/>
      <c r="P225" s="42"/>
    </row>
    <row r="226" spans="4:16" x14ac:dyDescent="0.2">
      <c r="D226" s="38"/>
      <c r="E226" s="47"/>
      <c r="F226" s="42"/>
      <c r="G226" s="42"/>
      <c r="H226" s="42"/>
      <c r="I226" s="42"/>
      <c r="K226" s="43"/>
      <c r="L226" s="43"/>
      <c r="M226" s="42"/>
      <c r="N226" s="44"/>
      <c r="O226" s="42"/>
      <c r="P226" s="42"/>
    </row>
    <row r="227" spans="4:16" x14ac:dyDescent="0.2">
      <c r="D227" s="38"/>
      <c r="E227" s="47"/>
      <c r="F227" s="42"/>
      <c r="G227" s="42"/>
      <c r="H227" s="42"/>
      <c r="I227" s="42"/>
      <c r="K227" s="43"/>
      <c r="L227" s="43"/>
      <c r="M227" s="42"/>
      <c r="N227" s="44"/>
      <c r="O227" s="42"/>
      <c r="P227" s="42"/>
    </row>
    <row r="228" spans="4:16" x14ac:dyDescent="0.2">
      <c r="D228" s="38"/>
      <c r="E228" s="47"/>
      <c r="F228" s="42"/>
      <c r="G228" s="42"/>
      <c r="H228" s="42"/>
      <c r="I228" s="42"/>
      <c r="K228" s="43"/>
      <c r="L228" s="43"/>
      <c r="M228" s="42"/>
      <c r="N228" s="44"/>
      <c r="O228" s="42"/>
      <c r="P228" s="42"/>
    </row>
    <row r="229" spans="4:16" x14ac:dyDescent="0.2">
      <c r="D229" s="38"/>
      <c r="E229" s="47"/>
      <c r="F229" s="42"/>
      <c r="G229" s="42"/>
      <c r="H229" s="42"/>
      <c r="I229" s="42"/>
      <c r="K229" s="43"/>
      <c r="L229" s="43"/>
      <c r="M229" s="42"/>
      <c r="N229" s="44"/>
      <c r="O229" s="42"/>
      <c r="P229" s="42"/>
    </row>
    <row r="230" spans="4:16" x14ac:dyDescent="0.2">
      <c r="D230" s="38"/>
      <c r="E230" s="47"/>
      <c r="F230" s="42"/>
      <c r="G230" s="42"/>
      <c r="H230" s="42"/>
      <c r="I230" s="42"/>
      <c r="K230" s="43"/>
      <c r="L230" s="43"/>
      <c r="M230" s="42"/>
      <c r="N230" s="44"/>
      <c r="O230" s="42"/>
      <c r="P230" s="42"/>
    </row>
    <row r="231" spans="4:16" x14ac:dyDescent="0.2">
      <c r="D231" s="38"/>
      <c r="E231" s="47"/>
      <c r="F231" s="42"/>
      <c r="G231" s="42"/>
      <c r="H231" s="42"/>
      <c r="I231" s="42"/>
      <c r="K231" s="43"/>
      <c r="L231" s="43"/>
      <c r="M231" s="42"/>
      <c r="N231" s="44"/>
      <c r="O231" s="42"/>
      <c r="P231" s="42"/>
    </row>
    <row r="232" spans="4:16" x14ac:dyDescent="0.2">
      <c r="D232" s="38"/>
      <c r="E232" s="47"/>
      <c r="F232" s="42"/>
      <c r="G232" s="42"/>
      <c r="H232" s="42"/>
      <c r="I232" s="42"/>
      <c r="K232" s="43"/>
      <c r="L232" s="43"/>
      <c r="M232" s="42"/>
      <c r="N232" s="44"/>
      <c r="O232" s="42"/>
      <c r="P232" s="42"/>
    </row>
    <row r="233" spans="4:16" x14ac:dyDescent="0.2">
      <c r="D233" s="38"/>
      <c r="E233" s="47"/>
      <c r="F233" s="42"/>
      <c r="G233" s="42"/>
      <c r="H233" s="42"/>
      <c r="I233" s="42"/>
      <c r="K233" s="43"/>
      <c r="L233" s="43"/>
      <c r="M233" s="42"/>
      <c r="N233" s="44"/>
      <c r="O233" s="42"/>
      <c r="P233" s="42"/>
    </row>
    <row r="234" spans="4:16" x14ac:dyDescent="0.2">
      <c r="D234" s="38"/>
      <c r="E234" s="47"/>
      <c r="F234" s="42"/>
      <c r="G234" s="42"/>
      <c r="H234" s="42"/>
      <c r="I234" s="42"/>
      <c r="K234" s="43"/>
      <c r="L234" s="43"/>
      <c r="M234" s="42"/>
      <c r="N234" s="44"/>
      <c r="O234" s="42"/>
      <c r="P234" s="42"/>
    </row>
    <row r="235" spans="4:16" x14ac:dyDescent="0.2">
      <c r="D235" s="38"/>
      <c r="E235" s="47"/>
      <c r="F235" s="42"/>
      <c r="G235" s="42"/>
      <c r="H235" s="42"/>
      <c r="I235" s="42"/>
      <c r="K235" s="43"/>
      <c r="L235" s="43"/>
      <c r="M235" s="42"/>
      <c r="N235" s="44"/>
      <c r="O235" s="42"/>
      <c r="P235" s="42"/>
    </row>
    <row r="236" spans="4:16" x14ac:dyDescent="0.2">
      <c r="D236" s="38"/>
      <c r="E236" s="47"/>
      <c r="F236" s="42"/>
      <c r="G236" s="42"/>
      <c r="H236" s="42"/>
      <c r="I236" s="42"/>
      <c r="K236" s="43"/>
      <c r="L236" s="43"/>
      <c r="M236" s="42"/>
      <c r="N236" s="44"/>
      <c r="O236" s="42"/>
      <c r="P236" s="42"/>
    </row>
    <row r="237" spans="4:16" x14ac:dyDescent="0.2">
      <c r="D237" s="38"/>
      <c r="E237" s="47"/>
      <c r="F237" s="42"/>
      <c r="G237" s="42"/>
      <c r="H237" s="42"/>
      <c r="I237" s="42"/>
      <c r="K237" s="43"/>
      <c r="L237" s="43"/>
      <c r="M237" s="42"/>
      <c r="N237" s="44"/>
      <c r="O237" s="42"/>
      <c r="P237" s="42"/>
    </row>
    <row r="238" spans="4:16" x14ac:dyDescent="0.2">
      <c r="D238" s="38"/>
      <c r="E238" s="47"/>
      <c r="F238" s="42"/>
      <c r="G238" s="42"/>
      <c r="H238" s="42"/>
      <c r="I238" s="42"/>
      <c r="K238" s="43"/>
      <c r="L238" s="43"/>
      <c r="M238" s="42"/>
      <c r="N238" s="44"/>
      <c r="O238" s="42"/>
      <c r="P238" s="42"/>
    </row>
    <row r="239" spans="4:16" x14ac:dyDescent="0.2">
      <c r="D239" s="38"/>
      <c r="E239" s="47"/>
      <c r="F239" s="42"/>
      <c r="G239" s="42"/>
      <c r="H239" s="42"/>
      <c r="I239" s="42"/>
      <c r="K239" s="43"/>
      <c r="L239" s="43"/>
      <c r="M239" s="42"/>
      <c r="N239" s="44"/>
      <c r="O239" s="42"/>
      <c r="P239" s="42"/>
    </row>
    <row r="240" spans="4:16" x14ac:dyDescent="0.2">
      <c r="D240" s="38"/>
      <c r="E240" s="47"/>
      <c r="F240" s="42"/>
      <c r="G240" s="42"/>
      <c r="H240" s="42"/>
      <c r="I240" s="42"/>
      <c r="K240" s="43"/>
      <c r="L240" s="43"/>
      <c r="M240" s="42"/>
      <c r="N240" s="44"/>
      <c r="O240" s="42"/>
      <c r="P240" s="42"/>
    </row>
    <row r="241" spans="4:16" x14ac:dyDescent="0.2">
      <c r="D241" s="38"/>
      <c r="E241" s="47"/>
      <c r="F241" s="42"/>
      <c r="G241" s="42"/>
      <c r="H241" s="42"/>
      <c r="I241" s="42"/>
      <c r="K241" s="43"/>
      <c r="L241" s="43"/>
      <c r="M241" s="42"/>
      <c r="N241" s="44"/>
      <c r="O241" s="42"/>
      <c r="P241" s="42"/>
    </row>
    <row r="242" spans="4:16" x14ac:dyDescent="0.2">
      <c r="D242" s="38"/>
      <c r="E242" s="47"/>
      <c r="F242" s="42"/>
      <c r="G242" s="42"/>
      <c r="H242" s="42"/>
      <c r="I242" s="42"/>
      <c r="K242" s="43"/>
      <c r="L242" s="43"/>
      <c r="M242" s="42"/>
      <c r="N242" s="44"/>
      <c r="O242" s="42"/>
      <c r="P242" s="42"/>
    </row>
    <row r="243" spans="4:16" x14ac:dyDescent="0.2">
      <c r="D243" s="38"/>
      <c r="E243" s="47"/>
      <c r="F243" s="42"/>
      <c r="G243" s="42"/>
      <c r="H243" s="42"/>
      <c r="I243" s="42"/>
      <c r="K243" s="43"/>
      <c r="L243" s="43"/>
      <c r="M243" s="42"/>
      <c r="N243" s="44"/>
      <c r="O243" s="42"/>
      <c r="P243" s="42"/>
    </row>
    <row r="244" spans="4:16" x14ac:dyDescent="0.2">
      <c r="D244" s="38"/>
      <c r="E244" s="47"/>
      <c r="F244" s="42"/>
      <c r="G244" s="42"/>
      <c r="H244" s="42"/>
      <c r="I244" s="42"/>
      <c r="K244" s="43"/>
      <c r="L244" s="43"/>
      <c r="M244" s="42"/>
      <c r="N244" s="44"/>
      <c r="O244" s="42"/>
      <c r="P244" s="42"/>
    </row>
    <row r="245" spans="4:16" x14ac:dyDescent="0.2">
      <c r="D245" s="38"/>
      <c r="E245" s="47"/>
      <c r="F245" s="42"/>
      <c r="G245" s="42"/>
      <c r="H245" s="42"/>
      <c r="I245" s="42"/>
      <c r="K245" s="43"/>
      <c r="L245" s="43"/>
      <c r="M245" s="42"/>
      <c r="N245" s="44"/>
      <c r="O245" s="42"/>
      <c r="P245" s="42"/>
    </row>
    <row r="246" spans="4:16" x14ac:dyDescent="0.2">
      <c r="D246" s="38"/>
      <c r="E246" s="47"/>
      <c r="F246" s="42"/>
      <c r="G246" s="42"/>
      <c r="H246" s="42"/>
      <c r="I246" s="42"/>
      <c r="K246" s="43"/>
      <c r="L246" s="43"/>
      <c r="M246" s="42"/>
      <c r="N246" s="44"/>
      <c r="O246" s="42"/>
      <c r="P246" s="42"/>
    </row>
    <row r="247" spans="4:16" x14ac:dyDescent="0.2">
      <c r="D247" s="38"/>
      <c r="E247" s="47"/>
      <c r="F247" s="42"/>
      <c r="G247" s="42"/>
      <c r="H247" s="42"/>
      <c r="I247" s="42"/>
      <c r="K247" s="43"/>
      <c r="L247" s="43"/>
      <c r="M247" s="42"/>
      <c r="N247" s="44"/>
      <c r="O247" s="42"/>
      <c r="P247" s="42"/>
    </row>
    <row r="248" spans="4:16" x14ac:dyDescent="0.2">
      <c r="D248" s="38"/>
      <c r="E248" s="47"/>
      <c r="F248" s="42"/>
      <c r="G248" s="42"/>
      <c r="H248" s="42"/>
      <c r="I248" s="42"/>
      <c r="K248" s="43"/>
      <c r="L248" s="43"/>
      <c r="M248" s="42"/>
      <c r="N248" s="44"/>
      <c r="O248" s="42"/>
      <c r="P248" s="42"/>
    </row>
    <row r="249" spans="4:16" x14ac:dyDescent="0.2">
      <c r="D249" s="38"/>
      <c r="E249" s="47"/>
      <c r="F249" s="42"/>
      <c r="G249" s="42"/>
      <c r="H249" s="42"/>
      <c r="I249" s="42"/>
      <c r="K249" s="43"/>
      <c r="L249" s="43"/>
      <c r="M249" s="42"/>
      <c r="N249" s="44"/>
      <c r="O249" s="42"/>
      <c r="P249" s="42"/>
    </row>
    <row r="250" spans="4:16" x14ac:dyDescent="0.2">
      <c r="D250" s="38"/>
      <c r="E250" s="47"/>
      <c r="F250" s="42"/>
      <c r="G250" s="42"/>
      <c r="H250" s="42"/>
      <c r="I250" s="42"/>
      <c r="K250" s="43"/>
      <c r="L250" s="43"/>
      <c r="M250" s="42"/>
      <c r="N250" s="44"/>
      <c r="O250" s="42"/>
      <c r="P250" s="42"/>
    </row>
    <row r="251" spans="4:16" x14ac:dyDescent="0.2">
      <c r="D251" s="38"/>
      <c r="E251" s="47"/>
      <c r="F251" s="42"/>
      <c r="G251" s="42"/>
      <c r="H251" s="42"/>
      <c r="I251" s="42"/>
      <c r="K251" s="43"/>
      <c r="L251" s="43"/>
      <c r="M251" s="42"/>
      <c r="N251" s="44"/>
      <c r="O251" s="42"/>
      <c r="P251" s="42"/>
    </row>
    <row r="252" spans="4:16" x14ac:dyDescent="0.2">
      <c r="D252" s="38"/>
      <c r="E252" s="47"/>
      <c r="F252" s="42"/>
      <c r="G252" s="42"/>
      <c r="H252" s="42"/>
      <c r="I252" s="42"/>
      <c r="K252" s="43"/>
      <c r="L252" s="43"/>
      <c r="M252" s="42"/>
      <c r="N252" s="44"/>
      <c r="O252" s="42"/>
      <c r="P252" s="42"/>
    </row>
    <row r="253" spans="4:16" x14ac:dyDescent="0.2">
      <c r="D253" s="38"/>
      <c r="E253" s="47"/>
      <c r="F253" s="42"/>
      <c r="G253" s="42"/>
      <c r="H253" s="42"/>
      <c r="I253" s="42"/>
      <c r="K253" s="43"/>
      <c r="L253" s="43"/>
      <c r="M253" s="42"/>
      <c r="N253" s="44"/>
      <c r="O253" s="42"/>
      <c r="P253" s="42"/>
    </row>
    <row r="254" spans="4:16" x14ac:dyDescent="0.2">
      <c r="D254" s="38"/>
      <c r="E254" s="47"/>
      <c r="F254" s="42"/>
      <c r="G254" s="42"/>
      <c r="H254" s="42"/>
      <c r="I254" s="42"/>
      <c r="K254" s="43"/>
      <c r="L254" s="43"/>
      <c r="M254" s="42"/>
      <c r="N254" s="44"/>
      <c r="O254" s="42"/>
      <c r="P254" s="42"/>
    </row>
    <row r="255" spans="4:16" x14ac:dyDescent="0.2">
      <c r="D255" s="38"/>
      <c r="E255" s="47"/>
      <c r="F255" s="42"/>
      <c r="G255" s="42"/>
      <c r="H255" s="42"/>
      <c r="I255" s="42"/>
      <c r="K255" s="43"/>
      <c r="L255" s="43"/>
      <c r="M255" s="42"/>
      <c r="N255" s="44"/>
      <c r="O255" s="42"/>
      <c r="P255" s="42"/>
    </row>
    <row r="256" spans="4:16" x14ac:dyDescent="0.2">
      <c r="D256" s="38"/>
      <c r="E256" s="47"/>
      <c r="F256" s="42"/>
      <c r="G256" s="42"/>
      <c r="H256" s="42"/>
      <c r="I256" s="42"/>
      <c r="K256" s="43"/>
      <c r="L256" s="43"/>
      <c r="M256" s="42"/>
      <c r="N256" s="44"/>
      <c r="O256" s="42"/>
      <c r="P256" s="42"/>
    </row>
    <row r="257" spans="4:16" x14ac:dyDescent="0.2">
      <c r="D257" s="38"/>
      <c r="E257" s="47"/>
      <c r="F257" s="42"/>
      <c r="G257" s="42"/>
      <c r="H257" s="42"/>
      <c r="I257" s="42"/>
      <c r="K257" s="43"/>
      <c r="L257" s="43"/>
      <c r="M257" s="42"/>
      <c r="N257" s="44"/>
      <c r="O257" s="42"/>
      <c r="P257" s="42"/>
    </row>
    <row r="258" spans="4:16" x14ac:dyDescent="0.2">
      <c r="D258" s="38"/>
      <c r="E258" s="47"/>
      <c r="F258" s="42"/>
      <c r="G258" s="42"/>
      <c r="H258" s="42"/>
      <c r="I258" s="42"/>
      <c r="K258" s="43"/>
      <c r="L258" s="43"/>
      <c r="M258" s="42"/>
      <c r="N258" s="44"/>
      <c r="O258" s="42"/>
      <c r="P258" s="42"/>
    </row>
    <row r="259" spans="4:16" x14ac:dyDescent="0.2">
      <c r="D259" s="38"/>
      <c r="E259" s="47"/>
      <c r="F259" s="42"/>
      <c r="G259" s="42"/>
      <c r="H259" s="42"/>
      <c r="I259" s="42"/>
      <c r="K259" s="43"/>
      <c r="L259" s="43"/>
      <c r="M259" s="42"/>
      <c r="N259" s="44"/>
      <c r="O259" s="42"/>
      <c r="P259" s="42"/>
    </row>
    <row r="260" spans="4:16" x14ac:dyDescent="0.2">
      <c r="D260" s="38"/>
      <c r="E260" s="47"/>
      <c r="F260" s="42"/>
      <c r="G260" s="42"/>
      <c r="H260" s="42"/>
      <c r="I260" s="42"/>
      <c r="K260" s="43"/>
      <c r="L260" s="43"/>
      <c r="M260" s="42"/>
      <c r="N260" s="44"/>
      <c r="O260" s="42"/>
      <c r="P260" s="42"/>
    </row>
    <row r="261" spans="4:16" x14ac:dyDescent="0.2">
      <c r="D261" s="38"/>
      <c r="E261" s="47"/>
      <c r="F261" s="42"/>
      <c r="G261" s="42"/>
      <c r="H261" s="42"/>
      <c r="I261" s="42"/>
      <c r="K261" s="43"/>
      <c r="L261" s="43"/>
      <c r="M261" s="42"/>
      <c r="N261" s="44"/>
      <c r="O261" s="42"/>
      <c r="P261" s="42"/>
    </row>
    <row r="262" spans="4:16" x14ac:dyDescent="0.2">
      <c r="D262" s="38"/>
      <c r="E262" s="47"/>
      <c r="F262" s="42"/>
      <c r="G262" s="42"/>
      <c r="H262" s="42"/>
      <c r="I262" s="42"/>
      <c r="K262" s="43"/>
      <c r="L262" s="43"/>
      <c r="M262" s="42"/>
      <c r="N262" s="44"/>
      <c r="O262" s="42"/>
      <c r="P262" s="42"/>
    </row>
    <row r="263" spans="4:16" x14ac:dyDescent="0.2">
      <c r="D263" s="38"/>
      <c r="E263" s="47"/>
      <c r="F263" s="42"/>
      <c r="G263" s="42"/>
      <c r="H263" s="42"/>
      <c r="I263" s="42"/>
      <c r="K263" s="43"/>
      <c r="L263" s="43"/>
      <c r="M263" s="42"/>
      <c r="N263" s="44"/>
      <c r="O263" s="42"/>
      <c r="P263" s="42"/>
    </row>
    <row r="264" spans="4:16" x14ac:dyDescent="0.2">
      <c r="D264" s="38"/>
      <c r="E264" s="47"/>
      <c r="F264" s="42"/>
      <c r="G264" s="42"/>
      <c r="H264" s="42"/>
      <c r="I264" s="42"/>
      <c r="K264" s="43"/>
      <c r="L264" s="43"/>
      <c r="M264" s="42"/>
      <c r="N264" s="44"/>
      <c r="O264" s="42"/>
      <c r="P264" s="42"/>
    </row>
    <row r="265" spans="4:16" x14ac:dyDescent="0.2">
      <c r="D265" s="38"/>
      <c r="E265" s="47"/>
      <c r="F265" s="42"/>
      <c r="G265" s="42"/>
      <c r="H265" s="42"/>
      <c r="I265" s="42"/>
      <c r="K265" s="43"/>
      <c r="L265" s="43"/>
      <c r="M265" s="42"/>
      <c r="N265" s="44"/>
      <c r="O265" s="42"/>
      <c r="P265" s="42"/>
    </row>
    <row r="266" spans="4:16" x14ac:dyDescent="0.2">
      <c r="D266" s="38"/>
      <c r="E266" s="47"/>
      <c r="F266" s="42"/>
      <c r="G266" s="42"/>
      <c r="H266" s="42"/>
      <c r="I266" s="42"/>
      <c r="K266" s="43"/>
      <c r="L266" s="43"/>
      <c r="M266" s="42"/>
      <c r="N266" s="44"/>
      <c r="O266" s="42"/>
      <c r="P266" s="42"/>
    </row>
    <row r="267" spans="4:16" x14ac:dyDescent="0.2">
      <c r="D267" s="38"/>
      <c r="E267" s="47"/>
      <c r="F267" s="42"/>
      <c r="G267" s="42"/>
      <c r="H267" s="42"/>
      <c r="I267" s="42"/>
      <c r="K267" s="43"/>
      <c r="L267" s="43"/>
      <c r="M267" s="42"/>
      <c r="N267" s="44"/>
      <c r="O267" s="42"/>
      <c r="P267" s="42"/>
    </row>
    <row r="268" spans="4:16" x14ac:dyDescent="0.2">
      <c r="D268" s="38"/>
      <c r="E268" s="47"/>
      <c r="F268" s="42"/>
      <c r="G268" s="42"/>
      <c r="H268" s="42"/>
      <c r="I268" s="42"/>
      <c r="K268" s="43"/>
      <c r="L268" s="43"/>
      <c r="M268" s="42"/>
      <c r="N268" s="44"/>
      <c r="O268" s="42"/>
      <c r="P268" s="42"/>
    </row>
    <row r="269" spans="4:16" x14ac:dyDescent="0.2">
      <c r="D269" s="38"/>
      <c r="E269" s="47"/>
      <c r="F269" s="42"/>
      <c r="G269" s="42"/>
      <c r="H269" s="42"/>
      <c r="I269" s="42"/>
      <c r="K269" s="43"/>
      <c r="L269" s="43"/>
      <c r="M269" s="42"/>
      <c r="N269" s="44"/>
      <c r="O269" s="42"/>
      <c r="P269" s="42"/>
    </row>
    <row r="270" spans="4:16" x14ac:dyDescent="0.2">
      <c r="D270" s="38"/>
      <c r="E270" s="47"/>
      <c r="F270" s="42"/>
      <c r="G270" s="42"/>
      <c r="H270" s="42"/>
      <c r="I270" s="42"/>
      <c r="K270" s="43"/>
      <c r="L270" s="43"/>
      <c r="M270" s="42"/>
      <c r="N270" s="44"/>
      <c r="O270" s="42"/>
      <c r="P270" s="42"/>
    </row>
    <row r="271" spans="4:16" x14ac:dyDescent="0.2">
      <c r="D271" s="38"/>
      <c r="E271" s="47"/>
      <c r="F271" s="42"/>
      <c r="G271" s="42"/>
      <c r="H271" s="42"/>
      <c r="I271" s="42"/>
      <c r="K271" s="43"/>
      <c r="L271" s="43"/>
      <c r="M271" s="42"/>
      <c r="N271" s="44"/>
      <c r="O271" s="42"/>
      <c r="P271" s="42"/>
    </row>
    <row r="272" spans="4:16" x14ac:dyDescent="0.2">
      <c r="D272" s="38"/>
      <c r="E272" s="47"/>
      <c r="F272" s="42"/>
      <c r="G272" s="42"/>
      <c r="H272" s="42"/>
      <c r="I272" s="42"/>
      <c r="K272" s="43"/>
      <c r="L272" s="43"/>
      <c r="M272" s="42"/>
      <c r="N272" s="44"/>
      <c r="O272" s="42"/>
      <c r="P272" s="42"/>
    </row>
    <row r="273" spans="4:16" x14ac:dyDescent="0.2">
      <c r="D273" s="38"/>
      <c r="E273" s="47"/>
      <c r="F273" s="42"/>
      <c r="G273" s="42"/>
      <c r="H273" s="42"/>
      <c r="I273" s="42"/>
      <c r="K273" s="43"/>
      <c r="L273" s="43"/>
      <c r="M273" s="42"/>
      <c r="N273" s="44"/>
      <c r="O273" s="42"/>
      <c r="P273" s="42"/>
    </row>
    <row r="274" spans="4:16" x14ac:dyDescent="0.2">
      <c r="D274" s="38"/>
      <c r="E274" s="47"/>
      <c r="F274" s="42"/>
      <c r="G274" s="42"/>
      <c r="H274" s="42"/>
      <c r="I274" s="42"/>
      <c r="K274" s="43"/>
      <c r="L274" s="43"/>
      <c r="M274" s="42"/>
      <c r="N274" s="44"/>
      <c r="O274" s="42"/>
      <c r="P274" s="42"/>
    </row>
    <row r="275" spans="4:16" x14ac:dyDescent="0.2">
      <c r="D275" s="38"/>
      <c r="E275" s="47"/>
      <c r="F275" s="42"/>
      <c r="G275" s="42"/>
      <c r="H275" s="42"/>
      <c r="I275" s="42"/>
      <c r="K275" s="43"/>
      <c r="L275" s="43"/>
      <c r="M275" s="42"/>
      <c r="N275" s="44"/>
      <c r="O275" s="42"/>
      <c r="P275" s="42"/>
    </row>
    <row r="276" spans="4:16" x14ac:dyDescent="0.2">
      <c r="D276" s="38"/>
      <c r="E276" s="47"/>
      <c r="F276" s="42"/>
      <c r="G276" s="42"/>
      <c r="H276" s="42"/>
      <c r="I276" s="42"/>
      <c r="K276" s="43"/>
      <c r="L276" s="43"/>
      <c r="M276" s="42"/>
      <c r="N276" s="44"/>
      <c r="O276" s="42"/>
      <c r="P276" s="42"/>
    </row>
    <row r="277" spans="4:16" x14ac:dyDescent="0.2">
      <c r="D277" s="38"/>
      <c r="E277" s="47"/>
      <c r="F277" s="42"/>
      <c r="G277" s="42"/>
      <c r="H277" s="42"/>
      <c r="I277" s="42"/>
      <c r="K277" s="43"/>
      <c r="L277" s="43"/>
      <c r="M277" s="42"/>
      <c r="N277" s="44"/>
      <c r="O277" s="42"/>
      <c r="P277" s="42"/>
    </row>
    <row r="278" spans="4:16" x14ac:dyDescent="0.2">
      <c r="D278" s="38"/>
      <c r="E278" s="47"/>
      <c r="F278" s="42"/>
      <c r="G278" s="42"/>
      <c r="H278" s="42"/>
      <c r="I278" s="42"/>
      <c r="K278" s="43"/>
      <c r="L278" s="43"/>
      <c r="M278" s="42"/>
      <c r="N278" s="44"/>
      <c r="O278" s="42"/>
      <c r="P278" s="42"/>
    </row>
    <row r="279" spans="4:16" x14ac:dyDescent="0.2">
      <c r="D279" s="38"/>
      <c r="E279" s="47"/>
      <c r="F279" s="42"/>
      <c r="G279" s="42"/>
      <c r="H279" s="42"/>
      <c r="I279" s="42"/>
      <c r="K279" s="43"/>
      <c r="L279" s="43"/>
      <c r="M279" s="42"/>
      <c r="N279" s="44"/>
      <c r="O279" s="42"/>
      <c r="P279" s="42"/>
    </row>
    <row r="280" spans="4:16" x14ac:dyDescent="0.2">
      <c r="D280" s="38"/>
      <c r="E280" s="47"/>
      <c r="F280" s="42"/>
      <c r="G280" s="42"/>
      <c r="H280" s="42"/>
      <c r="I280" s="42"/>
      <c r="K280" s="43"/>
      <c r="L280" s="43"/>
      <c r="M280" s="42"/>
      <c r="N280" s="44"/>
      <c r="O280" s="42"/>
      <c r="P280" s="42"/>
    </row>
    <row r="281" spans="4:16" x14ac:dyDescent="0.2">
      <c r="D281" s="38"/>
      <c r="E281" s="47"/>
      <c r="F281" s="42"/>
      <c r="G281" s="42"/>
      <c r="H281" s="42"/>
      <c r="I281" s="42"/>
      <c r="K281" s="43"/>
      <c r="L281" s="43"/>
      <c r="M281" s="42"/>
      <c r="N281" s="44"/>
      <c r="O281" s="42"/>
      <c r="P281" s="42"/>
    </row>
    <row r="282" spans="4:16" x14ac:dyDescent="0.2">
      <c r="D282" s="38"/>
      <c r="E282" s="47"/>
      <c r="F282" s="42"/>
      <c r="G282" s="42"/>
      <c r="H282" s="42"/>
      <c r="I282" s="42"/>
      <c r="K282" s="43"/>
      <c r="L282" s="43"/>
      <c r="M282" s="42"/>
      <c r="N282" s="44"/>
      <c r="O282" s="42"/>
      <c r="P282" s="42"/>
    </row>
    <row r="283" spans="4:16" x14ac:dyDescent="0.2">
      <c r="D283" s="38"/>
      <c r="E283" s="47"/>
      <c r="F283" s="42"/>
      <c r="G283" s="42"/>
      <c r="H283" s="42"/>
      <c r="I283" s="42"/>
      <c r="K283" s="43"/>
      <c r="L283" s="43"/>
      <c r="M283" s="42"/>
      <c r="N283" s="44"/>
      <c r="O283" s="42"/>
      <c r="P283" s="42"/>
    </row>
    <row r="284" spans="4:16" x14ac:dyDescent="0.2">
      <c r="D284" s="38"/>
      <c r="E284" s="47"/>
      <c r="F284" s="42"/>
      <c r="G284" s="42"/>
      <c r="H284" s="42"/>
      <c r="I284" s="42"/>
      <c r="K284" s="43"/>
      <c r="L284" s="43"/>
      <c r="M284" s="42"/>
      <c r="N284" s="44"/>
      <c r="O284" s="42"/>
      <c r="P284" s="42"/>
    </row>
    <row r="285" spans="4:16" x14ac:dyDescent="0.2">
      <c r="D285" s="38"/>
      <c r="E285" s="47"/>
      <c r="F285" s="42"/>
      <c r="G285" s="42"/>
      <c r="H285" s="42"/>
      <c r="I285" s="42"/>
      <c r="K285" s="43"/>
      <c r="L285" s="43"/>
      <c r="M285" s="42"/>
      <c r="N285" s="44"/>
      <c r="O285" s="42"/>
      <c r="P285" s="42"/>
    </row>
    <row r="286" spans="4:16" x14ac:dyDescent="0.2">
      <c r="D286" s="38"/>
      <c r="E286" s="47"/>
      <c r="F286" s="42"/>
      <c r="G286" s="42"/>
      <c r="H286" s="42"/>
      <c r="I286" s="42"/>
      <c r="K286" s="43"/>
      <c r="L286" s="43"/>
      <c r="M286" s="42"/>
      <c r="N286" s="44"/>
      <c r="O286" s="42"/>
      <c r="P286" s="42"/>
    </row>
    <row r="287" spans="4:16" x14ac:dyDescent="0.2">
      <c r="D287" s="38"/>
      <c r="E287" s="47"/>
      <c r="F287" s="42"/>
      <c r="G287" s="42"/>
      <c r="H287" s="42"/>
      <c r="I287" s="42"/>
      <c r="K287" s="43"/>
      <c r="L287" s="43"/>
      <c r="M287" s="42"/>
      <c r="N287" s="44"/>
      <c r="O287" s="42"/>
      <c r="P287" s="42"/>
    </row>
    <row r="288" spans="4:16" x14ac:dyDescent="0.2">
      <c r="D288" s="38"/>
      <c r="E288" s="47"/>
      <c r="F288" s="42"/>
      <c r="G288" s="42"/>
      <c r="H288" s="42"/>
      <c r="I288" s="42"/>
      <c r="K288" s="43"/>
      <c r="L288" s="43"/>
      <c r="M288" s="42"/>
      <c r="N288" s="44"/>
      <c r="O288" s="42"/>
      <c r="P288" s="42"/>
    </row>
    <row r="289" spans="4:16" x14ac:dyDescent="0.2">
      <c r="D289" s="38"/>
      <c r="E289" s="47"/>
      <c r="F289" s="42"/>
      <c r="G289" s="42"/>
      <c r="H289" s="42"/>
      <c r="I289" s="42"/>
      <c r="K289" s="43"/>
      <c r="L289" s="43"/>
      <c r="M289" s="42"/>
      <c r="N289" s="44"/>
      <c r="O289" s="42"/>
      <c r="P289" s="42"/>
    </row>
    <row r="290" spans="4:16" x14ac:dyDescent="0.2">
      <c r="D290" s="38"/>
      <c r="E290" s="47"/>
      <c r="F290" s="42"/>
      <c r="G290" s="42"/>
      <c r="H290" s="42"/>
      <c r="I290" s="42"/>
      <c r="K290" s="43"/>
      <c r="L290" s="43"/>
      <c r="M290" s="42"/>
      <c r="N290" s="44"/>
      <c r="O290" s="42"/>
      <c r="P290" s="42"/>
    </row>
    <row r="291" spans="4:16" x14ac:dyDescent="0.2">
      <c r="D291" s="38"/>
      <c r="E291" s="47"/>
      <c r="F291" s="42"/>
      <c r="G291" s="42"/>
      <c r="H291" s="42"/>
      <c r="I291" s="42"/>
      <c r="K291" s="43"/>
      <c r="L291" s="43"/>
      <c r="M291" s="42"/>
      <c r="N291" s="44"/>
      <c r="O291" s="42"/>
      <c r="P291" s="42"/>
    </row>
    <row r="292" spans="4:16" x14ac:dyDescent="0.2">
      <c r="D292" s="38"/>
      <c r="E292" s="47"/>
      <c r="F292" s="42"/>
      <c r="G292" s="42"/>
      <c r="H292" s="42"/>
      <c r="I292" s="42"/>
      <c r="K292" s="43"/>
      <c r="L292" s="43"/>
      <c r="M292" s="42"/>
      <c r="N292" s="44"/>
      <c r="O292" s="42"/>
      <c r="P292" s="42"/>
    </row>
    <row r="293" spans="4:16" x14ac:dyDescent="0.2">
      <c r="D293" s="38"/>
      <c r="E293" s="47"/>
      <c r="F293" s="42"/>
      <c r="G293" s="42"/>
      <c r="H293" s="42"/>
      <c r="I293" s="42"/>
      <c r="K293" s="43"/>
      <c r="L293" s="43"/>
      <c r="M293" s="42"/>
      <c r="N293" s="44"/>
      <c r="O293" s="42"/>
      <c r="P293" s="42"/>
    </row>
    <row r="294" spans="4:16" x14ac:dyDescent="0.2">
      <c r="D294" s="38"/>
      <c r="E294" s="47"/>
      <c r="F294" s="42"/>
      <c r="G294" s="42"/>
      <c r="H294" s="42"/>
      <c r="I294" s="42"/>
      <c r="K294" s="43"/>
      <c r="L294" s="43"/>
      <c r="M294" s="42"/>
      <c r="N294" s="44"/>
      <c r="O294" s="42"/>
      <c r="P294" s="42"/>
    </row>
    <row r="295" spans="4:16" x14ac:dyDescent="0.2">
      <c r="D295" s="38"/>
      <c r="E295" s="47"/>
      <c r="F295" s="42"/>
      <c r="G295" s="42"/>
      <c r="H295" s="42"/>
      <c r="I295" s="42"/>
      <c r="K295" s="43"/>
      <c r="L295" s="43"/>
      <c r="M295" s="42"/>
      <c r="N295" s="44"/>
      <c r="O295" s="42"/>
      <c r="P295" s="42"/>
    </row>
    <row r="296" spans="4:16" x14ac:dyDescent="0.2">
      <c r="D296" s="38"/>
      <c r="E296" s="47"/>
      <c r="F296" s="42"/>
      <c r="G296" s="42"/>
      <c r="H296" s="42"/>
      <c r="I296" s="42"/>
      <c r="K296" s="43"/>
      <c r="L296" s="43"/>
      <c r="M296" s="42"/>
      <c r="N296" s="44"/>
      <c r="O296" s="42"/>
      <c r="P296" s="42"/>
    </row>
    <row r="297" spans="4:16" x14ac:dyDescent="0.2">
      <c r="D297" s="38"/>
      <c r="E297" s="47"/>
      <c r="F297" s="42"/>
      <c r="G297" s="42"/>
      <c r="H297" s="42"/>
      <c r="I297" s="42"/>
      <c r="K297" s="43"/>
      <c r="L297" s="43"/>
      <c r="M297" s="42"/>
      <c r="N297" s="44"/>
      <c r="O297" s="42"/>
      <c r="P297" s="42"/>
    </row>
    <row r="298" spans="4:16" x14ac:dyDescent="0.2">
      <c r="D298" s="38"/>
      <c r="E298" s="47"/>
      <c r="F298" s="42"/>
      <c r="G298" s="42"/>
      <c r="H298" s="42"/>
      <c r="I298" s="42"/>
      <c r="K298" s="43"/>
      <c r="L298" s="43"/>
      <c r="M298" s="42"/>
      <c r="N298" s="44"/>
      <c r="O298" s="42"/>
      <c r="P298" s="42"/>
    </row>
    <row r="299" spans="4:16" x14ac:dyDescent="0.2">
      <c r="D299" s="38"/>
      <c r="E299" s="47"/>
      <c r="F299" s="42"/>
      <c r="G299" s="42"/>
      <c r="H299" s="42"/>
      <c r="I299" s="42"/>
      <c r="K299" s="43"/>
      <c r="L299" s="43"/>
      <c r="M299" s="42"/>
      <c r="N299" s="44"/>
      <c r="O299" s="42"/>
      <c r="P299" s="42"/>
    </row>
    <row r="300" spans="4:16" x14ac:dyDescent="0.2">
      <c r="D300" s="38"/>
      <c r="E300" s="47"/>
      <c r="F300" s="42"/>
      <c r="G300" s="42"/>
      <c r="H300" s="42"/>
      <c r="I300" s="42"/>
      <c r="K300" s="43"/>
      <c r="L300" s="43"/>
      <c r="M300" s="42"/>
      <c r="N300" s="44"/>
      <c r="O300" s="42"/>
      <c r="P300" s="42"/>
    </row>
    <row r="301" spans="4:16" x14ac:dyDescent="0.2">
      <c r="D301" s="38"/>
      <c r="E301" s="47"/>
      <c r="F301" s="42"/>
      <c r="G301" s="42"/>
      <c r="H301" s="42"/>
      <c r="I301" s="42"/>
      <c r="K301" s="43"/>
      <c r="L301" s="43"/>
      <c r="M301" s="42"/>
      <c r="N301" s="44"/>
      <c r="O301" s="42"/>
      <c r="P301" s="42"/>
    </row>
    <row r="302" spans="4:16" x14ac:dyDescent="0.2">
      <c r="D302" s="38"/>
      <c r="E302" s="47"/>
      <c r="F302" s="42"/>
      <c r="G302" s="42"/>
      <c r="H302" s="42"/>
      <c r="I302" s="42"/>
      <c r="K302" s="43"/>
      <c r="L302" s="43"/>
      <c r="M302" s="42"/>
      <c r="N302" s="44"/>
      <c r="O302" s="42"/>
      <c r="P302" s="42"/>
    </row>
    <row r="303" spans="4:16" x14ac:dyDescent="0.2">
      <c r="D303" s="38"/>
      <c r="E303" s="47"/>
      <c r="F303" s="42"/>
      <c r="G303" s="42"/>
      <c r="H303" s="42"/>
      <c r="I303" s="42"/>
      <c r="K303" s="43"/>
      <c r="L303" s="43"/>
      <c r="M303" s="42"/>
      <c r="N303" s="44"/>
      <c r="O303" s="42"/>
      <c r="P303" s="42"/>
    </row>
    <row r="304" spans="4:16" x14ac:dyDescent="0.2">
      <c r="D304" s="38"/>
      <c r="E304" s="47"/>
      <c r="F304" s="42"/>
      <c r="G304" s="42"/>
      <c r="H304" s="42"/>
      <c r="I304" s="42"/>
      <c r="K304" s="43"/>
      <c r="L304" s="43"/>
      <c r="M304" s="42"/>
      <c r="N304" s="44"/>
      <c r="O304" s="42"/>
      <c r="P304" s="42"/>
    </row>
    <row r="305" spans="4:16" x14ac:dyDescent="0.2">
      <c r="D305" s="38"/>
      <c r="E305" s="47"/>
      <c r="F305" s="42"/>
      <c r="G305" s="42"/>
      <c r="H305" s="42"/>
      <c r="I305" s="42"/>
      <c r="K305" s="43"/>
      <c r="L305" s="43"/>
      <c r="M305" s="42"/>
      <c r="N305" s="44"/>
      <c r="O305" s="42"/>
      <c r="P305" s="42"/>
    </row>
    <row r="306" spans="4:16" x14ac:dyDescent="0.2">
      <c r="D306" s="38"/>
      <c r="E306" s="47"/>
      <c r="F306" s="42"/>
      <c r="G306" s="42"/>
      <c r="H306" s="42"/>
      <c r="I306" s="42"/>
      <c r="K306" s="43"/>
      <c r="L306" s="43"/>
      <c r="M306" s="42"/>
      <c r="N306" s="44"/>
      <c r="O306" s="42"/>
      <c r="P306" s="42"/>
    </row>
    <row r="307" spans="4:16" x14ac:dyDescent="0.2">
      <c r="D307" s="38"/>
      <c r="E307" s="47"/>
      <c r="F307" s="42"/>
      <c r="G307" s="42"/>
      <c r="H307" s="42"/>
      <c r="I307" s="42"/>
      <c r="K307" s="43"/>
      <c r="L307" s="43"/>
      <c r="M307" s="42"/>
      <c r="N307" s="44"/>
      <c r="O307" s="42"/>
      <c r="P307" s="42"/>
    </row>
    <row r="308" spans="4:16" x14ac:dyDescent="0.2">
      <c r="D308" s="38"/>
      <c r="E308" s="47"/>
      <c r="F308" s="42"/>
      <c r="G308" s="42"/>
      <c r="H308" s="42"/>
      <c r="I308" s="42"/>
      <c r="K308" s="43"/>
      <c r="L308" s="43"/>
      <c r="M308" s="42"/>
      <c r="N308" s="44"/>
      <c r="O308" s="42"/>
      <c r="P308" s="42"/>
    </row>
    <row r="309" spans="4:16" x14ac:dyDescent="0.2">
      <c r="D309" s="38"/>
      <c r="E309" s="47"/>
      <c r="F309" s="42"/>
      <c r="G309" s="42"/>
      <c r="H309" s="42"/>
      <c r="I309" s="42"/>
      <c r="K309" s="43"/>
      <c r="L309" s="43"/>
      <c r="M309" s="42"/>
      <c r="N309" s="44"/>
      <c r="O309" s="42"/>
      <c r="P309" s="42"/>
    </row>
    <row r="310" spans="4:16" x14ac:dyDescent="0.2">
      <c r="D310" s="38"/>
      <c r="E310" s="47"/>
      <c r="F310" s="42"/>
      <c r="G310" s="42"/>
      <c r="H310" s="42"/>
      <c r="I310" s="42"/>
      <c r="K310" s="43"/>
      <c r="L310" s="43"/>
      <c r="M310" s="42"/>
      <c r="N310" s="44"/>
      <c r="O310" s="42"/>
      <c r="P310" s="42"/>
    </row>
    <row r="311" spans="4:16" x14ac:dyDescent="0.2">
      <c r="D311" s="38"/>
      <c r="E311" s="47"/>
      <c r="F311" s="42"/>
      <c r="G311" s="42"/>
      <c r="H311" s="42"/>
      <c r="I311" s="42"/>
      <c r="K311" s="43"/>
      <c r="L311" s="43"/>
      <c r="M311" s="42"/>
      <c r="N311" s="44"/>
      <c r="O311" s="42"/>
      <c r="P311" s="42"/>
    </row>
    <row r="312" spans="4:16" x14ac:dyDescent="0.2">
      <c r="D312" s="38"/>
      <c r="E312" s="47"/>
      <c r="F312" s="42"/>
      <c r="G312" s="42"/>
      <c r="H312" s="42"/>
      <c r="I312" s="42"/>
      <c r="K312" s="43"/>
      <c r="L312" s="43"/>
      <c r="M312" s="42"/>
      <c r="N312" s="44"/>
      <c r="O312" s="42"/>
      <c r="P312" s="42"/>
    </row>
    <row r="313" spans="4:16" x14ac:dyDescent="0.2">
      <c r="D313" s="38"/>
      <c r="E313" s="47"/>
      <c r="F313" s="42"/>
      <c r="G313" s="42"/>
      <c r="H313" s="42"/>
      <c r="I313" s="42"/>
      <c r="K313" s="43"/>
      <c r="L313" s="43"/>
      <c r="M313" s="42"/>
      <c r="N313" s="44"/>
      <c r="O313" s="42"/>
      <c r="P313" s="42"/>
    </row>
    <row r="314" spans="4:16" x14ac:dyDescent="0.2">
      <c r="D314" s="38"/>
      <c r="E314" s="47"/>
      <c r="F314" s="42"/>
      <c r="G314" s="42"/>
      <c r="H314" s="42"/>
      <c r="I314" s="42"/>
      <c r="K314" s="43"/>
      <c r="L314" s="43"/>
      <c r="M314" s="42"/>
      <c r="N314" s="44"/>
      <c r="O314" s="42"/>
      <c r="P314" s="42"/>
    </row>
    <row r="315" spans="4:16" x14ac:dyDescent="0.2">
      <c r="D315" s="38"/>
      <c r="E315" s="47"/>
      <c r="F315" s="42"/>
      <c r="G315" s="42"/>
      <c r="H315" s="42"/>
      <c r="I315" s="42"/>
      <c r="K315" s="43"/>
      <c r="L315" s="43"/>
      <c r="M315" s="42"/>
      <c r="N315" s="44"/>
      <c r="O315" s="42"/>
      <c r="P315" s="42"/>
    </row>
    <row r="316" spans="4:16" x14ac:dyDescent="0.2">
      <c r="D316" s="38"/>
      <c r="E316" s="47"/>
      <c r="F316" s="42"/>
      <c r="G316" s="42"/>
      <c r="H316" s="42"/>
      <c r="I316" s="42"/>
      <c r="K316" s="43"/>
      <c r="L316" s="43"/>
      <c r="M316" s="42"/>
      <c r="N316" s="44"/>
      <c r="O316" s="42"/>
      <c r="P316" s="42"/>
    </row>
    <row r="317" spans="4:16" x14ac:dyDescent="0.2">
      <c r="D317" s="38"/>
      <c r="E317" s="47"/>
      <c r="F317" s="42"/>
      <c r="G317" s="42"/>
      <c r="H317" s="42"/>
      <c r="I317" s="42"/>
      <c r="K317" s="43"/>
      <c r="L317" s="43"/>
      <c r="M317" s="42"/>
      <c r="N317" s="44"/>
      <c r="O317" s="42"/>
      <c r="P317" s="42"/>
    </row>
    <row r="318" spans="4:16" x14ac:dyDescent="0.2">
      <c r="D318" s="38"/>
      <c r="E318" s="47"/>
      <c r="F318" s="42"/>
      <c r="G318" s="42"/>
      <c r="H318" s="42"/>
      <c r="I318" s="42"/>
      <c r="K318" s="43"/>
      <c r="L318" s="43"/>
      <c r="M318" s="42"/>
      <c r="N318" s="44"/>
      <c r="O318" s="42"/>
      <c r="P318" s="42"/>
    </row>
    <row r="319" spans="4:16" x14ac:dyDescent="0.2">
      <c r="D319" s="38"/>
      <c r="E319" s="47"/>
      <c r="F319" s="42"/>
      <c r="G319" s="42"/>
      <c r="H319" s="42"/>
      <c r="I319" s="42"/>
      <c r="K319" s="43"/>
      <c r="L319" s="43"/>
      <c r="M319" s="42"/>
      <c r="N319" s="44"/>
      <c r="O319" s="42"/>
      <c r="P319" s="42"/>
    </row>
    <row r="320" spans="4:16" x14ac:dyDescent="0.2">
      <c r="D320" s="38"/>
      <c r="E320" s="47"/>
      <c r="F320" s="42"/>
      <c r="G320" s="42"/>
      <c r="H320" s="42"/>
      <c r="I320" s="42"/>
      <c r="K320" s="43"/>
      <c r="L320" s="43"/>
      <c r="M320" s="42"/>
      <c r="N320" s="44"/>
      <c r="O320" s="42"/>
      <c r="P320" s="42"/>
    </row>
    <row r="321" spans="4:16" x14ac:dyDescent="0.2">
      <c r="D321" s="38"/>
      <c r="E321" s="47"/>
      <c r="F321" s="42"/>
      <c r="G321" s="42"/>
      <c r="H321" s="42"/>
      <c r="I321" s="42"/>
      <c r="K321" s="43"/>
      <c r="L321" s="43"/>
      <c r="M321" s="42"/>
      <c r="N321" s="44"/>
      <c r="O321" s="42"/>
      <c r="P321" s="42"/>
    </row>
    <row r="322" spans="4:16" x14ac:dyDescent="0.2">
      <c r="D322" s="38"/>
      <c r="E322" s="47"/>
      <c r="F322" s="42"/>
      <c r="G322" s="42"/>
      <c r="H322" s="42"/>
      <c r="I322" s="42"/>
      <c r="K322" s="43"/>
      <c r="L322" s="43"/>
      <c r="M322" s="42"/>
      <c r="N322" s="44"/>
      <c r="O322" s="42"/>
      <c r="P322" s="42"/>
    </row>
    <row r="323" spans="4:16" x14ac:dyDescent="0.2">
      <c r="D323" s="38"/>
      <c r="E323" s="47"/>
      <c r="F323" s="42"/>
      <c r="G323" s="42"/>
      <c r="H323" s="42"/>
      <c r="I323" s="42"/>
      <c r="K323" s="43"/>
      <c r="L323" s="43"/>
      <c r="M323" s="42"/>
      <c r="N323" s="44"/>
      <c r="O323" s="42"/>
      <c r="P323" s="42"/>
    </row>
    <row r="324" spans="4:16" x14ac:dyDescent="0.2">
      <c r="D324" s="38"/>
      <c r="E324" s="47"/>
      <c r="F324" s="42"/>
      <c r="G324" s="42"/>
      <c r="H324" s="42"/>
      <c r="I324" s="42"/>
      <c r="K324" s="43"/>
      <c r="L324" s="43"/>
      <c r="M324" s="42"/>
      <c r="N324" s="44"/>
      <c r="O324" s="42"/>
      <c r="P324" s="42"/>
    </row>
    <row r="325" spans="4:16" x14ac:dyDescent="0.2">
      <c r="D325" s="38"/>
      <c r="E325" s="47"/>
      <c r="F325" s="42"/>
      <c r="G325" s="42"/>
      <c r="H325" s="42"/>
      <c r="I325" s="42"/>
      <c r="K325" s="43"/>
      <c r="L325" s="43"/>
      <c r="M325" s="42"/>
      <c r="N325" s="44"/>
      <c r="O325" s="42"/>
      <c r="P325" s="42"/>
    </row>
    <row r="326" spans="4:16" x14ac:dyDescent="0.2">
      <c r="D326" s="38"/>
      <c r="E326" s="47"/>
      <c r="F326" s="42"/>
      <c r="G326" s="42"/>
      <c r="H326" s="42"/>
      <c r="I326" s="42"/>
      <c r="K326" s="43"/>
      <c r="L326" s="43"/>
      <c r="M326" s="42"/>
      <c r="N326" s="44"/>
      <c r="O326" s="42"/>
      <c r="P326" s="42"/>
    </row>
    <row r="327" spans="4:16" x14ac:dyDescent="0.2">
      <c r="D327" s="38"/>
      <c r="E327" s="47"/>
      <c r="F327" s="42"/>
      <c r="G327" s="42"/>
      <c r="H327" s="42"/>
      <c r="I327" s="42"/>
      <c r="K327" s="43"/>
      <c r="L327" s="43"/>
      <c r="M327" s="42"/>
      <c r="N327" s="44"/>
      <c r="O327" s="42"/>
      <c r="P327" s="42"/>
    </row>
    <row r="328" spans="4:16" x14ac:dyDescent="0.2">
      <c r="D328" s="38"/>
      <c r="E328" s="47"/>
      <c r="F328" s="42"/>
      <c r="G328" s="42"/>
      <c r="H328" s="42"/>
      <c r="I328" s="42"/>
      <c r="K328" s="43"/>
      <c r="L328" s="43"/>
      <c r="M328" s="42"/>
      <c r="N328" s="44"/>
      <c r="O328" s="42"/>
      <c r="P328" s="42"/>
    </row>
    <row r="329" spans="4:16" x14ac:dyDescent="0.2">
      <c r="D329" s="38"/>
      <c r="E329" s="47"/>
      <c r="F329" s="42"/>
      <c r="G329" s="42"/>
      <c r="H329" s="42"/>
      <c r="I329" s="42"/>
      <c r="K329" s="43"/>
      <c r="L329" s="43"/>
      <c r="M329" s="42"/>
      <c r="N329" s="44"/>
      <c r="O329" s="42"/>
      <c r="P329" s="42"/>
    </row>
    <row r="330" spans="4:16" x14ac:dyDescent="0.2">
      <c r="D330" s="38"/>
      <c r="E330" s="47"/>
      <c r="F330" s="42"/>
      <c r="G330" s="42"/>
      <c r="H330" s="42"/>
      <c r="I330" s="42"/>
      <c r="K330" s="43"/>
      <c r="L330" s="43"/>
      <c r="M330" s="42"/>
      <c r="N330" s="44"/>
      <c r="O330" s="42"/>
      <c r="P330" s="42"/>
    </row>
    <row r="331" spans="4:16" x14ac:dyDescent="0.2">
      <c r="D331" s="38"/>
      <c r="E331" s="47"/>
      <c r="F331" s="42"/>
      <c r="G331" s="42"/>
      <c r="H331" s="42"/>
      <c r="I331" s="42"/>
      <c r="K331" s="43"/>
      <c r="L331" s="43"/>
      <c r="M331" s="42"/>
      <c r="N331" s="44"/>
      <c r="O331" s="42"/>
      <c r="P331" s="42"/>
    </row>
    <row r="332" spans="4:16" x14ac:dyDescent="0.2">
      <c r="D332" s="38"/>
      <c r="E332" s="47"/>
      <c r="F332" s="42"/>
      <c r="G332" s="42"/>
      <c r="H332" s="42"/>
      <c r="I332" s="42"/>
      <c r="K332" s="43"/>
      <c r="L332" s="43"/>
      <c r="M332" s="42"/>
      <c r="N332" s="44"/>
      <c r="O332" s="42"/>
      <c r="P332" s="42"/>
    </row>
    <row r="333" spans="4:16" x14ac:dyDescent="0.2">
      <c r="D333" s="38"/>
      <c r="E333" s="47"/>
      <c r="F333" s="42"/>
      <c r="G333" s="42"/>
      <c r="H333" s="42"/>
      <c r="I333" s="42"/>
      <c r="K333" s="43"/>
      <c r="L333" s="43"/>
      <c r="M333" s="42"/>
      <c r="N333" s="44"/>
      <c r="O333" s="42"/>
      <c r="P333" s="42"/>
    </row>
    <row r="334" spans="4:16" x14ac:dyDescent="0.2">
      <c r="D334" s="38"/>
      <c r="E334" s="47"/>
      <c r="F334" s="42"/>
      <c r="G334" s="42"/>
      <c r="H334" s="42"/>
      <c r="I334" s="42"/>
      <c r="K334" s="43"/>
      <c r="L334" s="43"/>
      <c r="M334" s="42"/>
      <c r="N334" s="44"/>
      <c r="O334" s="42"/>
      <c r="P334" s="42"/>
    </row>
    <row r="335" spans="4:16" x14ac:dyDescent="0.2">
      <c r="D335" s="38"/>
      <c r="E335" s="47"/>
      <c r="F335" s="42"/>
      <c r="G335" s="42"/>
      <c r="H335" s="42"/>
      <c r="I335" s="42"/>
      <c r="K335" s="43"/>
      <c r="L335" s="43"/>
      <c r="M335" s="42"/>
      <c r="N335" s="44"/>
      <c r="O335" s="42"/>
      <c r="P335" s="42"/>
    </row>
    <row r="336" spans="4:16" x14ac:dyDescent="0.2">
      <c r="D336" s="38"/>
      <c r="E336" s="47"/>
      <c r="F336" s="42"/>
      <c r="G336" s="42"/>
      <c r="H336" s="42"/>
      <c r="I336" s="42"/>
      <c r="K336" s="43"/>
      <c r="L336" s="43"/>
      <c r="M336" s="42"/>
      <c r="N336" s="44"/>
      <c r="O336" s="42"/>
      <c r="P336" s="42"/>
    </row>
    <row r="337" spans="4:16" x14ac:dyDescent="0.2">
      <c r="D337" s="38"/>
      <c r="E337" s="47"/>
      <c r="F337" s="42"/>
      <c r="G337" s="42"/>
      <c r="H337" s="42"/>
      <c r="I337" s="42"/>
      <c r="K337" s="43"/>
      <c r="L337" s="43"/>
      <c r="M337" s="42"/>
      <c r="N337" s="44"/>
      <c r="O337" s="42"/>
      <c r="P337" s="42"/>
    </row>
    <row r="338" spans="4:16" x14ac:dyDescent="0.2">
      <c r="D338" s="38"/>
      <c r="E338" s="47"/>
      <c r="F338" s="42"/>
      <c r="G338" s="42"/>
      <c r="H338" s="42"/>
      <c r="I338" s="42"/>
      <c r="K338" s="43"/>
      <c r="L338" s="43"/>
      <c r="M338" s="42"/>
      <c r="N338" s="44"/>
      <c r="O338" s="42"/>
      <c r="P338" s="42"/>
    </row>
    <row r="339" spans="4:16" x14ac:dyDescent="0.2">
      <c r="D339" s="38"/>
      <c r="E339" s="47"/>
      <c r="F339" s="42"/>
      <c r="G339" s="42"/>
      <c r="H339" s="42"/>
      <c r="I339" s="42"/>
      <c r="K339" s="43"/>
      <c r="L339" s="43"/>
      <c r="M339" s="42"/>
      <c r="N339" s="44"/>
      <c r="O339" s="42"/>
      <c r="P339" s="42"/>
    </row>
    <row r="340" spans="4:16" x14ac:dyDescent="0.2">
      <c r="D340" s="38"/>
      <c r="E340" s="47"/>
      <c r="F340" s="42"/>
      <c r="G340" s="42"/>
      <c r="H340" s="42"/>
      <c r="I340" s="42"/>
      <c r="K340" s="43"/>
      <c r="L340" s="43"/>
      <c r="M340" s="42"/>
      <c r="N340" s="44"/>
      <c r="O340" s="42"/>
      <c r="P340" s="42"/>
    </row>
    <row r="341" spans="4:16" x14ac:dyDescent="0.2">
      <c r="D341" s="38"/>
      <c r="E341" s="47"/>
      <c r="F341" s="42"/>
      <c r="G341" s="42"/>
      <c r="H341" s="42"/>
      <c r="I341" s="42"/>
      <c r="K341" s="43"/>
      <c r="L341" s="43"/>
      <c r="M341" s="42"/>
      <c r="N341" s="44"/>
      <c r="O341" s="42"/>
      <c r="P341" s="42"/>
    </row>
    <row r="342" spans="4:16" x14ac:dyDescent="0.2">
      <c r="D342" s="38"/>
      <c r="E342" s="47"/>
      <c r="F342" s="42"/>
      <c r="G342" s="42"/>
      <c r="H342" s="42"/>
      <c r="I342" s="42"/>
      <c r="K342" s="43"/>
      <c r="L342" s="43"/>
      <c r="M342" s="42"/>
      <c r="N342" s="44"/>
      <c r="O342" s="42"/>
      <c r="P342" s="42"/>
    </row>
    <row r="343" spans="4:16" x14ac:dyDescent="0.2">
      <c r="D343" s="38"/>
      <c r="E343" s="47"/>
      <c r="F343" s="42"/>
      <c r="G343" s="42"/>
      <c r="H343" s="42"/>
      <c r="I343" s="42"/>
      <c r="K343" s="43"/>
      <c r="L343" s="43"/>
      <c r="M343" s="42"/>
      <c r="N343" s="44"/>
      <c r="O343" s="42"/>
      <c r="P343" s="42"/>
    </row>
    <row r="344" spans="4:16" x14ac:dyDescent="0.2">
      <c r="D344" s="38"/>
      <c r="E344" s="47"/>
      <c r="F344" s="42"/>
      <c r="G344" s="42"/>
      <c r="H344" s="42"/>
      <c r="I344" s="42"/>
      <c r="K344" s="43"/>
      <c r="L344" s="43"/>
      <c r="M344" s="42"/>
      <c r="N344" s="44"/>
      <c r="O344" s="42"/>
      <c r="P344" s="42"/>
    </row>
    <row r="345" spans="4:16" x14ac:dyDescent="0.2">
      <c r="D345" s="38"/>
      <c r="E345" s="47"/>
      <c r="F345" s="42"/>
      <c r="G345" s="42"/>
      <c r="H345" s="42"/>
      <c r="I345" s="42"/>
      <c r="K345" s="43"/>
      <c r="L345" s="43"/>
      <c r="M345" s="42"/>
      <c r="N345" s="44"/>
      <c r="O345" s="42"/>
      <c r="P345" s="42"/>
    </row>
    <row r="346" spans="4:16" x14ac:dyDescent="0.2">
      <c r="D346" s="38"/>
      <c r="E346" s="47"/>
      <c r="F346" s="42"/>
      <c r="G346" s="42"/>
      <c r="H346" s="42"/>
      <c r="I346" s="42"/>
      <c r="K346" s="43"/>
      <c r="L346" s="43"/>
      <c r="M346" s="42"/>
      <c r="N346" s="44"/>
      <c r="O346" s="42"/>
      <c r="P346" s="42"/>
    </row>
    <row r="347" spans="4:16" x14ac:dyDescent="0.2">
      <c r="D347" s="38"/>
      <c r="E347" s="47"/>
      <c r="F347" s="42"/>
      <c r="G347" s="42"/>
      <c r="H347" s="42"/>
      <c r="I347" s="42"/>
      <c r="K347" s="43"/>
      <c r="L347" s="43"/>
      <c r="M347" s="42"/>
      <c r="N347" s="44"/>
      <c r="O347" s="42"/>
      <c r="P347" s="42"/>
    </row>
    <row r="348" spans="4:16" x14ac:dyDescent="0.2">
      <c r="D348" s="38"/>
      <c r="E348" s="47"/>
      <c r="F348" s="42"/>
      <c r="G348" s="42"/>
      <c r="H348" s="42"/>
      <c r="I348" s="42"/>
      <c r="K348" s="43"/>
      <c r="L348" s="43"/>
      <c r="M348" s="42"/>
      <c r="N348" s="44"/>
      <c r="O348" s="42"/>
      <c r="P348" s="42"/>
    </row>
    <row r="349" spans="4:16" x14ac:dyDescent="0.2">
      <c r="D349" s="38"/>
      <c r="E349" s="47"/>
      <c r="F349" s="42"/>
      <c r="G349" s="42"/>
      <c r="H349" s="42"/>
      <c r="I349" s="42"/>
      <c r="K349" s="43"/>
      <c r="L349" s="43"/>
      <c r="M349" s="42"/>
      <c r="N349" s="44"/>
      <c r="O349" s="42"/>
      <c r="P349" s="42"/>
    </row>
    <row r="350" spans="4:16" x14ac:dyDescent="0.2">
      <c r="D350" s="38"/>
      <c r="E350" s="47"/>
      <c r="F350" s="42"/>
      <c r="G350" s="42"/>
      <c r="H350" s="42"/>
      <c r="I350" s="42"/>
      <c r="K350" s="43"/>
      <c r="L350" s="43"/>
      <c r="M350" s="42"/>
      <c r="N350" s="44"/>
      <c r="O350" s="42"/>
      <c r="P350" s="42"/>
    </row>
    <row r="351" spans="4:16" x14ac:dyDescent="0.2">
      <c r="D351" s="38"/>
      <c r="E351" s="47"/>
      <c r="F351" s="42"/>
      <c r="G351" s="42"/>
      <c r="H351" s="42"/>
      <c r="I351" s="42"/>
      <c r="K351" s="43"/>
      <c r="L351" s="43"/>
      <c r="M351" s="42"/>
      <c r="N351" s="44"/>
      <c r="O351" s="42"/>
      <c r="P351" s="42"/>
    </row>
    <row r="352" spans="4:16" x14ac:dyDescent="0.2">
      <c r="D352" s="38"/>
      <c r="E352" s="47"/>
      <c r="F352" s="42"/>
      <c r="G352" s="42"/>
      <c r="H352" s="42"/>
      <c r="I352" s="42"/>
      <c r="K352" s="43"/>
      <c r="L352" s="43"/>
      <c r="M352" s="42"/>
      <c r="N352" s="44"/>
      <c r="O352" s="42"/>
      <c r="P352" s="42"/>
    </row>
    <row r="353" spans="4:16" x14ac:dyDescent="0.2">
      <c r="D353" s="38"/>
      <c r="E353" s="47"/>
      <c r="F353" s="42"/>
      <c r="G353" s="42"/>
      <c r="H353" s="42"/>
      <c r="I353" s="42"/>
      <c r="K353" s="43"/>
      <c r="L353" s="43"/>
      <c r="M353" s="42"/>
      <c r="N353" s="44"/>
      <c r="O353" s="42"/>
      <c r="P353" s="42"/>
    </row>
    <row r="354" spans="4:16" x14ac:dyDescent="0.2">
      <c r="D354" s="38"/>
      <c r="E354" s="47"/>
      <c r="F354" s="42"/>
      <c r="G354" s="42"/>
      <c r="H354" s="42"/>
      <c r="I354" s="42"/>
      <c r="K354" s="43"/>
      <c r="L354" s="43"/>
      <c r="M354" s="42"/>
      <c r="N354" s="44"/>
      <c r="O354" s="42"/>
      <c r="P354" s="42"/>
    </row>
    <row r="355" spans="4:16" x14ac:dyDescent="0.2">
      <c r="D355" s="38"/>
      <c r="E355" s="47"/>
      <c r="F355" s="42"/>
      <c r="G355" s="42"/>
      <c r="H355" s="42"/>
      <c r="I355" s="42"/>
      <c r="K355" s="43"/>
      <c r="L355" s="43"/>
      <c r="M355" s="42"/>
      <c r="N355" s="44"/>
      <c r="O355" s="42"/>
      <c r="P355" s="42"/>
    </row>
    <row r="356" spans="4:16" x14ac:dyDescent="0.2">
      <c r="D356" s="38"/>
      <c r="E356" s="47"/>
      <c r="F356" s="42"/>
      <c r="G356" s="42"/>
      <c r="H356" s="42"/>
      <c r="I356" s="42"/>
      <c r="K356" s="43"/>
      <c r="L356" s="43"/>
      <c r="M356" s="42"/>
      <c r="N356" s="44"/>
      <c r="O356" s="42"/>
      <c r="P356" s="42"/>
    </row>
    <row r="357" spans="4:16" x14ac:dyDescent="0.2">
      <c r="D357" s="38"/>
      <c r="E357" s="47"/>
      <c r="F357" s="42"/>
      <c r="G357" s="42"/>
      <c r="H357" s="42"/>
      <c r="I357" s="42"/>
      <c r="K357" s="43"/>
      <c r="L357" s="43"/>
      <c r="M357" s="42"/>
      <c r="N357" s="44"/>
      <c r="O357" s="42"/>
      <c r="P357" s="42"/>
    </row>
    <row r="358" spans="4:16" x14ac:dyDescent="0.2">
      <c r="D358" s="38"/>
      <c r="E358" s="47"/>
      <c r="F358" s="42"/>
      <c r="G358" s="42"/>
      <c r="H358" s="42"/>
      <c r="I358" s="42"/>
      <c r="K358" s="43"/>
      <c r="L358" s="43"/>
      <c r="M358" s="42"/>
      <c r="N358" s="44"/>
      <c r="O358" s="42"/>
      <c r="P358" s="42"/>
    </row>
    <row r="359" spans="4:16" x14ac:dyDescent="0.2">
      <c r="D359" s="38"/>
      <c r="E359" s="47"/>
      <c r="F359" s="42"/>
      <c r="G359" s="42"/>
      <c r="H359" s="42"/>
      <c r="I359" s="42"/>
      <c r="K359" s="43"/>
      <c r="L359" s="43"/>
      <c r="M359" s="42"/>
      <c r="N359" s="44"/>
      <c r="O359" s="42"/>
      <c r="P359" s="42"/>
    </row>
    <row r="360" spans="4:16" x14ac:dyDescent="0.2">
      <c r="D360" s="38"/>
      <c r="E360" s="47"/>
      <c r="F360" s="42"/>
      <c r="G360" s="42"/>
      <c r="H360" s="42"/>
      <c r="I360" s="42"/>
      <c r="K360" s="43"/>
      <c r="L360" s="43"/>
      <c r="M360" s="42"/>
      <c r="N360" s="44"/>
      <c r="O360" s="42"/>
      <c r="P360" s="42"/>
    </row>
    <row r="361" spans="4:16" x14ac:dyDescent="0.2">
      <c r="D361" s="38"/>
      <c r="E361" s="47"/>
      <c r="F361" s="42"/>
      <c r="G361" s="42"/>
      <c r="H361" s="42"/>
      <c r="I361" s="42"/>
      <c r="K361" s="43"/>
      <c r="L361" s="43"/>
      <c r="M361" s="42"/>
      <c r="N361" s="44"/>
      <c r="O361" s="42"/>
      <c r="P361" s="42"/>
    </row>
    <row r="362" spans="4:16" x14ac:dyDescent="0.2">
      <c r="D362" s="38"/>
      <c r="E362" s="47"/>
      <c r="F362" s="42"/>
      <c r="G362" s="42"/>
      <c r="H362" s="42"/>
      <c r="I362" s="42"/>
      <c r="K362" s="43"/>
      <c r="L362" s="43"/>
      <c r="M362" s="42"/>
      <c r="N362" s="44"/>
      <c r="O362" s="42"/>
      <c r="P362" s="42"/>
    </row>
    <row r="363" spans="4:16" x14ac:dyDescent="0.2">
      <c r="D363" s="38"/>
      <c r="E363" s="47"/>
      <c r="F363" s="42"/>
      <c r="G363" s="42"/>
      <c r="H363" s="42"/>
      <c r="I363" s="42"/>
      <c r="K363" s="43"/>
      <c r="L363" s="43"/>
      <c r="M363" s="42"/>
      <c r="N363" s="44"/>
      <c r="O363" s="42"/>
      <c r="P363" s="42"/>
    </row>
    <row r="364" spans="4:16" x14ac:dyDescent="0.2">
      <c r="D364" s="38"/>
      <c r="E364" s="47"/>
      <c r="F364" s="42"/>
      <c r="G364" s="42"/>
      <c r="H364" s="42"/>
      <c r="I364" s="42"/>
      <c r="K364" s="43"/>
      <c r="L364" s="43"/>
      <c r="M364" s="42"/>
      <c r="N364" s="44"/>
      <c r="O364" s="42"/>
      <c r="P364" s="42"/>
    </row>
    <row r="365" spans="4:16" x14ac:dyDescent="0.2">
      <c r="D365" s="38"/>
      <c r="E365" s="47"/>
      <c r="F365" s="42"/>
      <c r="G365" s="42"/>
      <c r="H365" s="42"/>
      <c r="I365" s="42"/>
      <c r="K365" s="43"/>
      <c r="L365" s="43"/>
      <c r="M365" s="42"/>
      <c r="N365" s="44"/>
      <c r="O365" s="42"/>
      <c r="P365" s="42"/>
    </row>
    <row r="366" spans="4:16" x14ac:dyDescent="0.2">
      <c r="D366" s="38"/>
      <c r="E366" s="47"/>
      <c r="F366" s="42"/>
      <c r="G366" s="42"/>
      <c r="H366" s="42"/>
      <c r="I366" s="42"/>
      <c r="K366" s="43"/>
      <c r="L366" s="43"/>
      <c r="M366" s="42"/>
      <c r="N366" s="44"/>
      <c r="O366" s="42"/>
      <c r="P366" s="42"/>
    </row>
    <row r="367" spans="4:16" x14ac:dyDescent="0.2">
      <c r="D367" s="38"/>
      <c r="E367" s="47"/>
      <c r="F367" s="42"/>
      <c r="G367" s="42"/>
      <c r="H367" s="42"/>
      <c r="I367" s="42"/>
      <c r="K367" s="43"/>
      <c r="L367" s="43"/>
      <c r="M367" s="42"/>
      <c r="N367" s="44"/>
      <c r="O367" s="42"/>
      <c r="P367" s="42"/>
    </row>
    <row r="368" spans="4:16" x14ac:dyDescent="0.2">
      <c r="D368" s="38"/>
      <c r="E368" s="47"/>
      <c r="F368" s="42"/>
      <c r="G368" s="42"/>
      <c r="H368" s="42"/>
      <c r="I368" s="42"/>
      <c r="K368" s="43"/>
      <c r="L368" s="43"/>
      <c r="M368" s="42"/>
      <c r="N368" s="44"/>
      <c r="O368" s="42"/>
      <c r="P368" s="42"/>
    </row>
    <row r="369" spans="4:16" x14ac:dyDescent="0.2">
      <c r="D369" s="38"/>
      <c r="E369" s="47"/>
      <c r="F369" s="42"/>
      <c r="G369" s="42"/>
      <c r="H369" s="42"/>
      <c r="I369" s="42"/>
      <c r="K369" s="43"/>
      <c r="L369" s="43"/>
      <c r="M369" s="42"/>
      <c r="N369" s="44"/>
      <c r="O369" s="42"/>
      <c r="P369" s="42"/>
    </row>
    <row r="370" spans="4:16" x14ac:dyDescent="0.2">
      <c r="D370" s="38"/>
      <c r="E370" s="47"/>
      <c r="F370" s="42"/>
      <c r="G370" s="42"/>
      <c r="H370" s="42"/>
      <c r="I370" s="42"/>
      <c r="K370" s="43"/>
      <c r="L370" s="43"/>
      <c r="M370" s="42"/>
      <c r="N370" s="44"/>
      <c r="O370" s="42"/>
      <c r="P370" s="42"/>
    </row>
    <row r="371" spans="4:16" x14ac:dyDescent="0.2">
      <c r="D371" s="38"/>
      <c r="E371" s="47"/>
      <c r="F371" s="42"/>
      <c r="G371" s="42"/>
      <c r="H371" s="42"/>
      <c r="I371" s="42"/>
      <c r="K371" s="43"/>
      <c r="L371" s="43"/>
      <c r="M371" s="42"/>
      <c r="N371" s="44"/>
      <c r="O371" s="42"/>
      <c r="P371" s="42"/>
    </row>
    <row r="372" spans="4:16" x14ac:dyDescent="0.2">
      <c r="D372" s="38"/>
      <c r="E372" s="47"/>
      <c r="F372" s="42"/>
      <c r="G372" s="42"/>
      <c r="H372" s="42"/>
      <c r="I372" s="42"/>
      <c r="K372" s="43"/>
      <c r="L372" s="43"/>
      <c r="M372" s="42"/>
      <c r="N372" s="44"/>
      <c r="O372" s="42"/>
      <c r="P372" s="42"/>
    </row>
    <row r="373" spans="4:16" x14ac:dyDescent="0.2">
      <c r="D373" s="38"/>
      <c r="E373" s="47"/>
      <c r="F373" s="42"/>
      <c r="G373" s="42"/>
      <c r="H373" s="42"/>
      <c r="I373" s="42"/>
      <c r="K373" s="43"/>
      <c r="L373" s="43"/>
      <c r="M373" s="42"/>
      <c r="N373" s="44"/>
      <c r="O373" s="42"/>
      <c r="P373" s="42"/>
    </row>
    <row r="374" spans="4:16" x14ac:dyDescent="0.2">
      <c r="D374" s="38"/>
      <c r="E374" s="47"/>
      <c r="F374" s="42"/>
      <c r="G374" s="42"/>
      <c r="H374" s="42"/>
      <c r="I374" s="42"/>
      <c r="K374" s="43"/>
      <c r="L374" s="43"/>
      <c r="M374" s="42"/>
      <c r="N374" s="44"/>
      <c r="O374" s="42"/>
      <c r="P374" s="42"/>
    </row>
    <row r="375" spans="4:16" x14ac:dyDescent="0.2">
      <c r="D375" s="38"/>
      <c r="E375" s="47"/>
      <c r="F375" s="42"/>
      <c r="G375" s="42"/>
      <c r="H375" s="42"/>
      <c r="I375" s="42"/>
      <c r="K375" s="43"/>
      <c r="L375" s="43"/>
      <c r="M375" s="42"/>
      <c r="N375" s="44"/>
      <c r="O375" s="42"/>
      <c r="P375" s="42"/>
    </row>
    <row r="376" spans="4:16" x14ac:dyDescent="0.2">
      <c r="D376" s="38"/>
      <c r="E376" s="47"/>
      <c r="F376" s="42"/>
      <c r="G376" s="42"/>
      <c r="H376" s="42"/>
      <c r="I376" s="42"/>
      <c r="K376" s="43"/>
      <c r="L376" s="43"/>
      <c r="M376" s="42"/>
      <c r="N376" s="44"/>
      <c r="O376" s="42"/>
      <c r="P376" s="42"/>
    </row>
    <row r="377" spans="4:16" x14ac:dyDescent="0.2">
      <c r="D377" s="38"/>
      <c r="E377" s="47"/>
      <c r="F377" s="42"/>
      <c r="G377" s="42"/>
      <c r="H377" s="42"/>
      <c r="I377" s="42"/>
      <c r="K377" s="43"/>
      <c r="L377" s="43"/>
      <c r="M377" s="42"/>
      <c r="N377" s="44"/>
      <c r="O377" s="42"/>
      <c r="P377" s="42"/>
    </row>
    <row r="378" spans="4:16" x14ac:dyDescent="0.2">
      <c r="D378" s="38"/>
      <c r="E378" s="47"/>
      <c r="F378" s="42"/>
      <c r="G378" s="42"/>
      <c r="H378" s="42"/>
      <c r="I378" s="42"/>
      <c r="K378" s="43"/>
      <c r="L378" s="43"/>
      <c r="M378" s="42"/>
      <c r="N378" s="44"/>
      <c r="O378" s="42"/>
      <c r="P378" s="42"/>
    </row>
    <row r="379" spans="4:16" x14ac:dyDescent="0.2">
      <c r="D379" s="38"/>
      <c r="E379" s="47"/>
      <c r="F379" s="42"/>
      <c r="G379" s="42"/>
      <c r="H379" s="42"/>
      <c r="I379" s="42"/>
      <c r="K379" s="43"/>
      <c r="L379" s="43"/>
      <c r="M379" s="42"/>
      <c r="N379" s="44"/>
      <c r="O379" s="42"/>
      <c r="P379" s="42"/>
    </row>
    <row r="380" spans="4:16" x14ac:dyDescent="0.2">
      <c r="D380" s="38"/>
      <c r="E380" s="47"/>
      <c r="F380" s="42"/>
      <c r="G380" s="42"/>
      <c r="H380" s="42"/>
      <c r="I380" s="42"/>
      <c r="K380" s="43"/>
      <c r="L380" s="43"/>
      <c r="M380" s="42"/>
      <c r="N380" s="44"/>
      <c r="O380" s="42"/>
      <c r="P380" s="42"/>
    </row>
    <row r="381" spans="4:16" x14ac:dyDescent="0.2">
      <c r="D381" s="38"/>
      <c r="E381" s="47"/>
      <c r="F381" s="42"/>
      <c r="G381" s="42"/>
      <c r="H381" s="42"/>
      <c r="I381" s="42"/>
      <c r="K381" s="43"/>
      <c r="L381" s="43"/>
      <c r="M381" s="42"/>
      <c r="N381" s="44"/>
      <c r="O381" s="42"/>
      <c r="P381" s="42"/>
    </row>
    <row r="382" spans="4:16" x14ac:dyDescent="0.2">
      <c r="D382" s="38"/>
      <c r="E382" s="47"/>
      <c r="F382" s="42"/>
      <c r="G382" s="42"/>
      <c r="H382" s="42"/>
      <c r="I382" s="42"/>
      <c r="K382" s="43"/>
      <c r="L382" s="43"/>
      <c r="M382" s="42"/>
      <c r="N382" s="44"/>
      <c r="O382" s="42"/>
      <c r="P382" s="42"/>
    </row>
    <row r="383" spans="4:16" x14ac:dyDescent="0.2">
      <c r="D383" s="38"/>
      <c r="E383" s="47"/>
      <c r="F383" s="42"/>
      <c r="G383" s="42"/>
      <c r="H383" s="42"/>
      <c r="I383" s="42"/>
      <c r="K383" s="43"/>
      <c r="L383" s="43"/>
      <c r="M383" s="42"/>
      <c r="N383" s="44"/>
      <c r="O383" s="42"/>
      <c r="P383" s="42"/>
    </row>
    <row r="384" spans="4:16" x14ac:dyDescent="0.2">
      <c r="D384" s="38"/>
      <c r="E384" s="47"/>
      <c r="F384" s="42"/>
      <c r="G384" s="42"/>
      <c r="H384" s="42"/>
      <c r="I384" s="42"/>
      <c r="K384" s="43"/>
      <c r="L384" s="43"/>
      <c r="M384" s="42"/>
      <c r="N384" s="44"/>
      <c r="O384" s="42"/>
      <c r="P384" s="42"/>
    </row>
    <row r="385" spans="4:16" x14ac:dyDescent="0.2">
      <c r="D385" s="38"/>
      <c r="E385" s="47"/>
      <c r="F385" s="42"/>
      <c r="G385" s="42"/>
      <c r="H385" s="42"/>
      <c r="I385" s="42"/>
      <c r="K385" s="43"/>
      <c r="L385" s="43"/>
      <c r="M385" s="42"/>
      <c r="N385" s="44"/>
      <c r="O385" s="42"/>
      <c r="P385" s="42"/>
    </row>
    <row r="386" spans="4:16" x14ac:dyDescent="0.2">
      <c r="D386" s="38"/>
      <c r="E386" s="47"/>
      <c r="F386" s="42"/>
      <c r="G386" s="42"/>
      <c r="H386" s="42"/>
      <c r="I386" s="42"/>
      <c r="K386" s="43"/>
      <c r="L386" s="43"/>
      <c r="M386" s="42"/>
      <c r="N386" s="44"/>
      <c r="O386" s="42"/>
      <c r="P386" s="42"/>
    </row>
    <row r="387" spans="4:16" x14ac:dyDescent="0.2">
      <c r="D387" s="38"/>
      <c r="E387" s="47"/>
      <c r="F387" s="42"/>
      <c r="G387" s="42"/>
      <c r="H387" s="42"/>
      <c r="I387" s="42"/>
      <c r="K387" s="43"/>
      <c r="L387" s="43"/>
      <c r="M387" s="42"/>
      <c r="N387" s="44"/>
      <c r="O387" s="42"/>
      <c r="P387" s="42"/>
    </row>
    <row r="388" spans="4:16" x14ac:dyDescent="0.2">
      <c r="D388" s="38"/>
      <c r="E388" s="47"/>
      <c r="F388" s="42"/>
      <c r="G388" s="42"/>
      <c r="H388" s="42"/>
      <c r="I388" s="42"/>
      <c r="K388" s="43"/>
      <c r="L388" s="43"/>
      <c r="M388" s="42"/>
      <c r="N388" s="44"/>
      <c r="O388" s="42"/>
      <c r="P388" s="42"/>
    </row>
    <row r="389" spans="4:16" x14ac:dyDescent="0.2">
      <c r="D389" s="38"/>
      <c r="E389" s="47"/>
      <c r="F389" s="42"/>
      <c r="G389" s="42"/>
      <c r="H389" s="42"/>
      <c r="I389" s="42"/>
      <c r="K389" s="43"/>
      <c r="L389" s="43"/>
      <c r="M389" s="42"/>
      <c r="N389" s="44"/>
      <c r="O389" s="42"/>
      <c r="P389" s="42"/>
    </row>
    <row r="390" spans="4:16" x14ac:dyDescent="0.2">
      <c r="D390" s="38"/>
      <c r="E390" s="47"/>
      <c r="F390" s="42"/>
      <c r="G390" s="42"/>
      <c r="H390" s="42"/>
      <c r="I390" s="42"/>
      <c r="K390" s="43"/>
      <c r="L390" s="43"/>
      <c r="M390" s="42"/>
      <c r="N390" s="44"/>
      <c r="O390" s="42"/>
      <c r="P390" s="42"/>
    </row>
    <row r="391" spans="4:16" x14ac:dyDescent="0.2">
      <c r="D391" s="38"/>
      <c r="E391" s="47"/>
      <c r="F391" s="42"/>
      <c r="G391" s="42"/>
      <c r="H391" s="42"/>
      <c r="I391" s="42"/>
      <c r="K391" s="43"/>
      <c r="L391" s="43"/>
      <c r="M391" s="42"/>
      <c r="N391" s="44"/>
      <c r="O391" s="42"/>
      <c r="P391" s="42"/>
    </row>
    <row r="392" spans="4:16" x14ac:dyDescent="0.2">
      <c r="D392" s="38"/>
      <c r="E392" s="47"/>
      <c r="F392" s="42"/>
      <c r="G392" s="42"/>
      <c r="H392" s="42"/>
      <c r="I392" s="42"/>
      <c r="K392" s="43"/>
      <c r="L392" s="43"/>
      <c r="M392" s="42"/>
      <c r="N392" s="44"/>
      <c r="O392" s="42"/>
      <c r="P392" s="42"/>
    </row>
    <row r="393" spans="4:16" x14ac:dyDescent="0.2">
      <c r="D393" s="38"/>
      <c r="E393" s="47"/>
      <c r="F393" s="42"/>
      <c r="G393" s="42"/>
      <c r="H393" s="42"/>
      <c r="I393" s="42"/>
      <c r="K393" s="43"/>
      <c r="L393" s="43"/>
      <c r="M393" s="42"/>
      <c r="N393" s="44"/>
      <c r="O393" s="42"/>
      <c r="P393" s="42"/>
    </row>
    <row r="394" spans="4:16" x14ac:dyDescent="0.2">
      <c r="D394" s="38"/>
      <c r="E394" s="47"/>
      <c r="F394" s="42"/>
      <c r="G394" s="42"/>
      <c r="H394" s="42"/>
      <c r="I394" s="42"/>
      <c r="K394" s="43"/>
      <c r="L394" s="43"/>
      <c r="M394" s="42"/>
      <c r="N394" s="44"/>
      <c r="O394" s="42"/>
      <c r="P394" s="42"/>
    </row>
    <row r="395" spans="4:16" x14ac:dyDescent="0.2">
      <c r="D395" s="38"/>
      <c r="E395" s="47"/>
      <c r="F395" s="42"/>
      <c r="G395" s="42"/>
      <c r="H395" s="42"/>
      <c r="I395" s="42"/>
      <c r="K395" s="43"/>
      <c r="L395" s="43"/>
      <c r="M395" s="42"/>
      <c r="N395" s="44"/>
      <c r="O395" s="42"/>
      <c r="P395" s="42"/>
    </row>
    <row r="396" spans="4:16" x14ac:dyDescent="0.2">
      <c r="D396" s="38"/>
      <c r="E396" s="47"/>
      <c r="F396" s="42"/>
      <c r="G396" s="42"/>
      <c r="H396" s="42"/>
      <c r="I396" s="42"/>
      <c r="K396" s="43"/>
      <c r="L396" s="43"/>
      <c r="M396" s="42"/>
      <c r="N396" s="44"/>
      <c r="O396" s="42"/>
      <c r="P396" s="42"/>
    </row>
    <row r="397" spans="4:16" x14ac:dyDescent="0.2">
      <c r="D397" s="38"/>
      <c r="E397" s="47"/>
      <c r="F397" s="42"/>
      <c r="G397" s="42"/>
      <c r="H397" s="42"/>
      <c r="I397" s="42"/>
      <c r="K397" s="43"/>
      <c r="L397" s="43"/>
      <c r="M397" s="42"/>
      <c r="N397" s="44"/>
      <c r="O397" s="42"/>
      <c r="P397" s="42"/>
    </row>
    <row r="398" spans="4:16" x14ac:dyDescent="0.2">
      <c r="D398" s="38"/>
      <c r="E398" s="47"/>
      <c r="F398" s="42"/>
      <c r="G398" s="42"/>
      <c r="H398" s="42"/>
      <c r="I398" s="42"/>
      <c r="K398" s="43"/>
      <c r="L398" s="43"/>
      <c r="M398" s="42"/>
      <c r="N398" s="44"/>
      <c r="O398" s="42"/>
      <c r="P398" s="42"/>
    </row>
    <row r="399" spans="4:16" x14ac:dyDescent="0.2">
      <c r="D399" s="38"/>
      <c r="E399" s="47"/>
      <c r="F399" s="42"/>
      <c r="G399" s="42"/>
      <c r="H399" s="42"/>
      <c r="I399" s="42"/>
      <c r="K399" s="43"/>
      <c r="L399" s="43"/>
      <c r="M399" s="42"/>
      <c r="N399" s="44"/>
      <c r="O399" s="42"/>
      <c r="P399" s="42"/>
    </row>
    <row r="400" spans="4:16" x14ac:dyDescent="0.2">
      <c r="D400" s="38"/>
      <c r="E400" s="47"/>
      <c r="F400" s="42"/>
      <c r="G400" s="42"/>
      <c r="H400" s="42"/>
      <c r="I400" s="42"/>
      <c r="K400" s="43"/>
      <c r="L400" s="43"/>
      <c r="M400" s="42"/>
      <c r="N400" s="44"/>
      <c r="O400" s="42"/>
      <c r="P400" s="42"/>
    </row>
    <row r="401" spans="4:16" x14ac:dyDescent="0.2">
      <c r="D401" s="38"/>
      <c r="E401" s="47"/>
      <c r="F401" s="42"/>
      <c r="G401" s="42"/>
      <c r="H401" s="42"/>
      <c r="I401" s="42"/>
      <c r="K401" s="43"/>
      <c r="L401" s="43"/>
      <c r="M401" s="42"/>
      <c r="N401" s="44"/>
      <c r="O401" s="42"/>
      <c r="P401" s="42"/>
    </row>
    <row r="402" spans="4:16" x14ac:dyDescent="0.2">
      <c r="D402" s="38"/>
      <c r="E402" s="47"/>
      <c r="F402" s="42"/>
      <c r="G402" s="42"/>
      <c r="H402" s="42"/>
      <c r="I402" s="42"/>
      <c r="K402" s="43"/>
      <c r="L402" s="43"/>
      <c r="M402" s="42"/>
      <c r="N402" s="44"/>
      <c r="O402" s="42"/>
      <c r="P402" s="42"/>
    </row>
    <row r="403" spans="4:16" x14ac:dyDescent="0.2">
      <c r="D403" s="38"/>
      <c r="E403" s="47"/>
      <c r="F403" s="42"/>
      <c r="G403" s="42"/>
      <c r="H403" s="42"/>
      <c r="I403" s="42"/>
      <c r="K403" s="43"/>
      <c r="L403" s="43"/>
      <c r="M403" s="42"/>
      <c r="N403" s="44"/>
      <c r="O403" s="42"/>
      <c r="P403" s="42"/>
    </row>
    <row r="404" spans="4:16" x14ac:dyDescent="0.2">
      <c r="D404" s="38"/>
      <c r="E404" s="47"/>
      <c r="F404" s="42"/>
      <c r="G404" s="42"/>
      <c r="H404" s="42"/>
      <c r="I404" s="42"/>
      <c r="K404" s="43"/>
      <c r="L404" s="43"/>
      <c r="M404" s="42"/>
      <c r="N404" s="44"/>
      <c r="O404" s="42"/>
      <c r="P404" s="42"/>
    </row>
    <row r="405" spans="4:16" x14ac:dyDescent="0.2">
      <c r="D405" s="38"/>
      <c r="E405" s="47"/>
      <c r="F405" s="42"/>
      <c r="G405" s="42"/>
      <c r="H405" s="42"/>
      <c r="I405" s="42"/>
      <c r="K405" s="43"/>
      <c r="L405" s="43"/>
      <c r="M405" s="42"/>
      <c r="N405" s="44"/>
      <c r="O405" s="42"/>
      <c r="P405" s="42"/>
    </row>
    <row r="406" spans="4:16" x14ac:dyDescent="0.2">
      <c r="D406" s="38"/>
      <c r="E406" s="47"/>
      <c r="F406" s="42"/>
      <c r="G406" s="42"/>
      <c r="H406" s="42"/>
      <c r="I406" s="42"/>
      <c r="K406" s="43"/>
      <c r="L406" s="43"/>
      <c r="M406" s="42"/>
      <c r="N406" s="44"/>
      <c r="O406" s="42"/>
      <c r="P406" s="42"/>
    </row>
    <row r="407" spans="4:16" x14ac:dyDescent="0.2">
      <c r="D407" s="38"/>
      <c r="E407" s="47"/>
      <c r="F407" s="42"/>
      <c r="G407" s="42"/>
      <c r="H407" s="42"/>
      <c r="I407" s="42"/>
      <c r="K407" s="43"/>
      <c r="L407" s="43"/>
      <c r="M407" s="42"/>
      <c r="N407" s="44"/>
      <c r="O407" s="42"/>
      <c r="P407" s="42"/>
    </row>
    <row r="408" spans="4:16" x14ac:dyDescent="0.2">
      <c r="D408" s="38"/>
      <c r="E408" s="47"/>
      <c r="F408" s="42"/>
      <c r="G408" s="42"/>
      <c r="H408" s="42"/>
      <c r="I408" s="42"/>
      <c r="K408" s="43"/>
      <c r="L408" s="43"/>
      <c r="M408" s="42"/>
      <c r="N408" s="44"/>
      <c r="O408" s="42"/>
      <c r="P408" s="42"/>
    </row>
    <row r="409" spans="4:16" x14ac:dyDescent="0.2">
      <c r="D409" s="38"/>
      <c r="E409" s="47"/>
      <c r="F409" s="42"/>
      <c r="G409" s="42"/>
      <c r="H409" s="42"/>
      <c r="I409" s="42"/>
      <c r="K409" s="43"/>
      <c r="L409" s="43"/>
      <c r="M409" s="42"/>
      <c r="N409" s="44"/>
      <c r="O409" s="42"/>
      <c r="P409" s="42"/>
    </row>
    <row r="410" spans="4:16" x14ac:dyDescent="0.2">
      <c r="D410" s="38"/>
      <c r="E410" s="47"/>
      <c r="F410" s="42"/>
      <c r="G410" s="42"/>
      <c r="H410" s="42"/>
      <c r="I410" s="42"/>
      <c r="K410" s="43"/>
      <c r="L410" s="43"/>
      <c r="M410" s="42"/>
      <c r="N410" s="44"/>
      <c r="O410" s="42"/>
      <c r="P410" s="42"/>
    </row>
    <row r="411" spans="4:16" x14ac:dyDescent="0.2">
      <c r="D411" s="38"/>
      <c r="E411" s="47"/>
      <c r="F411" s="42"/>
      <c r="G411" s="42"/>
      <c r="H411" s="42"/>
      <c r="I411" s="42"/>
      <c r="K411" s="43"/>
      <c r="L411" s="43"/>
      <c r="M411" s="42"/>
      <c r="N411" s="44"/>
      <c r="O411" s="42"/>
      <c r="P411" s="42"/>
    </row>
    <row r="412" spans="4:16" x14ac:dyDescent="0.2">
      <c r="D412" s="38"/>
      <c r="E412" s="47"/>
      <c r="F412" s="42"/>
      <c r="G412" s="42"/>
      <c r="H412" s="42"/>
      <c r="I412" s="42"/>
      <c r="K412" s="43"/>
      <c r="L412" s="43"/>
      <c r="M412" s="42"/>
      <c r="N412" s="44"/>
      <c r="O412" s="42"/>
      <c r="P412" s="42"/>
    </row>
    <row r="413" spans="4:16" x14ac:dyDescent="0.2">
      <c r="D413" s="38"/>
      <c r="E413" s="47"/>
      <c r="F413" s="42"/>
      <c r="G413" s="42"/>
      <c r="H413" s="42"/>
      <c r="I413" s="42"/>
      <c r="K413" s="43"/>
      <c r="L413" s="43"/>
      <c r="M413" s="42"/>
      <c r="N413" s="44"/>
      <c r="O413" s="42"/>
      <c r="P413" s="42"/>
    </row>
    <row r="414" spans="4:16" x14ac:dyDescent="0.2">
      <c r="D414" s="38"/>
      <c r="E414" s="47"/>
      <c r="F414" s="42"/>
      <c r="G414" s="42"/>
      <c r="H414" s="42"/>
      <c r="I414" s="42"/>
      <c r="K414" s="43"/>
      <c r="L414" s="43"/>
      <c r="M414" s="42"/>
      <c r="N414" s="44"/>
      <c r="O414" s="42"/>
      <c r="P414" s="42"/>
    </row>
    <row r="415" spans="4:16" x14ac:dyDescent="0.2">
      <c r="D415" s="38"/>
      <c r="E415" s="47"/>
      <c r="F415" s="42"/>
      <c r="G415" s="42"/>
      <c r="H415" s="42"/>
      <c r="I415" s="42"/>
      <c r="K415" s="43"/>
      <c r="L415" s="43"/>
      <c r="M415" s="42"/>
      <c r="N415" s="44"/>
      <c r="O415" s="42"/>
      <c r="P415" s="42"/>
    </row>
    <row r="416" spans="4:16" x14ac:dyDescent="0.2">
      <c r="D416" s="38"/>
      <c r="E416" s="47"/>
      <c r="F416" s="42"/>
      <c r="G416" s="42"/>
      <c r="H416" s="42"/>
      <c r="I416" s="42"/>
      <c r="K416" s="43"/>
      <c r="L416" s="43"/>
      <c r="M416" s="42"/>
      <c r="N416" s="44"/>
      <c r="O416" s="42"/>
      <c r="P416" s="42"/>
    </row>
    <row r="417" spans="4:16" x14ac:dyDescent="0.2">
      <c r="D417" s="38"/>
      <c r="E417" s="47"/>
      <c r="F417" s="42"/>
      <c r="G417" s="42"/>
      <c r="H417" s="42"/>
      <c r="I417" s="42"/>
      <c r="K417" s="43"/>
      <c r="L417" s="43"/>
      <c r="M417" s="42"/>
      <c r="N417" s="44"/>
      <c r="O417" s="42"/>
      <c r="P417" s="42"/>
    </row>
    <row r="418" spans="4:16" x14ac:dyDescent="0.2">
      <c r="D418" s="38"/>
      <c r="E418" s="47"/>
      <c r="F418" s="42"/>
      <c r="G418" s="42"/>
      <c r="H418" s="42"/>
      <c r="I418" s="42"/>
      <c r="K418" s="43"/>
      <c r="L418" s="43"/>
      <c r="M418" s="42"/>
      <c r="N418" s="44"/>
      <c r="O418" s="42"/>
      <c r="P418" s="42"/>
    </row>
    <row r="419" spans="4:16" x14ac:dyDescent="0.2">
      <c r="D419" s="38"/>
      <c r="E419" s="47"/>
      <c r="F419" s="42"/>
      <c r="G419" s="42"/>
      <c r="H419" s="42"/>
      <c r="I419" s="42"/>
      <c r="K419" s="43"/>
      <c r="L419" s="43"/>
      <c r="M419" s="42"/>
      <c r="N419" s="44"/>
      <c r="O419" s="42"/>
      <c r="P419" s="42"/>
    </row>
    <row r="420" spans="4:16" x14ac:dyDescent="0.2">
      <c r="D420" s="38"/>
      <c r="E420" s="47"/>
      <c r="F420" s="42"/>
      <c r="G420" s="42"/>
      <c r="H420" s="42"/>
      <c r="I420" s="42"/>
      <c r="K420" s="43"/>
      <c r="L420" s="43"/>
      <c r="M420" s="42"/>
      <c r="N420" s="44"/>
      <c r="O420" s="42"/>
      <c r="P420" s="42"/>
    </row>
    <row r="421" spans="4:16" x14ac:dyDescent="0.2">
      <c r="D421" s="38"/>
      <c r="E421" s="47"/>
      <c r="F421" s="42"/>
      <c r="G421" s="42"/>
      <c r="H421" s="42"/>
      <c r="I421" s="42"/>
      <c r="K421" s="43"/>
      <c r="L421" s="43"/>
      <c r="M421" s="42"/>
      <c r="N421" s="44"/>
      <c r="O421" s="42"/>
      <c r="P421" s="42"/>
    </row>
    <row r="422" spans="4:16" x14ac:dyDescent="0.2">
      <c r="D422" s="38"/>
      <c r="E422" s="47"/>
      <c r="F422" s="42"/>
      <c r="G422" s="42"/>
      <c r="H422" s="42"/>
      <c r="I422" s="42"/>
      <c r="K422" s="43"/>
      <c r="L422" s="43"/>
      <c r="M422" s="42"/>
      <c r="N422" s="44"/>
      <c r="O422" s="42"/>
      <c r="P422" s="42"/>
    </row>
    <row r="423" spans="4:16" x14ac:dyDescent="0.2">
      <c r="D423" s="38"/>
      <c r="E423" s="47"/>
      <c r="F423" s="42"/>
      <c r="G423" s="42"/>
      <c r="H423" s="42"/>
      <c r="I423" s="42"/>
      <c r="K423" s="43"/>
      <c r="L423" s="43"/>
      <c r="M423" s="42"/>
      <c r="N423" s="44"/>
      <c r="O423" s="42"/>
      <c r="P423" s="42"/>
    </row>
    <row r="424" spans="4:16" x14ac:dyDescent="0.2">
      <c r="D424" s="38"/>
      <c r="E424" s="47"/>
      <c r="F424" s="42"/>
      <c r="G424" s="42"/>
      <c r="H424" s="42"/>
      <c r="I424" s="42"/>
      <c r="K424" s="43"/>
      <c r="L424" s="43"/>
      <c r="M424" s="42"/>
      <c r="N424" s="44"/>
      <c r="O424" s="42"/>
      <c r="P424" s="42"/>
    </row>
    <row r="425" spans="4:16" x14ac:dyDescent="0.2">
      <c r="D425" s="38"/>
      <c r="E425" s="47"/>
      <c r="F425" s="42"/>
      <c r="G425" s="42"/>
      <c r="H425" s="42"/>
      <c r="I425" s="42"/>
      <c r="K425" s="43"/>
      <c r="L425" s="43"/>
      <c r="M425" s="42"/>
      <c r="N425" s="44"/>
      <c r="O425" s="42"/>
      <c r="P425" s="42"/>
    </row>
    <row r="426" spans="4:16" x14ac:dyDescent="0.2">
      <c r="D426" s="38"/>
      <c r="E426" s="47"/>
      <c r="F426" s="42"/>
      <c r="G426" s="42"/>
      <c r="H426" s="42"/>
      <c r="I426" s="42"/>
      <c r="K426" s="43"/>
      <c r="L426" s="43"/>
      <c r="M426" s="42"/>
      <c r="N426" s="44"/>
      <c r="O426" s="42"/>
      <c r="P426" s="42"/>
    </row>
    <row r="427" spans="4:16" x14ac:dyDescent="0.2">
      <c r="D427" s="38"/>
      <c r="E427" s="47"/>
      <c r="F427" s="42"/>
      <c r="G427" s="42"/>
      <c r="H427" s="42"/>
      <c r="I427" s="42"/>
      <c r="K427" s="43"/>
      <c r="L427" s="43"/>
      <c r="M427" s="42"/>
      <c r="N427" s="44"/>
      <c r="O427" s="42"/>
      <c r="P427" s="42"/>
    </row>
    <row r="428" spans="4:16" x14ac:dyDescent="0.2">
      <c r="D428" s="38"/>
      <c r="E428" s="47"/>
      <c r="F428" s="42"/>
      <c r="G428" s="42"/>
      <c r="H428" s="42"/>
      <c r="I428" s="42"/>
      <c r="K428" s="43"/>
      <c r="L428" s="43"/>
      <c r="M428" s="42"/>
      <c r="N428" s="44"/>
      <c r="O428" s="42"/>
      <c r="P428" s="42"/>
    </row>
    <row r="429" spans="4:16" x14ac:dyDescent="0.2">
      <c r="D429" s="38"/>
      <c r="E429" s="47"/>
      <c r="F429" s="42"/>
      <c r="G429" s="42"/>
      <c r="H429" s="42"/>
      <c r="I429" s="42"/>
      <c r="K429" s="43"/>
      <c r="L429" s="43"/>
      <c r="M429" s="42"/>
      <c r="N429" s="44"/>
      <c r="O429" s="42"/>
      <c r="P429" s="42"/>
    </row>
    <row r="430" spans="4:16" x14ac:dyDescent="0.2">
      <c r="D430" s="38"/>
      <c r="E430" s="47"/>
      <c r="F430" s="42"/>
      <c r="G430" s="42"/>
      <c r="H430" s="42"/>
      <c r="I430" s="42"/>
      <c r="K430" s="43"/>
      <c r="L430" s="43"/>
      <c r="M430" s="42"/>
      <c r="N430" s="44"/>
      <c r="O430" s="42"/>
      <c r="P430" s="42"/>
    </row>
    <row r="431" spans="4:16" x14ac:dyDescent="0.2">
      <c r="D431" s="38"/>
      <c r="E431" s="47"/>
      <c r="F431" s="42"/>
      <c r="G431" s="42"/>
      <c r="H431" s="42"/>
      <c r="I431" s="42"/>
      <c r="K431" s="43"/>
      <c r="L431" s="43"/>
      <c r="M431" s="42"/>
      <c r="N431" s="44"/>
      <c r="O431" s="42"/>
      <c r="P431" s="42"/>
    </row>
    <row r="432" spans="4:16" x14ac:dyDescent="0.2">
      <c r="D432" s="38"/>
      <c r="E432" s="47"/>
      <c r="F432" s="42"/>
      <c r="G432" s="42"/>
      <c r="H432" s="42"/>
      <c r="I432" s="42"/>
      <c r="K432" s="43"/>
      <c r="L432" s="43"/>
      <c r="M432" s="42"/>
      <c r="N432" s="44"/>
      <c r="O432" s="42"/>
      <c r="P432" s="42"/>
    </row>
    <row r="433" spans="4:16" x14ac:dyDescent="0.2">
      <c r="D433" s="38"/>
      <c r="E433" s="47"/>
      <c r="F433" s="42"/>
      <c r="G433" s="42"/>
      <c r="H433" s="42"/>
      <c r="I433" s="42"/>
      <c r="K433" s="43"/>
      <c r="L433" s="43"/>
      <c r="M433" s="42"/>
      <c r="N433" s="44"/>
      <c r="O433" s="42"/>
      <c r="P433" s="42"/>
    </row>
    <row r="434" spans="4:16" x14ac:dyDescent="0.2">
      <c r="D434" s="38"/>
      <c r="E434" s="47"/>
      <c r="F434" s="42"/>
      <c r="G434" s="42"/>
      <c r="H434" s="42"/>
      <c r="I434" s="42"/>
      <c r="K434" s="43"/>
      <c r="L434" s="43"/>
      <c r="M434" s="42"/>
      <c r="N434" s="44"/>
      <c r="O434" s="42"/>
      <c r="P434" s="42"/>
    </row>
    <row r="435" spans="4:16" x14ac:dyDescent="0.2">
      <c r="D435" s="38"/>
      <c r="E435" s="47"/>
      <c r="F435" s="42"/>
      <c r="G435" s="42"/>
      <c r="H435" s="42"/>
      <c r="I435" s="42"/>
      <c r="K435" s="43"/>
      <c r="L435" s="43"/>
      <c r="M435" s="42"/>
      <c r="N435" s="44"/>
      <c r="O435" s="42"/>
      <c r="P435" s="42"/>
    </row>
    <row r="436" spans="4:16" x14ac:dyDescent="0.2">
      <c r="D436" s="38"/>
      <c r="E436" s="47"/>
      <c r="F436" s="42"/>
      <c r="G436" s="42"/>
      <c r="H436" s="42"/>
      <c r="I436" s="42"/>
      <c r="K436" s="43"/>
      <c r="L436" s="43"/>
      <c r="M436" s="42"/>
      <c r="N436" s="44"/>
      <c r="O436" s="42"/>
      <c r="P436" s="42"/>
    </row>
    <row r="437" spans="4:16" x14ac:dyDescent="0.2">
      <c r="D437" s="38"/>
      <c r="E437" s="47"/>
      <c r="F437" s="42"/>
      <c r="G437" s="42"/>
      <c r="H437" s="42"/>
      <c r="I437" s="42"/>
      <c r="K437" s="43"/>
      <c r="L437" s="43"/>
      <c r="M437" s="42"/>
      <c r="N437" s="44"/>
      <c r="O437" s="42"/>
      <c r="P437" s="42"/>
    </row>
    <row r="438" spans="4:16" x14ac:dyDescent="0.2">
      <c r="D438" s="38"/>
      <c r="E438" s="47"/>
      <c r="F438" s="42"/>
      <c r="G438" s="42"/>
      <c r="H438" s="42"/>
      <c r="I438" s="42"/>
      <c r="K438" s="43"/>
      <c r="L438" s="43"/>
      <c r="M438" s="42"/>
      <c r="N438" s="44"/>
      <c r="O438" s="42"/>
      <c r="P438" s="42"/>
    </row>
    <row r="439" spans="4:16" x14ac:dyDescent="0.2">
      <c r="D439" s="38"/>
      <c r="E439" s="47"/>
      <c r="F439" s="42"/>
      <c r="G439" s="42"/>
      <c r="H439" s="42"/>
      <c r="I439" s="42"/>
      <c r="K439" s="43"/>
      <c r="L439" s="43"/>
      <c r="M439" s="42"/>
      <c r="N439" s="44"/>
      <c r="O439" s="42"/>
      <c r="P439" s="42"/>
    </row>
    <row r="440" spans="4:16" x14ac:dyDescent="0.2">
      <c r="D440" s="38"/>
      <c r="E440" s="47"/>
      <c r="F440" s="42"/>
      <c r="G440" s="42"/>
      <c r="H440" s="42"/>
      <c r="I440" s="42"/>
      <c r="K440" s="43"/>
      <c r="L440" s="43"/>
      <c r="M440" s="42"/>
      <c r="N440" s="44"/>
      <c r="O440" s="42"/>
      <c r="P440" s="42"/>
    </row>
    <row r="441" spans="4:16" x14ac:dyDescent="0.2">
      <c r="D441" s="38"/>
      <c r="E441" s="47"/>
      <c r="F441" s="42"/>
      <c r="G441" s="42"/>
      <c r="H441" s="42"/>
      <c r="I441" s="42"/>
      <c r="K441" s="43"/>
      <c r="L441" s="43"/>
      <c r="M441" s="42"/>
      <c r="N441" s="44"/>
      <c r="O441" s="42"/>
      <c r="P441" s="42"/>
    </row>
    <row r="442" spans="4:16" x14ac:dyDescent="0.2">
      <c r="D442" s="38"/>
      <c r="E442" s="47"/>
      <c r="F442" s="42"/>
      <c r="G442" s="42"/>
      <c r="H442" s="42"/>
      <c r="I442" s="42"/>
      <c r="K442" s="43"/>
      <c r="L442" s="43"/>
      <c r="M442" s="42"/>
      <c r="N442" s="44"/>
      <c r="O442" s="42"/>
      <c r="P442" s="42"/>
    </row>
    <row r="443" spans="4:16" x14ac:dyDescent="0.2">
      <c r="D443" s="38"/>
      <c r="E443" s="47"/>
      <c r="F443" s="42"/>
      <c r="G443" s="42"/>
      <c r="H443" s="42"/>
      <c r="I443" s="42"/>
      <c r="K443" s="43"/>
      <c r="L443" s="43"/>
      <c r="M443" s="42"/>
      <c r="N443" s="44"/>
      <c r="O443" s="42"/>
      <c r="P443" s="42"/>
    </row>
    <row r="444" spans="4:16" x14ac:dyDescent="0.2">
      <c r="D444" s="38"/>
      <c r="E444" s="47"/>
      <c r="F444" s="42"/>
      <c r="G444" s="42"/>
      <c r="H444" s="42"/>
      <c r="I444" s="42"/>
      <c r="K444" s="43"/>
      <c r="L444" s="43"/>
      <c r="M444" s="42"/>
      <c r="N444" s="44"/>
      <c r="O444" s="42"/>
      <c r="P444" s="42"/>
    </row>
    <row r="445" spans="4:16" x14ac:dyDescent="0.2">
      <c r="D445" s="38"/>
      <c r="E445" s="47"/>
      <c r="F445" s="42"/>
      <c r="G445" s="42"/>
      <c r="H445" s="42"/>
      <c r="I445" s="42"/>
      <c r="K445" s="43"/>
      <c r="L445" s="43"/>
      <c r="M445" s="42"/>
      <c r="N445" s="44"/>
      <c r="O445" s="42"/>
      <c r="P445" s="42"/>
    </row>
    <row r="446" spans="4:16" x14ac:dyDescent="0.2">
      <c r="D446" s="38"/>
      <c r="E446" s="47"/>
      <c r="F446" s="42"/>
      <c r="G446" s="42"/>
      <c r="H446" s="42"/>
      <c r="I446" s="42"/>
      <c r="K446" s="43"/>
      <c r="L446" s="43"/>
      <c r="M446" s="42"/>
      <c r="N446" s="44"/>
      <c r="O446" s="42"/>
      <c r="P446" s="42"/>
    </row>
    <row r="447" spans="4:16" x14ac:dyDescent="0.2">
      <c r="D447" s="38"/>
      <c r="E447" s="47"/>
      <c r="F447" s="42"/>
      <c r="G447" s="42"/>
      <c r="H447" s="42"/>
      <c r="I447" s="42"/>
      <c r="K447" s="43"/>
      <c r="L447" s="43"/>
      <c r="M447" s="42"/>
      <c r="N447" s="44"/>
      <c r="O447" s="42"/>
      <c r="P447" s="42"/>
    </row>
    <row r="448" spans="4:16" x14ac:dyDescent="0.2">
      <c r="D448" s="38"/>
      <c r="E448" s="47"/>
      <c r="F448" s="42"/>
      <c r="G448" s="42"/>
      <c r="H448" s="42"/>
      <c r="I448" s="42"/>
      <c r="K448" s="43"/>
      <c r="L448" s="43"/>
      <c r="M448" s="42"/>
      <c r="N448" s="44"/>
      <c r="O448" s="42"/>
      <c r="P448" s="42"/>
    </row>
    <row r="449" spans="4:16" x14ac:dyDescent="0.2">
      <c r="D449" s="38"/>
      <c r="E449" s="47"/>
      <c r="F449" s="42"/>
      <c r="G449" s="42"/>
      <c r="H449" s="42"/>
      <c r="I449" s="42"/>
      <c r="K449" s="43"/>
      <c r="L449" s="43"/>
      <c r="M449" s="42"/>
      <c r="N449" s="44"/>
      <c r="O449" s="42"/>
      <c r="P449" s="42"/>
    </row>
    <row r="450" spans="4:16" x14ac:dyDescent="0.2">
      <c r="D450" s="38"/>
      <c r="E450" s="47"/>
      <c r="F450" s="42"/>
      <c r="G450" s="42"/>
      <c r="H450" s="42"/>
      <c r="I450" s="42"/>
      <c r="K450" s="43"/>
      <c r="L450" s="43"/>
      <c r="M450" s="42"/>
      <c r="N450" s="44"/>
      <c r="O450" s="42"/>
      <c r="P450" s="42"/>
    </row>
    <row r="451" spans="4:16" x14ac:dyDescent="0.2">
      <c r="D451" s="38"/>
      <c r="E451" s="47"/>
      <c r="F451" s="42"/>
      <c r="G451" s="42"/>
      <c r="H451" s="42"/>
      <c r="I451" s="42"/>
      <c r="K451" s="43"/>
      <c r="L451" s="43"/>
      <c r="M451" s="42"/>
      <c r="N451" s="44"/>
      <c r="O451" s="42"/>
      <c r="P451" s="42"/>
    </row>
    <row r="452" spans="4:16" x14ac:dyDescent="0.2">
      <c r="D452" s="38"/>
      <c r="E452" s="47"/>
      <c r="F452" s="42"/>
      <c r="G452" s="42"/>
      <c r="H452" s="42"/>
      <c r="I452" s="42"/>
      <c r="K452" s="43"/>
      <c r="L452" s="43"/>
      <c r="M452" s="42"/>
      <c r="N452" s="44"/>
      <c r="O452" s="42"/>
      <c r="P452" s="42"/>
    </row>
    <row r="453" spans="4:16" x14ac:dyDescent="0.2">
      <c r="D453" s="38"/>
      <c r="E453" s="47"/>
      <c r="F453" s="42"/>
      <c r="G453" s="42"/>
      <c r="H453" s="42"/>
      <c r="I453" s="42"/>
      <c r="K453" s="43"/>
      <c r="L453" s="43"/>
      <c r="M453" s="42"/>
      <c r="N453" s="44"/>
      <c r="O453" s="42"/>
      <c r="P453" s="42"/>
    </row>
    <row r="454" spans="4:16" x14ac:dyDescent="0.2">
      <c r="D454" s="38"/>
      <c r="E454" s="47"/>
      <c r="F454" s="42"/>
      <c r="G454" s="42"/>
      <c r="H454" s="42"/>
      <c r="I454" s="42"/>
      <c r="K454" s="43"/>
      <c r="L454" s="43"/>
      <c r="M454" s="42"/>
      <c r="N454" s="44"/>
      <c r="O454" s="42"/>
      <c r="P454" s="42"/>
    </row>
    <row r="455" spans="4:16" x14ac:dyDescent="0.2">
      <c r="D455" s="38"/>
      <c r="E455" s="47"/>
      <c r="F455" s="42"/>
      <c r="G455" s="42"/>
      <c r="H455" s="42"/>
      <c r="I455" s="42"/>
      <c r="K455" s="43"/>
      <c r="L455" s="43"/>
      <c r="M455" s="42"/>
      <c r="N455" s="44"/>
      <c r="O455" s="42"/>
      <c r="P455" s="42"/>
    </row>
  </sheetData>
  <autoFilter ref="A3:AX52" xr:uid="{258AE831-9D13-472B-8D03-BA8C852EDB21}">
    <filterColumn colId="19" showButton="0"/>
    <filterColumn colId="20" showButton="0"/>
    <filterColumn colId="21" showButton="0"/>
    <filterColumn colId="22" showButton="0"/>
    <filterColumn colId="23" showButton="0"/>
  </autoFilter>
  <mergeCells count="2">
    <mergeCell ref="T3:Y3"/>
    <mergeCell ref="AA1:AC2"/>
  </mergeCells>
  <phoneticPr fontId="8" type="noConversion"/>
  <conditionalFormatting sqref="A4:R52">
    <cfRule type="expression" dxfId="5" priority="19">
      <formula>$AB4</formula>
    </cfRule>
    <cfRule type="expression" dxfId="4" priority="18">
      <formula>$AC4</formula>
    </cfRule>
    <cfRule type="expression" dxfId="3" priority="20">
      <formula>$AA4</formula>
    </cfRule>
  </conditionalFormatting>
  <dataValidations count="10">
    <dataValidation type="list" allowBlank="1" showInputMessage="1" showErrorMessage="1" sqref="H453:H455 H4:H52 G53:G455 L4:M455 P4:P455" xr:uid="{00000000-0002-0000-0200-000000000000}">
      <formula1>$X$4:$X$5</formula1>
    </dataValidation>
    <dataValidation type="list" allowBlank="1" showInputMessage="1" showErrorMessage="1" sqref="F39:F455" xr:uid="{00000000-0002-0000-0200-000001000000}">
      <formula1>$T$4:$T$6</formula1>
    </dataValidation>
    <dataValidation type="list" allowBlank="1" showInputMessage="1" showErrorMessage="1" sqref="H53:H452" xr:uid="{00000000-0002-0000-0200-000002000000}">
      <formula1>$U$4:$U$8</formula1>
    </dataValidation>
    <dataValidation type="list" allowBlank="1" showInputMessage="1" showErrorMessage="1" sqref="I53:I455" xr:uid="{00000000-0002-0000-0200-000003000000}">
      <formula1>$V$4:$V$7</formula1>
    </dataValidation>
    <dataValidation type="list" allowBlank="1" showInputMessage="1" showErrorMessage="1" sqref="N4:N15 N17:N455" xr:uid="{00000000-0002-0000-0200-000004000000}">
      <formula1>$Y$4:$Y$5</formula1>
    </dataValidation>
    <dataValidation type="list" allowBlank="1" showInputMessage="1" showErrorMessage="1" sqref="K4:K455" xr:uid="{00000000-0002-0000-0200-000005000000}">
      <formula1>$W$4:$W$6</formula1>
    </dataValidation>
    <dataValidation type="list" allowBlank="1" showInputMessage="1" showErrorMessage="1" sqref="F4:F38" xr:uid="{00000000-0002-0000-0200-000006000000}">
      <formula1>$T$4:$T$7</formula1>
    </dataValidation>
    <dataValidation type="list" allowBlank="1" showInputMessage="1" showErrorMessage="1" sqref="G4:G52" xr:uid="{F09B3EE7-BE53-4727-9DB7-952B05736442}">
      <formula1>$U$4:$U$9</formula1>
    </dataValidation>
    <dataValidation type="list" allowBlank="1" showInputMessage="1" showErrorMessage="1" sqref="N16" xr:uid="{2F364108-12ED-47FC-93E3-BA8D36DFC344}">
      <formula1>$Y$4:$Y$6</formula1>
    </dataValidation>
    <dataValidation type="list" allowBlank="1" showInputMessage="1" showErrorMessage="1" sqref="I4:I52" xr:uid="{76AC8553-9C13-4EAB-AB77-DC4B9F775ABC}">
      <formula1>$V$4:$V$8</formula1>
    </dataValidation>
  </dataValidations>
  <pageMargins left="0.75" right="0.75" top="1" bottom="1" header="0.5" footer="0.5"/>
  <pageSetup paperSize="9" scale="37" fitToHeight="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57"/>
  <sheetViews>
    <sheetView zoomScaleNormal="100" workbookViewId="0">
      <pane ySplit="1" topLeftCell="A23" activePane="bottomLeft" state="frozen"/>
      <selection pane="bottomLeft" activeCell="D49" sqref="D49:D50"/>
    </sheetView>
  </sheetViews>
  <sheetFormatPr defaultRowHeight="12.75" x14ac:dyDescent="0.2"/>
  <cols>
    <col min="1" max="1" width="35" style="74" customWidth="1"/>
    <col min="2" max="2" width="57.42578125" style="74" customWidth="1"/>
    <col min="3" max="3" width="14.7109375" style="74" customWidth="1"/>
    <col min="4" max="4" width="31.140625" style="74" customWidth="1"/>
    <col min="5" max="5" width="14.5703125" style="74" customWidth="1"/>
    <col min="6" max="6" width="26.85546875" style="74" customWidth="1"/>
    <col min="7" max="7" width="54.28515625" style="74" customWidth="1"/>
    <col min="8" max="8" width="11.28515625" style="74" customWidth="1"/>
    <col min="9" max="9" width="13.5703125" style="74" customWidth="1"/>
    <col min="10" max="10" width="16.7109375" style="74" customWidth="1"/>
    <col min="11" max="16384" width="9.140625" style="74"/>
  </cols>
  <sheetData>
    <row r="1" spans="1:12" s="70" customFormat="1" ht="26.25" thickBot="1" x14ac:dyDescent="0.25">
      <c r="A1" s="69" t="s">
        <v>47</v>
      </c>
      <c r="B1" s="101" t="s">
        <v>48</v>
      </c>
      <c r="C1" s="102" t="s">
        <v>237</v>
      </c>
      <c r="D1" s="101" t="s">
        <v>49</v>
      </c>
      <c r="E1" s="102" t="s">
        <v>5</v>
      </c>
      <c r="F1" s="101" t="s">
        <v>50</v>
      </c>
      <c r="G1" s="101" t="s">
        <v>51</v>
      </c>
    </row>
    <row r="2" spans="1:12" ht="15" customHeight="1" thickTop="1" x14ac:dyDescent="0.2">
      <c r="A2" s="95" t="s">
        <v>164</v>
      </c>
      <c r="B2" s="95" t="s">
        <v>159</v>
      </c>
      <c r="C2" s="111" t="str">
        <f>Requirements_Analysis!F4</f>
        <v>Reviewed</v>
      </c>
      <c r="D2" s="95" t="str">
        <f>Requirements_Analysis!D4</f>
        <v>REQ_M4_SCST_01</v>
      </c>
      <c r="E2" s="95" t="str">
        <f>Requirements_Analysis!N4</f>
        <v>Review</v>
      </c>
      <c r="F2" s="100" t="s">
        <v>161</v>
      </c>
      <c r="G2" s="100" t="s">
        <v>43</v>
      </c>
      <c r="I2" s="74" t="b">
        <f>IF(AND(NOT(ISBLANK(D2)),NOT(EXACT(C2,"Canceled"))),IF(EXACT(E2,"Review"),NOT(ISBLANK(G2)),"Not relevant"),"Not relevant")</f>
        <v>1</v>
      </c>
      <c r="J2" s="74" t="str">
        <f>IF(AND(NOT(ISBLANK(D2)),NOT(EXACT(C2,"Canceled"))),IF(EXACT(E2,"Test case"),NOT(ISBLANK(F2)),"Not relevant"),"Not relevant")</f>
        <v>Not relevant</v>
      </c>
      <c r="K2" s="74" t="b">
        <f>OR(EXACT(I2,"FALSE"),EXACT(J2,"FALSE"))</f>
        <v>0</v>
      </c>
      <c r="L2" s="74" t="b">
        <f t="shared" ref="L2:L49" si="0">IF(OR(NOT(ISBLANK(D2)),NOT(EXACT(C2,"Canceled"))),OR(ISBLANK(B2),ISBLANK(A2)),"FALSE")</f>
        <v>0</v>
      </c>
    </row>
    <row r="3" spans="1:12" x14ac:dyDescent="0.2">
      <c r="A3" s="99" t="s">
        <v>165</v>
      </c>
      <c r="B3" s="103" t="s">
        <v>160</v>
      </c>
      <c r="C3" s="99" t="str">
        <f>Requirements_Analysis!F5</f>
        <v>Reviewed</v>
      </c>
      <c r="D3" s="98" t="str">
        <f>Requirements_Analysis!D5</f>
        <v>REQ_M4_SCST_02</v>
      </c>
      <c r="E3" s="98" t="str">
        <f>Requirements_Analysis!N5</f>
        <v>Test case</v>
      </c>
      <c r="F3" s="98" t="s">
        <v>173</v>
      </c>
      <c r="G3" s="98"/>
      <c r="I3" s="74" t="str">
        <f t="shared" ref="I3:I50" si="1">IF(AND(NOT(ISBLANK(D3)),NOT(EXACT(C3,"Canceled"))),IF(EXACT(E3,"Review"),NOT(ISBLANK(G3)),"Not relevant"),"Not relevant")</f>
        <v>Not relevant</v>
      </c>
      <c r="J3" s="74" t="b">
        <f t="shared" ref="J3:J50" si="2">IF(AND(NOT(ISBLANK(D3)),NOT(EXACT(C3,"Canceled"))),IF(EXACT(E3,"Test case"),NOT(ISBLANK(F3)),"Not relevant"),"Not relevant")</f>
        <v>1</v>
      </c>
      <c r="K3" s="74" t="b">
        <f t="shared" ref="K3:K5" si="3">OR(EXACT(I3,"FALSE"),EXACT(J3,"FALSE"))</f>
        <v>0</v>
      </c>
      <c r="L3" s="74" t="b">
        <f t="shared" si="0"/>
        <v>0</v>
      </c>
    </row>
    <row r="4" spans="1:12" x14ac:dyDescent="0.2">
      <c r="A4" s="99" t="s">
        <v>165</v>
      </c>
      <c r="B4" s="97" t="s">
        <v>161</v>
      </c>
      <c r="C4" s="99" t="str">
        <f>Requirements_Analysis!F6</f>
        <v>Reviewed</v>
      </c>
      <c r="D4" s="98" t="str">
        <f>Requirements_Analysis!D6</f>
        <v>REQ_M4_SCST_03</v>
      </c>
      <c r="E4" s="98" t="str">
        <f>Requirements_Analysis!N6</f>
        <v>Test case</v>
      </c>
      <c r="F4" s="98" t="s">
        <v>174</v>
      </c>
      <c r="G4" s="98"/>
      <c r="I4" s="74" t="str">
        <f t="shared" si="1"/>
        <v>Not relevant</v>
      </c>
      <c r="J4" s="74" t="b">
        <f t="shared" si="2"/>
        <v>1</v>
      </c>
      <c r="K4" s="74" t="b">
        <f t="shared" si="3"/>
        <v>0</v>
      </c>
      <c r="L4" s="74" t="b">
        <f t="shared" si="0"/>
        <v>0</v>
      </c>
    </row>
    <row r="5" spans="1:12" x14ac:dyDescent="0.2">
      <c r="A5" s="98" t="s">
        <v>166</v>
      </c>
      <c r="B5" s="97" t="s">
        <v>161</v>
      </c>
      <c r="C5" s="99" t="str">
        <f>Requirements_Analysis!F7</f>
        <v>Reviewed</v>
      </c>
      <c r="D5" s="98" t="str">
        <f>Requirements_Analysis!D7</f>
        <v>REQ_M4_SCST_04</v>
      </c>
      <c r="E5" s="98" t="str">
        <f>Requirements_Analysis!N7</f>
        <v>Test case</v>
      </c>
      <c r="F5" s="99" t="s">
        <v>175</v>
      </c>
      <c r="G5" s="98"/>
      <c r="I5" s="74" t="str">
        <f t="shared" si="1"/>
        <v>Not relevant</v>
      </c>
      <c r="J5" s="74" t="b">
        <f t="shared" si="2"/>
        <v>1</v>
      </c>
      <c r="K5" s="74" t="b">
        <f t="shared" si="3"/>
        <v>0</v>
      </c>
      <c r="L5" s="74" t="b">
        <f t="shared" si="0"/>
        <v>0</v>
      </c>
    </row>
    <row r="6" spans="1:12" x14ac:dyDescent="0.2">
      <c r="A6" s="99" t="s">
        <v>165</v>
      </c>
      <c r="B6" s="97" t="s">
        <v>161</v>
      </c>
      <c r="C6" s="99" t="str">
        <f>Requirements_Analysis!F8</f>
        <v>Reviewed</v>
      </c>
      <c r="D6" s="98" t="str">
        <f>Requirements_Analysis!D8</f>
        <v>REQ_M4_SCST_05</v>
      </c>
      <c r="E6" s="98" t="str">
        <f>Requirements_Analysis!N8</f>
        <v>Test case</v>
      </c>
      <c r="F6" s="97" t="s">
        <v>175</v>
      </c>
      <c r="G6" s="98"/>
      <c r="I6" s="74" t="str">
        <f t="shared" si="1"/>
        <v>Not relevant</v>
      </c>
      <c r="J6" s="74" t="b">
        <f t="shared" si="2"/>
        <v>1</v>
      </c>
      <c r="K6" s="74" t="b">
        <f t="shared" ref="K6:K13" si="4">OR(EXACT(I6,"FALSE"),EXACT(J6,"FALSE"))</f>
        <v>0</v>
      </c>
      <c r="L6" s="74" t="b">
        <f t="shared" si="0"/>
        <v>0</v>
      </c>
    </row>
    <row r="7" spans="1:12" x14ac:dyDescent="0.2">
      <c r="A7" s="99" t="s">
        <v>165</v>
      </c>
      <c r="B7" s="97" t="s">
        <v>161</v>
      </c>
      <c r="C7" s="99" t="str">
        <f>Requirements_Analysis!F9</f>
        <v>Reviewed</v>
      </c>
      <c r="D7" s="98" t="str">
        <f>Requirements_Analysis!D9</f>
        <v>REQ_M4_SCST_06</v>
      </c>
      <c r="E7" s="98" t="str">
        <f>Requirements_Analysis!N9</f>
        <v>Test case</v>
      </c>
      <c r="F7" s="99" t="s">
        <v>176</v>
      </c>
      <c r="G7" s="98"/>
      <c r="I7" s="74" t="str">
        <f t="shared" si="1"/>
        <v>Not relevant</v>
      </c>
      <c r="J7" s="74" t="b">
        <f t="shared" si="2"/>
        <v>1</v>
      </c>
      <c r="K7" s="74" t="b">
        <f t="shared" si="4"/>
        <v>0</v>
      </c>
      <c r="L7" s="74" t="b">
        <f t="shared" si="0"/>
        <v>0</v>
      </c>
    </row>
    <row r="8" spans="1:12" ht="25.5" x14ac:dyDescent="0.2">
      <c r="A8" s="97" t="s">
        <v>167</v>
      </c>
      <c r="B8" s="97" t="s">
        <v>161</v>
      </c>
      <c r="C8" s="99" t="str">
        <f>Requirements_Analysis!F10</f>
        <v>Reviewed</v>
      </c>
      <c r="D8" s="98" t="str">
        <f>Requirements_Analysis!D10</f>
        <v>REQ_M4_SCST_07</v>
      </c>
      <c r="E8" s="98" t="str">
        <f>Requirements_Analysis!N10</f>
        <v>Review</v>
      </c>
      <c r="F8" s="99" t="s">
        <v>161</v>
      </c>
      <c r="G8" s="99" t="s">
        <v>43</v>
      </c>
      <c r="I8" s="74" t="b">
        <f t="shared" si="1"/>
        <v>1</v>
      </c>
      <c r="J8" s="74" t="str">
        <f t="shared" si="2"/>
        <v>Not relevant</v>
      </c>
      <c r="K8" s="74" t="b">
        <f t="shared" si="4"/>
        <v>0</v>
      </c>
      <c r="L8" s="74" t="b">
        <f t="shared" si="0"/>
        <v>0</v>
      </c>
    </row>
    <row r="9" spans="1:12" ht="51" x14ac:dyDescent="0.2">
      <c r="A9" s="97" t="s">
        <v>168</v>
      </c>
      <c r="B9" s="97" t="s">
        <v>161</v>
      </c>
      <c r="C9" s="99" t="str">
        <f>Requirements_Analysis!F11</f>
        <v>Reviewed</v>
      </c>
      <c r="D9" s="98" t="str">
        <f>Requirements_Analysis!D11</f>
        <v>REQ_M4_SCST_08</v>
      </c>
      <c r="E9" s="98" t="str">
        <f>Requirements_Analysis!N11</f>
        <v>Test case</v>
      </c>
      <c r="F9" s="96" t="s">
        <v>187</v>
      </c>
      <c r="G9" s="98"/>
      <c r="I9" s="74" t="str">
        <f t="shared" si="1"/>
        <v>Not relevant</v>
      </c>
      <c r="J9" s="74" t="b">
        <f t="shared" si="2"/>
        <v>1</v>
      </c>
      <c r="K9" s="74" t="b">
        <f t="shared" si="4"/>
        <v>0</v>
      </c>
      <c r="L9" s="74" t="b">
        <f t="shared" si="0"/>
        <v>0</v>
      </c>
    </row>
    <row r="10" spans="1:12" ht="25.5" x14ac:dyDescent="0.2">
      <c r="A10" s="98" t="s">
        <v>169</v>
      </c>
      <c r="B10" s="97" t="s">
        <v>162</v>
      </c>
      <c r="C10" s="99" t="str">
        <f>Requirements_Analysis!F12</f>
        <v>Reviewed</v>
      </c>
      <c r="D10" s="98" t="str">
        <f>Requirements_Analysis!D12</f>
        <v>REQ_M4_SCST_09</v>
      </c>
      <c r="E10" s="98" t="str">
        <f>Requirements_Analysis!N12</f>
        <v>Test case</v>
      </c>
      <c r="F10" s="96" t="s">
        <v>190</v>
      </c>
      <c r="G10" s="98"/>
      <c r="I10" s="74" t="str">
        <f t="shared" si="1"/>
        <v>Not relevant</v>
      </c>
      <c r="J10" s="74" t="b">
        <f t="shared" si="2"/>
        <v>1</v>
      </c>
      <c r="K10" s="74" t="b">
        <f t="shared" si="4"/>
        <v>0</v>
      </c>
      <c r="L10" s="74" t="b">
        <f t="shared" si="0"/>
        <v>0</v>
      </c>
    </row>
    <row r="11" spans="1:12" ht="25.5" x14ac:dyDescent="0.2">
      <c r="A11" s="97" t="s">
        <v>170</v>
      </c>
      <c r="B11" s="97" t="s">
        <v>161</v>
      </c>
      <c r="C11" s="99" t="str">
        <f>Requirements_Analysis!F13</f>
        <v>Reviewed</v>
      </c>
      <c r="D11" s="98" t="str">
        <f>Requirements_Analysis!D13</f>
        <v>REQ_M4_SCST_10</v>
      </c>
      <c r="E11" s="98" t="str">
        <f>Requirements_Analysis!N13</f>
        <v>Test case</v>
      </c>
      <c r="F11" s="96" t="s">
        <v>188</v>
      </c>
      <c r="G11" s="98"/>
      <c r="I11" s="74" t="str">
        <f t="shared" si="1"/>
        <v>Not relevant</v>
      </c>
      <c r="J11" s="74" t="b">
        <f t="shared" si="2"/>
        <v>1</v>
      </c>
      <c r="K11" s="74" t="b">
        <f t="shared" si="4"/>
        <v>0</v>
      </c>
      <c r="L11" s="74" t="b">
        <f t="shared" si="0"/>
        <v>0</v>
      </c>
    </row>
    <row r="12" spans="1:12" ht="38.25" x14ac:dyDescent="0.2">
      <c r="A12" s="96" t="s">
        <v>170</v>
      </c>
      <c r="B12" s="97" t="s">
        <v>161</v>
      </c>
      <c r="C12" s="99" t="str">
        <f>Requirements_Analysis!F14</f>
        <v>Reviewed</v>
      </c>
      <c r="D12" s="98" t="str">
        <f>Requirements_Analysis!D14</f>
        <v>REQ_M4_SCST_11</v>
      </c>
      <c r="E12" s="98" t="str">
        <f>Requirements_Analysis!N14</f>
        <v>Test case</v>
      </c>
      <c r="F12" s="96" t="s">
        <v>189</v>
      </c>
      <c r="G12" s="98"/>
      <c r="I12" s="74" t="str">
        <f t="shared" si="1"/>
        <v>Not relevant</v>
      </c>
      <c r="J12" s="74" t="b">
        <f t="shared" si="2"/>
        <v>1</v>
      </c>
      <c r="K12" s="74" t="b">
        <f t="shared" si="4"/>
        <v>0</v>
      </c>
      <c r="L12" s="74" t="b">
        <f t="shared" si="0"/>
        <v>0</v>
      </c>
    </row>
    <row r="13" spans="1:12" ht="25.5" x14ac:dyDescent="0.2">
      <c r="A13" s="98" t="s">
        <v>166</v>
      </c>
      <c r="B13" s="98" t="s">
        <v>163</v>
      </c>
      <c r="C13" s="99" t="str">
        <f>Requirements_Analysis!F15</f>
        <v>Reviewed</v>
      </c>
      <c r="D13" s="98" t="str">
        <f>Requirements_Analysis!D15</f>
        <v>REQ_M4_SCST_12</v>
      </c>
      <c r="E13" s="98" t="str">
        <f>Requirements_Analysis!N15</f>
        <v>Test case</v>
      </c>
      <c r="F13" s="96" t="s">
        <v>183</v>
      </c>
      <c r="G13" s="98"/>
      <c r="I13" s="74" t="str">
        <f t="shared" si="1"/>
        <v>Not relevant</v>
      </c>
      <c r="J13" s="74" t="b">
        <f t="shared" si="2"/>
        <v>1</v>
      </c>
      <c r="K13" s="74" t="b">
        <f t="shared" si="4"/>
        <v>0</v>
      </c>
      <c r="L13" s="74" t="b">
        <f t="shared" si="0"/>
        <v>0</v>
      </c>
    </row>
    <row r="14" spans="1:12" ht="25.5" x14ac:dyDescent="0.2">
      <c r="A14" s="98" t="s">
        <v>164</v>
      </c>
      <c r="B14" s="98" t="s">
        <v>159</v>
      </c>
      <c r="C14" s="99" t="str">
        <f>Requirements_Analysis!F16</f>
        <v>Canceled</v>
      </c>
      <c r="D14" s="98" t="str">
        <f>Requirements_Analysis!D16</f>
        <v>REQ_M4_SCST_13</v>
      </c>
      <c r="E14" s="98" t="str">
        <f>Requirements_Analysis!N16</f>
        <v>n/a</v>
      </c>
      <c r="F14" s="97" t="s">
        <v>177</v>
      </c>
      <c r="G14" s="98"/>
      <c r="I14" s="74" t="str">
        <f t="shared" si="1"/>
        <v>Not relevant</v>
      </c>
      <c r="J14" s="74" t="str">
        <f t="shared" si="2"/>
        <v>Not relevant</v>
      </c>
      <c r="K14" s="74" t="b">
        <f t="shared" ref="K14:K29" si="5">OR(EXACT(I14,"FALSE"),EXACT(J14,"FALSE"))</f>
        <v>0</v>
      </c>
      <c r="L14" s="74" t="b">
        <f t="shared" si="0"/>
        <v>0</v>
      </c>
    </row>
    <row r="15" spans="1:12" x14ac:dyDescent="0.2">
      <c r="A15" s="99" t="s">
        <v>165</v>
      </c>
      <c r="B15" s="97" t="s">
        <v>161</v>
      </c>
      <c r="C15" s="99" t="str">
        <f>Requirements_Analysis!F17</f>
        <v>Reviewed</v>
      </c>
      <c r="D15" s="98" t="str">
        <f>Requirements_Analysis!D17</f>
        <v>REQ_M4_SCST_14</v>
      </c>
      <c r="E15" s="98" t="str">
        <f>Requirements_Analysis!N17</f>
        <v>Test case</v>
      </c>
      <c r="F15" s="99" t="s">
        <v>178</v>
      </c>
      <c r="G15" s="98"/>
      <c r="I15" s="74" t="str">
        <f t="shared" si="1"/>
        <v>Not relevant</v>
      </c>
      <c r="J15" s="74" t="b">
        <f t="shared" si="2"/>
        <v>1</v>
      </c>
      <c r="K15" s="74" t="b">
        <f t="shared" si="5"/>
        <v>0</v>
      </c>
      <c r="L15" s="74" t="b">
        <f t="shared" si="0"/>
        <v>0</v>
      </c>
    </row>
    <row r="16" spans="1:12" x14ac:dyDescent="0.2">
      <c r="A16" s="98" t="s">
        <v>164</v>
      </c>
      <c r="B16" s="98" t="s">
        <v>159</v>
      </c>
      <c r="C16" s="99" t="str">
        <f>Requirements_Analysis!F18</f>
        <v>Reviewed</v>
      </c>
      <c r="D16" s="98" t="str">
        <f>Requirements_Analysis!D18</f>
        <v>REQ_M4_SCST_15</v>
      </c>
      <c r="E16" s="98" t="str">
        <f>Requirements_Analysis!N18</f>
        <v>Review</v>
      </c>
      <c r="F16" s="99" t="s">
        <v>161</v>
      </c>
      <c r="G16" s="99" t="s">
        <v>43</v>
      </c>
      <c r="I16" s="74" t="b">
        <f t="shared" si="1"/>
        <v>1</v>
      </c>
      <c r="J16" s="74" t="str">
        <f t="shared" si="2"/>
        <v>Not relevant</v>
      </c>
      <c r="K16" s="74" t="b">
        <f t="shared" si="5"/>
        <v>0</v>
      </c>
      <c r="L16" s="74" t="b">
        <f t="shared" si="0"/>
        <v>0</v>
      </c>
    </row>
    <row r="17" spans="1:12" x14ac:dyDescent="0.2">
      <c r="A17" s="98" t="s">
        <v>164</v>
      </c>
      <c r="B17" s="98" t="s">
        <v>159</v>
      </c>
      <c r="C17" s="99" t="str">
        <f>Requirements_Analysis!F19</f>
        <v>Reviewed</v>
      </c>
      <c r="D17" s="98" t="str">
        <f>Requirements_Analysis!D19</f>
        <v>REQ_M4_SCST_16</v>
      </c>
      <c r="E17" s="98" t="str">
        <f>Requirements_Analysis!N19</f>
        <v>Review</v>
      </c>
      <c r="F17" s="99" t="s">
        <v>161</v>
      </c>
      <c r="G17" s="99" t="s">
        <v>43</v>
      </c>
      <c r="I17" s="74" t="b">
        <f t="shared" si="1"/>
        <v>1</v>
      </c>
      <c r="J17" s="74" t="str">
        <f t="shared" si="2"/>
        <v>Not relevant</v>
      </c>
      <c r="K17" s="74" t="b">
        <f t="shared" si="5"/>
        <v>0</v>
      </c>
      <c r="L17" s="74" t="b">
        <f t="shared" si="0"/>
        <v>0</v>
      </c>
    </row>
    <row r="18" spans="1:12" x14ac:dyDescent="0.2">
      <c r="A18" s="98" t="s">
        <v>164</v>
      </c>
      <c r="B18" s="98" t="s">
        <v>159</v>
      </c>
      <c r="C18" s="99" t="str">
        <f>Requirements_Analysis!F20</f>
        <v>Reviewed</v>
      </c>
      <c r="D18" s="98" t="str">
        <f>Requirements_Analysis!D20</f>
        <v>REQ_M4_SCST_17</v>
      </c>
      <c r="E18" s="98" t="str">
        <f>Requirements_Analysis!N20</f>
        <v>Review</v>
      </c>
      <c r="F18" s="99" t="s">
        <v>161</v>
      </c>
      <c r="G18" s="99" t="s">
        <v>43</v>
      </c>
      <c r="I18" s="74" t="b">
        <f t="shared" si="1"/>
        <v>1</v>
      </c>
      <c r="J18" s="74" t="str">
        <f t="shared" si="2"/>
        <v>Not relevant</v>
      </c>
      <c r="K18" s="74" t="b">
        <f t="shared" si="5"/>
        <v>0</v>
      </c>
      <c r="L18" s="74" t="b">
        <f t="shared" si="0"/>
        <v>0</v>
      </c>
    </row>
    <row r="19" spans="1:12" x14ac:dyDescent="0.2">
      <c r="A19" s="98" t="s">
        <v>164</v>
      </c>
      <c r="B19" s="98" t="s">
        <v>159</v>
      </c>
      <c r="C19" s="99" t="str">
        <f>Requirements_Analysis!F21</f>
        <v>Reviewed</v>
      </c>
      <c r="D19" s="98" t="str">
        <f>Requirements_Analysis!D21</f>
        <v>REQ_M4_SCST_18</v>
      </c>
      <c r="E19" s="98" t="str">
        <f>Requirements_Analysis!N21</f>
        <v>Review</v>
      </c>
      <c r="F19" s="99" t="s">
        <v>161</v>
      </c>
      <c r="G19" s="99" t="s">
        <v>43</v>
      </c>
      <c r="I19" s="74" t="b">
        <f t="shared" si="1"/>
        <v>1</v>
      </c>
      <c r="J19" s="74" t="str">
        <f t="shared" si="2"/>
        <v>Not relevant</v>
      </c>
      <c r="K19" s="74" t="b">
        <f t="shared" si="5"/>
        <v>0</v>
      </c>
      <c r="L19" s="74" t="b">
        <f t="shared" si="0"/>
        <v>0</v>
      </c>
    </row>
    <row r="20" spans="1:12" ht="25.5" x14ac:dyDescent="0.2">
      <c r="A20" s="98" t="s">
        <v>164</v>
      </c>
      <c r="B20" s="98" t="s">
        <v>159</v>
      </c>
      <c r="C20" s="99" t="str">
        <f>Requirements_Analysis!F22</f>
        <v>Reviewed</v>
      </c>
      <c r="D20" s="98" t="str">
        <f>Requirements_Analysis!D22</f>
        <v>REQ_M4_SCST_19</v>
      </c>
      <c r="E20" s="98" t="str">
        <f>Requirements_Analysis!N22</f>
        <v>Test case</v>
      </c>
      <c r="F20" s="97" t="s">
        <v>179</v>
      </c>
      <c r="G20" s="98"/>
      <c r="I20" s="74" t="str">
        <f t="shared" si="1"/>
        <v>Not relevant</v>
      </c>
      <c r="J20" s="74" t="b">
        <f t="shared" si="2"/>
        <v>1</v>
      </c>
      <c r="K20" s="74" t="b">
        <f t="shared" si="5"/>
        <v>0</v>
      </c>
      <c r="L20" s="74" t="b">
        <f t="shared" si="0"/>
        <v>0</v>
      </c>
    </row>
    <row r="21" spans="1:12" ht="25.5" x14ac:dyDescent="0.2">
      <c r="A21" s="97" t="s">
        <v>171</v>
      </c>
      <c r="B21" s="97" t="s">
        <v>161</v>
      </c>
      <c r="C21" s="99" t="str">
        <f>Requirements_Analysis!F23</f>
        <v>Reviewed</v>
      </c>
      <c r="D21" s="98" t="str">
        <f>Requirements_Analysis!D23</f>
        <v>REQ_M4_SCST_20</v>
      </c>
      <c r="E21" s="98" t="str">
        <f>Requirements_Analysis!N23</f>
        <v>Test case</v>
      </c>
      <c r="F21" s="99" t="s">
        <v>180</v>
      </c>
      <c r="G21" s="98"/>
      <c r="I21" s="74" t="str">
        <f t="shared" si="1"/>
        <v>Not relevant</v>
      </c>
      <c r="J21" s="74" t="b">
        <f t="shared" si="2"/>
        <v>1</v>
      </c>
      <c r="K21" s="74" t="b">
        <f t="shared" si="5"/>
        <v>0</v>
      </c>
      <c r="L21" s="74" t="b">
        <f t="shared" si="0"/>
        <v>0</v>
      </c>
    </row>
    <row r="22" spans="1:12" ht="25.5" x14ac:dyDescent="0.2">
      <c r="A22" s="97" t="s">
        <v>167</v>
      </c>
      <c r="B22" s="97" t="s">
        <v>161</v>
      </c>
      <c r="C22" s="99" t="str">
        <f>Requirements_Analysis!F24</f>
        <v>Reviewed</v>
      </c>
      <c r="D22" s="98" t="str">
        <f>Requirements_Analysis!D24</f>
        <v>REQ_M4_SCST_21</v>
      </c>
      <c r="E22" s="98" t="str">
        <f>Requirements_Analysis!N24</f>
        <v>Review</v>
      </c>
      <c r="F22" s="99" t="s">
        <v>161</v>
      </c>
      <c r="G22" s="99" t="s">
        <v>43</v>
      </c>
      <c r="I22" s="74" t="b">
        <f t="shared" si="1"/>
        <v>1</v>
      </c>
      <c r="J22" s="74" t="str">
        <f t="shared" si="2"/>
        <v>Not relevant</v>
      </c>
      <c r="K22" s="74" t="b">
        <f t="shared" si="5"/>
        <v>0</v>
      </c>
      <c r="L22" s="74" t="b">
        <f t="shared" si="0"/>
        <v>0</v>
      </c>
    </row>
    <row r="23" spans="1:12" ht="25.5" x14ac:dyDescent="0.2">
      <c r="A23" s="97" t="s">
        <v>167</v>
      </c>
      <c r="B23" s="97" t="s">
        <v>161</v>
      </c>
      <c r="C23" s="99" t="str">
        <f>Requirements_Analysis!F25</f>
        <v>Reviewed</v>
      </c>
      <c r="D23" s="98" t="str">
        <f>Requirements_Analysis!D25</f>
        <v>REQ_M4_SCST_22</v>
      </c>
      <c r="E23" s="98" t="str">
        <f>Requirements_Analysis!N25</f>
        <v>Test case</v>
      </c>
      <c r="F23" s="99" t="s">
        <v>181</v>
      </c>
      <c r="G23" s="98"/>
      <c r="I23" s="74" t="str">
        <f t="shared" si="1"/>
        <v>Not relevant</v>
      </c>
      <c r="J23" s="74" t="b">
        <f t="shared" si="2"/>
        <v>1</v>
      </c>
      <c r="K23" s="74" t="b">
        <f t="shared" si="5"/>
        <v>0</v>
      </c>
      <c r="L23" s="74" t="b">
        <f t="shared" si="0"/>
        <v>0</v>
      </c>
    </row>
    <row r="24" spans="1:12" ht="25.5" x14ac:dyDescent="0.2">
      <c r="A24" s="97" t="s">
        <v>167</v>
      </c>
      <c r="B24" s="97" t="s">
        <v>161</v>
      </c>
      <c r="C24" s="99" t="str">
        <f>Requirements_Analysis!F26</f>
        <v>Reviewed</v>
      </c>
      <c r="D24" s="98" t="str">
        <f>Requirements_Analysis!D26</f>
        <v>REQ_M4_SCST_23</v>
      </c>
      <c r="E24" s="98" t="str">
        <f>Requirements_Analysis!N26</f>
        <v>Test case</v>
      </c>
      <c r="F24" s="99" t="s">
        <v>181</v>
      </c>
      <c r="G24" s="98"/>
      <c r="I24" s="74" t="str">
        <f t="shared" si="1"/>
        <v>Not relevant</v>
      </c>
      <c r="J24" s="74" t="b">
        <f t="shared" si="2"/>
        <v>1</v>
      </c>
      <c r="K24" s="74" t="b">
        <f t="shared" si="5"/>
        <v>0</v>
      </c>
      <c r="L24" s="74" t="b">
        <f t="shared" si="0"/>
        <v>0</v>
      </c>
    </row>
    <row r="25" spans="1:12" ht="25.5" x14ac:dyDescent="0.2">
      <c r="A25" s="98" t="s">
        <v>164</v>
      </c>
      <c r="B25" s="98" t="s">
        <v>159</v>
      </c>
      <c r="C25" s="99" t="str">
        <f>Requirements_Analysis!F27</f>
        <v>Reviewed</v>
      </c>
      <c r="D25" s="98" t="str">
        <f>Requirements_Analysis!D27</f>
        <v>REQ_M4_SCST_24</v>
      </c>
      <c r="E25" s="98" t="str">
        <f>Requirements_Analysis!N27</f>
        <v>Test case</v>
      </c>
      <c r="F25" s="97" t="s">
        <v>177</v>
      </c>
      <c r="G25" s="98"/>
      <c r="I25" s="74" t="str">
        <f t="shared" si="1"/>
        <v>Not relevant</v>
      </c>
      <c r="J25" s="74" t="b">
        <f t="shared" si="2"/>
        <v>1</v>
      </c>
      <c r="K25" s="74" t="b">
        <f t="shared" si="5"/>
        <v>0</v>
      </c>
      <c r="L25" s="74" t="b">
        <f t="shared" si="0"/>
        <v>0</v>
      </c>
    </row>
    <row r="26" spans="1:12" ht="76.5" x14ac:dyDescent="0.2">
      <c r="A26" s="96" t="s">
        <v>172</v>
      </c>
      <c r="B26" s="99" t="s">
        <v>161</v>
      </c>
      <c r="C26" s="99" t="str">
        <f>Requirements_Analysis!F28</f>
        <v>Reviewed</v>
      </c>
      <c r="D26" s="98" t="str">
        <f>Requirements_Analysis!D28</f>
        <v>REQ_M4_SCST_25</v>
      </c>
      <c r="E26" s="98" t="str">
        <f>Requirements_Analysis!N28</f>
        <v>Review</v>
      </c>
      <c r="F26" s="99" t="s">
        <v>161</v>
      </c>
      <c r="G26" s="99" t="s">
        <v>43</v>
      </c>
      <c r="I26" s="74" t="b">
        <f t="shared" si="1"/>
        <v>1</v>
      </c>
      <c r="J26" s="74" t="str">
        <f t="shared" si="2"/>
        <v>Not relevant</v>
      </c>
      <c r="K26" s="74" t="b">
        <f t="shared" si="5"/>
        <v>0</v>
      </c>
      <c r="L26" s="74" t="b">
        <f t="shared" si="0"/>
        <v>0</v>
      </c>
    </row>
    <row r="27" spans="1:12" x14ac:dyDescent="0.2">
      <c r="A27" s="99" t="s">
        <v>164</v>
      </c>
      <c r="B27" s="98" t="s">
        <v>159</v>
      </c>
      <c r="C27" s="99" t="str">
        <f>Requirements_Analysis!F29</f>
        <v>Reviewed</v>
      </c>
      <c r="D27" s="98" t="str">
        <f>Requirements_Analysis!D29</f>
        <v>REQ_M4_SCST_26</v>
      </c>
      <c r="E27" s="98" t="str">
        <f>Requirements_Analysis!N29</f>
        <v>Review</v>
      </c>
      <c r="F27" s="99" t="s">
        <v>161</v>
      </c>
      <c r="G27" s="99" t="s">
        <v>43</v>
      </c>
      <c r="I27" s="74" t="b">
        <f t="shared" si="1"/>
        <v>1</v>
      </c>
      <c r="J27" s="74" t="str">
        <f t="shared" si="2"/>
        <v>Not relevant</v>
      </c>
      <c r="K27" s="74" t="b">
        <f t="shared" si="5"/>
        <v>0</v>
      </c>
      <c r="L27" s="74" t="b">
        <f t="shared" si="0"/>
        <v>0</v>
      </c>
    </row>
    <row r="28" spans="1:12" x14ac:dyDescent="0.2">
      <c r="A28" s="99" t="s">
        <v>161</v>
      </c>
      <c r="B28" s="98" t="s">
        <v>161</v>
      </c>
      <c r="C28" s="99" t="str">
        <f>Requirements_Analysis!F30</f>
        <v>Reviewed</v>
      </c>
      <c r="D28" s="98" t="str">
        <f>Requirements_Analysis!D30</f>
        <v>REQ_M4_SCST_27</v>
      </c>
      <c r="E28" s="98" t="str">
        <f>Requirements_Analysis!N30</f>
        <v>Review</v>
      </c>
      <c r="F28" s="99" t="s">
        <v>161</v>
      </c>
      <c r="G28" s="99" t="s">
        <v>43</v>
      </c>
      <c r="I28" s="74" t="b">
        <f t="shared" si="1"/>
        <v>1</v>
      </c>
      <c r="J28" s="74" t="str">
        <f t="shared" si="2"/>
        <v>Not relevant</v>
      </c>
      <c r="K28" s="74" t="b">
        <f t="shared" si="5"/>
        <v>0</v>
      </c>
      <c r="L28" s="74" t="b">
        <f t="shared" si="0"/>
        <v>0</v>
      </c>
    </row>
    <row r="29" spans="1:12" x14ac:dyDescent="0.2">
      <c r="A29" s="99" t="s">
        <v>161</v>
      </c>
      <c r="B29" s="98" t="s">
        <v>161</v>
      </c>
      <c r="C29" s="99" t="str">
        <f>Requirements_Analysis!F31</f>
        <v>Reviewed</v>
      </c>
      <c r="D29" s="98" t="str">
        <f>Requirements_Analysis!D31</f>
        <v>REQ_M4_SCST_28</v>
      </c>
      <c r="E29" s="98" t="str">
        <f>Requirements_Analysis!N31</f>
        <v>Review</v>
      </c>
      <c r="F29" s="99" t="s">
        <v>161</v>
      </c>
      <c r="G29" s="99" t="s">
        <v>43</v>
      </c>
      <c r="I29" s="74" t="b">
        <f t="shared" si="1"/>
        <v>1</v>
      </c>
      <c r="J29" s="74" t="str">
        <f t="shared" si="2"/>
        <v>Not relevant</v>
      </c>
      <c r="K29" s="74" t="b">
        <f t="shared" si="5"/>
        <v>0</v>
      </c>
      <c r="L29" s="74" t="b">
        <f t="shared" si="0"/>
        <v>0</v>
      </c>
    </row>
    <row r="30" spans="1:12" x14ac:dyDescent="0.2">
      <c r="A30" s="99" t="s">
        <v>164</v>
      </c>
      <c r="B30" s="98" t="s">
        <v>161</v>
      </c>
      <c r="C30" s="99" t="str">
        <f>Requirements_Analysis!F32</f>
        <v>Reviewed</v>
      </c>
      <c r="D30" s="98" t="str">
        <f>Requirements_Analysis!D32</f>
        <v>REQ_M4_SCST_29</v>
      </c>
      <c r="E30" s="98" t="str">
        <f>Requirements_Analysis!N32</f>
        <v>Review</v>
      </c>
      <c r="F30" s="99" t="s">
        <v>161</v>
      </c>
      <c r="G30" s="99" t="s">
        <v>43</v>
      </c>
      <c r="I30" s="74" t="b">
        <f t="shared" si="1"/>
        <v>1</v>
      </c>
      <c r="J30" s="74" t="str">
        <f t="shared" si="2"/>
        <v>Not relevant</v>
      </c>
      <c r="K30" s="74" t="b">
        <f t="shared" ref="K30:K49" si="6">OR(EXACT(I30,"FALSE"),EXACT(J30,"FALSE"))</f>
        <v>0</v>
      </c>
      <c r="L30" s="74" t="b">
        <f t="shared" si="0"/>
        <v>0</v>
      </c>
    </row>
    <row r="31" spans="1:12" x14ac:dyDescent="0.2">
      <c r="A31" s="99" t="s">
        <v>164</v>
      </c>
      <c r="B31" s="98" t="s">
        <v>161</v>
      </c>
      <c r="C31" s="99" t="str">
        <f>Requirements_Analysis!F33</f>
        <v>Reviewed</v>
      </c>
      <c r="D31" s="98" t="str">
        <f>Requirements_Analysis!D33</f>
        <v>REQ_M4_SCST_30</v>
      </c>
      <c r="E31" s="98" t="str">
        <f>Requirements_Analysis!N33</f>
        <v>Review</v>
      </c>
      <c r="F31" s="99" t="s">
        <v>161</v>
      </c>
      <c r="G31" s="99" t="s">
        <v>43</v>
      </c>
      <c r="I31" s="74" t="b">
        <f t="shared" si="1"/>
        <v>1</v>
      </c>
      <c r="J31" s="74" t="str">
        <f t="shared" si="2"/>
        <v>Not relevant</v>
      </c>
      <c r="K31" s="74" t="b">
        <f t="shared" si="6"/>
        <v>0</v>
      </c>
      <c r="L31" s="74" t="b">
        <f t="shared" si="0"/>
        <v>0</v>
      </c>
    </row>
    <row r="32" spans="1:12" x14ac:dyDescent="0.2">
      <c r="A32" s="99" t="s">
        <v>164</v>
      </c>
      <c r="B32" s="98" t="s">
        <v>161</v>
      </c>
      <c r="C32" s="99" t="str">
        <f>Requirements_Analysis!F34</f>
        <v>Reviewed</v>
      </c>
      <c r="D32" s="98" t="str">
        <f>Requirements_Analysis!D34</f>
        <v>REQ_M4_SCST_31</v>
      </c>
      <c r="E32" s="98" t="str">
        <f>Requirements_Analysis!N34</f>
        <v>Review</v>
      </c>
      <c r="F32" s="99" t="s">
        <v>161</v>
      </c>
      <c r="G32" s="99" t="s">
        <v>43</v>
      </c>
      <c r="I32" s="74" t="b">
        <f t="shared" si="1"/>
        <v>1</v>
      </c>
      <c r="J32" s="74" t="str">
        <f t="shared" si="2"/>
        <v>Not relevant</v>
      </c>
      <c r="K32" s="74" t="b">
        <f t="shared" si="6"/>
        <v>0</v>
      </c>
      <c r="L32" s="74" t="b">
        <f t="shared" si="0"/>
        <v>0</v>
      </c>
    </row>
    <row r="33" spans="1:12" x14ac:dyDescent="0.2">
      <c r="A33" s="98" t="s">
        <v>164</v>
      </c>
      <c r="B33" s="99" t="s">
        <v>161</v>
      </c>
      <c r="C33" s="99" t="str">
        <f>Requirements_Analysis!F35</f>
        <v>Reviewed</v>
      </c>
      <c r="D33" s="98" t="str">
        <f>Requirements_Analysis!D35</f>
        <v>REQ_M4_SCST_32</v>
      </c>
      <c r="E33" s="98" t="str">
        <f>Requirements_Analysis!N35</f>
        <v>Review</v>
      </c>
      <c r="F33" s="99" t="s">
        <v>161</v>
      </c>
      <c r="G33" s="99" t="s">
        <v>43</v>
      </c>
      <c r="I33" s="74" t="b">
        <f t="shared" si="1"/>
        <v>1</v>
      </c>
      <c r="J33" s="74" t="str">
        <f t="shared" si="2"/>
        <v>Not relevant</v>
      </c>
      <c r="K33" s="74" t="b">
        <f t="shared" si="6"/>
        <v>0</v>
      </c>
      <c r="L33" s="74" t="b">
        <f t="shared" si="0"/>
        <v>0</v>
      </c>
    </row>
    <row r="34" spans="1:12" x14ac:dyDescent="0.2">
      <c r="A34" s="98" t="s">
        <v>164</v>
      </c>
      <c r="B34" s="98" t="s">
        <v>161</v>
      </c>
      <c r="C34" s="99" t="str">
        <f>Requirements_Analysis!F36</f>
        <v>Reviewed</v>
      </c>
      <c r="D34" s="98" t="str">
        <f>Requirements_Analysis!D36</f>
        <v>REQ_M4_SCST_33</v>
      </c>
      <c r="E34" s="98" t="str">
        <f>Requirements_Analysis!N36</f>
        <v>Review</v>
      </c>
      <c r="F34" s="99" t="s">
        <v>161</v>
      </c>
      <c r="G34" s="99" t="s">
        <v>43</v>
      </c>
      <c r="I34" s="74" t="b">
        <f t="shared" si="1"/>
        <v>1</v>
      </c>
      <c r="J34" s="74" t="str">
        <f t="shared" si="2"/>
        <v>Not relevant</v>
      </c>
      <c r="K34" s="74" t="b">
        <f t="shared" si="6"/>
        <v>0</v>
      </c>
      <c r="L34" s="74" t="b">
        <f t="shared" si="0"/>
        <v>0</v>
      </c>
    </row>
    <row r="35" spans="1:12" x14ac:dyDescent="0.2">
      <c r="A35" s="98" t="s">
        <v>164</v>
      </c>
      <c r="B35" s="99" t="s">
        <v>161</v>
      </c>
      <c r="C35" s="99" t="str">
        <f>Requirements_Analysis!F37</f>
        <v>Reviewed</v>
      </c>
      <c r="D35" s="98" t="str">
        <f>Requirements_Analysis!D37</f>
        <v>REQ_M4_SCST_34</v>
      </c>
      <c r="E35" s="98" t="str">
        <f>Requirements_Analysis!N37</f>
        <v>Review</v>
      </c>
      <c r="F35" s="99" t="s">
        <v>161</v>
      </c>
      <c r="G35" s="99" t="s">
        <v>43</v>
      </c>
      <c r="I35" s="74" t="b">
        <f t="shared" si="1"/>
        <v>1</v>
      </c>
      <c r="J35" s="74" t="str">
        <f t="shared" si="2"/>
        <v>Not relevant</v>
      </c>
      <c r="K35" s="74" t="b">
        <f t="shared" si="6"/>
        <v>0</v>
      </c>
      <c r="L35" s="74" t="b">
        <f t="shared" si="0"/>
        <v>0</v>
      </c>
    </row>
    <row r="36" spans="1:12" x14ac:dyDescent="0.2">
      <c r="A36" s="98" t="s">
        <v>164</v>
      </c>
      <c r="B36" s="99" t="s">
        <v>161</v>
      </c>
      <c r="C36" s="99" t="str">
        <f>Requirements_Analysis!F38</f>
        <v>Reviewed</v>
      </c>
      <c r="D36" s="98" t="str">
        <f>Requirements_Analysis!D38</f>
        <v>REQ_M4_SCST_35</v>
      </c>
      <c r="E36" s="98" t="str">
        <f>Requirements_Analysis!N38</f>
        <v>Review</v>
      </c>
      <c r="F36" s="99" t="s">
        <v>161</v>
      </c>
      <c r="G36" s="99" t="s">
        <v>43</v>
      </c>
      <c r="I36" s="74" t="b">
        <f t="shared" si="1"/>
        <v>1</v>
      </c>
      <c r="J36" s="74" t="str">
        <f t="shared" si="2"/>
        <v>Not relevant</v>
      </c>
      <c r="K36" s="74" t="b">
        <f t="shared" si="6"/>
        <v>0</v>
      </c>
      <c r="L36" s="74" t="b">
        <f t="shared" si="0"/>
        <v>0</v>
      </c>
    </row>
    <row r="37" spans="1:12" ht="63.75" x14ac:dyDescent="0.2">
      <c r="A37" s="98" t="s">
        <v>164</v>
      </c>
      <c r="B37" s="99" t="s">
        <v>199</v>
      </c>
      <c r="C37" s="99" t="str">
        <f>Requirements_Analysis!F39</f>
        <v>Reviewed</v>
      </c>
      <c r="D37" s="98" t="str">
        <f>Requirements_Analysis!D39</f>
        <v>REQ_M4_SCST_36</v>
      </c>
      <c r="E37" s="98" t="str">
        <f>Requirements_Analysis!N39</f>
        <v>Test case</v>
      </c>
      <c r="F37" s="96" t="s">
        <v>198</v>
      </c>
      <c r="G37" s="99"/>
      <c r="I37" s="74" t="str">
        <f t="shared" si="1"/>
        <v>Not relevant</v>
      </c>
      <c r="J37" s="74" t="b">
        <f t="shared" si="2"/>
        <v>1</v>
      </c>
      <c r="K37" s="74" t="b">
        <f t="shared" si="6"/>
        <v>0</v>
      </c>
      <c r="L37" s="74" t="b">
        <f t="shared" si="0"/>
        <v>0</v>
      </c>
    </row>
    <row r="38" spans="1:12" x14ac:dyDescent="0.2">
      <c r="A38" s="99" t="s">
        <v>161</v>
      </c>
      <c r="B38" s="99" t="s">
        <v>161</v>
      </c>
      <c r="C38" s="99" t="str">
        <f>Requirements_Analysis!F40</f>
        <v>Reviewed</v>
      </c>
      <c r="D38" s="98" t="str">
        <f>Requirements_Analysis!D40</f>
        <v>REQ_M4_SCST_37</v>
      </c>
      <c r="E38" s="98" t="str">
        <f>Requirements_Analysis!N40</f>
        <v>Review</v>
      </c>
      <c r="F38" s="99" t="s">
        <v>161</v>
      </c>
      <c r="G38" s="99" t="s">
        <v>43</v>
      </c>
      <c r="I38" s="74" t="b">
        <f t="shared" si="1"/>
        <v>1</v>
      </c>
      <c r="J38" s="74" t="str">
        <f t="shared" si="2"/>
        <v>Not relevant</v>
      </c>
      <c r="K38" s="74" t="b">
        <f t="shared" si="6"/>
        <v>0</v>
      </c>
      <c r="L38" s="74" t="b">
        <f t="shared" si="0"/>
        <v>0</v>
      </c>
    </row>
    <row r="39" spans="1:12" x14ac:dyDescent="0.2">
      <c r="A39" s="99" t="s">
        <v>161</v>
      </c>
      <c r="B39" s="99" t="s">
        <v>161</v>
      </c>
      <c r="C39" s="99" t="str">
        <f>Requirements_Analysis!F41</f>
        <v>Reviewed</v>
      </c>
      <c r="D39" s="98" t="str">
        <f>Requirements_Analysis!D41</f>
        <v>REQ_M4_SCST_38</v>
      </c>
      <c r="E39" s="98" t="str">
        <f>Requirements_Analysis!N41</f>
        <v>Review</v>
      </c>
      <c r="F39" s="99" t="s">
        <v>161</v>
      </c>
      <c r="G39" s="99" t="s">
        <v>43</v>
      </c>
      <c r="I39" s="74" t="b">
        <f t="shared" si="1"/>
        <v>1</v>
      </c>
      <c r="J39" s="74" t="str">
        <f t="shared" si="2"/>
        <v>Not relevant</v>
      </c>
      <c r="K39" s="74" t="b">
        <f t="shared" si="6"/>
        <v>0</v>
      </c>
      <c r="L39" s="74" t="b">
        <f t="shared" si="0"/>
        <v>0</v>
      </c>
    </row>
    <row r="40" spans="1:12" x14ac:dyDescent="0.2">
      <c r="A40" s="99" t="s">
        <v>161</v>
      </c>
      <c r="B40" s="99" t="s">
        <v>161</v>
      </c>
      <c r="C40" s="99" t="str">
        <f>Requirements_Analysis!F42</f>
        <v>Reviewed</v>
      </c>
      <c r="D40" s="98" t="str">
        <f>Requirements_Analysis!D42</f>
        <v>REQ_M4_SCST_39</v>
      </c>
      <c r="E40" s="98" t="str">
        <f>Requirements_Analysis!N42</f>
        <v>Review</v>
      </c>
      <c r="F40" s="99" t="s">
        <v>161</v>
      </c>
      <c r="G40" s="99" t="s">
        <v>43</v>
      </c>
      <c r="I40" s="74" t="b">
        <f t="shared" si="1"/>
        <v>1</v>
      </c>
      <c r="J40" s="74" t="str">
        <f t="shared" si="2"/>
        <v>Not relevant</v>
      </c>
      <c r="K40" s="74" t="b">
        <f t="shared" si="6"/>
        <v>0</v>
      </c>
      <c r="L40" s="74" t="b">
        <f t="shared" si="0"/>
        <v>0</v>
      </c>
    </row>
    <row r="41" spans="1:12" x14ac:dyDescent="0.2">
      <c r="A41" s="99" t="s">
        <v>161</v>
      </c>
      <c r="B41" s="99" t="s">
        <v>161</v>
      </c>
      <c r="C41" s="99" t="str">
        <f>Requirements_Analysis!F43</f>
        <v>Reviewed</v>
      </c>
      <c r="D41" s="98" t="str">
        <f>Requirements_Analysis!D43</f>
        <v>REQ_M4_SCST_40</v>
      </c>
      <c r="E41" s="98" t="str">
        <f>Requirements_Analysis!N43</f>
        <v>Review</v>
      </c>
      <c r="F41" s="99" t="s">
        <v>161</v>
      </c>
      <c r="G41" s="99" t="s">
        <v>43</v>
      </c>
      <c r="I41" s="74" t="b">
        <f t="shared" si="1"/>
        <v>1</v>
      </c>
      <c r="J41" s="74" t="str">
        <f t="shared" si="2"/>
        <v>Not relevant</v>
      </c>
      <c r="K41" s="74" t="b">
        <f t="shared" si="6"/>
        <v>0</v>
      </c>
      <c r="L41" s="74" t="b">
        <f t="shared" si="0"/>
        <v>0</v>
      </c>
    </row>
    <row r="42" spans="1:12" x14ac:dyDescent="0.2">
      <c r="A42" s="99" t="s">
        <v>161</v>
      </c>
      <c r="B42" s="99" t="s">
        <v>161</v>
      </c>
      <c r="C42" s="99" t="str">
        <f>Requirements_Analysis!F44</f>
        <v>Reviewed</v>
      </c>
      <c r="D42" s="98" t="str">
        <f>Requirements_Analysis!D44</f>
        <v>REQ_M4_SCST_41</v>
      </c>
      <c r="E42" s="98" t="str">
        <f>Requirements_Analysis!N44</f>
        <v>Review</v>
      </c>
      <c r="F42" s="99" t="s">
        <v>161</v>
      </c>
      <c r="G42" s="99" t="s">
        <v>43</v>
      </c>
      <c r="I42" s="74" t="b">
        <f t="shared" si="1"/>
        <v>1</v>
      </c>
      <c r="J42" s="74" t="str">
        <f t="shared" si="2"/>
        <v>Not relevant</v>
      </c>
      <c r="K42" s="74" t="b">
        <f t="shared" si="6"/>
        <v>0</v>
      </c>
      <c r="L42" s="74" t="b">
        <f t="shared" si="0"/>
        <v>0</v>
      </c>
    </row>
    <row r="43" spans="1:12" x14ac:dyDescent="0.2">
      <c r="A43" s="99" t="s">
        <v>161</v>
      </c>
      <c r="B43" s="99" t="s">
        <v>161</v>
      </c>
      <c r="C43" s="99" t="str">
        <f>Requirements_Analysis!F45</f>
        <v>Reviewed</v>
      </c>
      <c r="D43" s="98" t="str">
        <f>Requirements_Analysis!D45</f>
        <v>REQ_M4_SCST_42</v>
      </c>
      <c r="E43" s="98" t="str">
        <f>Requirements_Analysis!N45</f>
        <v>Review</v>
      </c>
      <c r="F43" s="99" t="s">
        <v>161</v>
      </c>
      <c r="G43" s="99" t="s">
        <v>43</v>
      </c>
      <c r="I43" s="74" t="b">
        <f t="shared" si="1"/>
        <v>1</v>
      </c>
      <c r="J43" s="74" t="str">
        <f t="shared" si="2"/>
        <v>Not relevant</v>
      </c>
      <c r="K43" s="74" t="b">
        <f t="shared" si="6"/>
        <v>0</v>
      </c>
      <c r="L43" s="74" t="b">
        <f t="shared" si="0"/>
        <v>0</v>
      </c>
    </row>
    <row r="44" spans="1:12" x14ac:dyDescent="0.2">
      <c r="A44" s="99" t="s">
        <v>161</v>
      </c>
      <c r="B44" s="99" t="s">
        <v>161</v>
      </c>
      <c r="C44" s="99" t="str">
        <f>Requirements_Analysis!F46</f>
        <v>Reviewed</v>
      </c>
      <c r="D44" s="98" t="str">
        <f>Requirements_Analysis!D46</f>
        <v>REQ_M4_SCST_43</v>
      </c>
      <c r="E44" s="98" t="str">
        <f>Requirements_Analysis!N46</f>
        <v>Review</v>
      </c>
      <c r="F44" s="99" t="s">
        <v>161</v>
      </c>
      <c r="G44" s="99" t="s">
        <v>43</v>
      </c>
      <c r="I44" s="74" t="b">
        <f t="shared" si="1"/>
        <v>1</v>
      </c>
      <c r="J44" s="74" t="str">
        <f t="shared" si="2"/>
        <v>Not relevant</v>
      </c>
      <c r="K44" s="74" t="b">
        <f t="shared" si="6"/>
        <v>0</v>
      </c>
      <c r="L44" s="74" t="b">
        <f t="shared" si="0"/>
        <v>0</v>
      </c>
    </row>
    <row r="45" spans="1:12" x14ac:dyDescent="0.2">
      <c r="A45" s="99" t="s">
        <v>161</v>
      </c>
      <c r="B45" s="99" t="s">
        <v>161</v>
      </c>
      <c r="C45" s="99" t="str">
        <f>Requirements_Analysis!F47</f>
        <v>Reviewed</v>
      </c>
      <c r="D45" s="98" t="str">
        <f>Requirements_Analysis!D47</f>
        <v>REQ_M4_SCST_44</v>
      </c>
      <c r="E45" s="98" t="str">
        <f>Requirements_Analysis!N47</f>
        <v>Review</v>
      </c>
      <c r="F45" s="99" t="s">
        <v>161</v>
      </c>
      <c r="G45" s="99" t="s">
        <v>43</v>
      </c>
      <c r="I45" s="74" t="b">
        <f t="shared" si="1"/>
        <v>1</v>
      </c>
      <c r="J45" s="74" t="str">
        <f t="shared" si="2"/>
        <v>Not relevant</v>
      </c>
      <c r="K45" s="74" t="b">
        <f t="shared" si="6"/>
        <v>0</v>
      </c>
      <c r="L45" s="74" t="b">
        <f t="shared" si="0"/>
        <v>0</v>
      </c>
    </row>
    <row r="46" spans="1:12" x14ac:dyDescent="0.2">
      <c r="A46" s="99" t="s">
        <v>161</v>
      </c>
      <c r="B46" s="99" t="s">
        <v>161</v>
      </c>
      <c r="C46" s="99" t="str">
        <f>Requirements_Analysis!F48</f>
        <v>Reviewed</v>
      </c>
      <c r="D46" s="98" t="str">
        <f>Requirements_Analysis!D48</f>
        <v>REQ_M4_SCST_45</v>
      </c>
      <c r="E46" s="98" t="str">
        <f>Requirements_Analysis!N48</f>
        <v>Review</v>
      </c>
      <c r="F46" s="99" t="s">
        <v>161</v>
      </c>
      <c r="G46" s="99" t="s">
        <v>43</v>
      </c>
      <c r="I46" s="74" t="b">
        <f t="shared" si="1"/>
        <v>1</v>
      </c>
      <c r="J46" s="74" t="str">
        <f t="shared" si="2"/>
        <v>Not relevant</v>
      </c>
      <c r="K46" s="74" t="b">
        <f t="shared" si="6"/>
        <v>0</v>
      </c>
      <c r="L46" s="74" t="b">
        <f t="shared" si="0"/>
        <v>0</v>
      </c>
    </row>
    <row r="47" spans="1:12" x14ac:dyDescent="0.2">
      <c r="A47" s="99" t="s">
        <v>161</v>
      </c>
      <c r="B47" s="99" t="s">
        <v>161</v>
      </c>
      <c r="C47" s="99" t="str">
        <f>Requirements_Analysis!F49</f>
        <v>Reviewed</v>
      </c>
      <c r="D47" s="98" t="str">
        <f>Requirements_Analysis!D49</f>
        <v>REQ_M4_SCST_46</v>
      </c>
      <c r="E47" s="98" t="str">
        <f>Requirements_Analysis!N49</f>
        <v>Review</v>
      </c>
      <c r="F47" s="99" t="s">
        <v>161</v>
      </c>
      <c r="G47" s="99" t="s">
        <v>43</v>
      </c>
      <c r="I47" s="74" t="b">
        <f t="shared" si="1"/>
        <v>1</v>
      </c>
      <c r="J47" s="74" t="str">
        <f t="shared" si="2"/>
        <v>Not relevant</v>
      </c>
      <c r="K47" s="74" t="b">
        <f t="shared" si="6"/>
        <v>0</v>
      </c>
      <c r="L47" s="74" t="b">
        <f t="shared" si="0"/>
        <v>0</v>
      </c>
    </row>
    <row r="48" spans="1:12" x14ac:dyDescent="0.2">
      <c r="A48" s="99" t="s">
        <v>161</v>
      </c>
      <c r="B48" s="99" t="s">
        <v>161</v>
      </c>
      <c r="C48" s="99" t="str">
        <f>Requirements_Analysis!F50</f>
        <v>Reviewed</v>
      </c>
      <c r="D48" s="98" t="str">
        <f>Requirements_Analysis!D50</f>
        <v>REQ_M4_SCST_47</v>
      </c>
      <c r="E48" s="98" t="str">
        <f>Requirements_Analysis!N50</f>
        <v>Review</v>
      </c>
      <c r="F48" s="99" t="s">
        <v>161</v>
      </c>
      <c r="G48" s="99" t="s">
        <v>43</v>
      </c>
      <c r="I48" s="74" t="b">
        <f t="shared" si="1"/>
        <v>1</v>
      </c>
      <c r="J48" s="74" t="str">
        <f t="shared" si="2"/>
        <v>Not relevant</v>
      </c>
      <c r="K48" s="74" t="b">
        <f t="shared" si="6"/>
        <v>0</v>
      </c>
      <c r="L48" s="74" t="b">
        <f t="shared" si="0"/>
        <v>0</v>
      </c>
    </row>
    <row r="49" spans="1:12" x14ac:dyDescent="0.2">
      <c r="A49" s="99" t="s">
        <v>161</v>
      </c>
      <c r="B49" s="99" t="s">
        <v>161</v>
      </c>
      <c r="C49" s="99" t="str">
        <f>Requirements_Analysis!F51</f>
        <v>Reviewed</v>
      </c>
      <c r="D49" s="98" t="str">
        <f>Requirements_Analysis!D51</f>
        <v>REQ_M4_SCST_48</v>
      </c>
      <c r="E49" s="98" t="str">
        <f>Requirements_Analysis!N51</f>
        <v>Review</v>
      </c>
      <c r="F49" s="99" t="s">
        <v>161</v>
      </c>
      <c r="G49" s="99" t="s">
        <v>43</v>
      </c>
      <c r="I49" s="74" t="b">
        <f t="shared" si="1"/>
        <v>1</v>
      </c>
      <c r="J49" s="74" t="str">
        <f t="shared" si="2"/>
        <v>Not relevant</v>
      </c>
      <c r="K49" s="74" t="b">
        <f t="shared" si="6"/>
        <v>0</v>
      </c>
      <c r="L49" s="74" t="b">
        <f t="shared" si="0"/>
        <v>0</v>
      </c>
    </row>
    <row r="50" spans="1:12" x14ac:dyDescent="0.2">
      <c r="A50" s="99" t="s">
        <v>161</v>
      </c>
      <c r="B50" s="99" t="s">
        <v>161</v>
      </c>
      <c r="C50" s="99" t="str">
        <f>Requirements_Analysis!F52</f>
        <v>Reviewed</v>
      </c>
      <c r="D50" s="98" t="str">
        <f>Requirements_Analysis!D52</f>
        <v>REQ_M4_SCST_49</v>
      </c>
      <c r="E50" s="98" t="str">
        <f>Requirements_Analysis!N52</f>
        <v>Review</v>
      </c>
      <c r="F50" s="99" t="s">
        <v>161</v>
      </c>
      <c r="G50" s="99" t="s">
        <v>43</v>
      </c>
      <c r="I50" s="74" t="b">
        <f t="shared" si="1"/>
        <v>1</v>
      </c>
      <c r="J50" s="74" t="str">
        <f t="shared" si="2"/>
        <v>Not relevant</v>
      </c>
      <c r="K50" s="74" t="b">
        <f>OR(EXACT(I50,"FALSE"),EXACT(J50,"FALSE"))</f>
        <v>0</v>
      </c>
      <c r="L50" s="74" t="b">
        <f>IF(OR(NOT(ISBLANK(D50)),NOT(EXACT(C50,"Canceled"))),OR(ISBLANK(B50),ISBLANK(A50)),"FALSE")</f>
        <v>0</v>
      </c>
    </row>
    <row r="51" spans="1:12" x14ac:dyDescent="0.2">
      <c r="D51" s="75"/>
    </row>
    <row r="52" spans="1:12" x14ac:dyDescent="0.2">
      <c r="D52" s="75"/>
    </row>
    <row r="53" spans="1:12" x14ac:dyDescent="0.2">
      <c r="D53" s="75"/>
    </row>
    <row r="54" spans="1:12" x14ac:dyDescent="0.2">
      <c r="D54" s="75"/>
    </row>
    <row r="55" spans="1:12" x14ac:dyDescent="0.2">
      <c r="D55" s="75"/>
    </row>
    <row r="56" spans="1:12" x14ac:dyDescent="0.2">
      <c r="D56" s="75"/>
    </row>
    <row r="57" spans="1:12" x14ac:dyDescent="0.2">
      <c r="D57" s="75"/>
    </row>
  </sheetData>
  <autoFilter ref="A1:L36" xr:uid="{00000000-0009-0000-0000-000003000000}"/>
  <conditionalFormatting sqref="A2:G57">
    <cfRule type="expression" dxfId="2" priority="1">
      <formula>$C2="Canceled"</formula>
    </cfRule>
    <cfRule type="expression" dxfId="1" priority="3">
      <formula>$K2</formula>
    </cfRule>
  </conditionalFormatting>
  <conditionalFormatting sqref="A2:G50">
    <cfRule type="expression" dxfId="0" priority="2">
      <formula>$L2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Revision History</vt:lpstr>
      <vt:lpstr>Consist. Checks &amp; Conventions</vt:lpstr>
      <vt:lpstr>Requirements_Analysis</vt:lpstr>
      <vt:lpstr>Traceability Matrix</vt:lpstr>
      <vt:lpstr>Requirements_Analysis!Print_Area</vt:lpstr>
      <vt:lpstr>'Revision History'!Print_Area</vt:lpstr>
    </vt:vector>
  </TitlesOfParts>
  <Company>Freescale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ngys001</dc:creator>
  <cp:lastModifiedBy>Roman Chovanec</cp:lastModifiedBy>
  <cp:lastPrinted>2010-09-21T09:28:20Z</cp:lastPrinted>
  <dcterms:created xsi:type="dcterms:W3CDTF">2009-04-22T09:21:21Z</dcterms:created>
  <dcterms:modified xsi:type="dcterms:W3CDTF">2020-02-25T16:17:48Z</dcterms:modified>
</cp:coreProperties>
</file>