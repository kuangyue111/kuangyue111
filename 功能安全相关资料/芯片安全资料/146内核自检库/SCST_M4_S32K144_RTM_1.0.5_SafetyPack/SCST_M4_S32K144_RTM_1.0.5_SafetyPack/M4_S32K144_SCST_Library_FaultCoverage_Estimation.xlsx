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gitwork\safety_project_docs\ARM_M4_S32K144_SCST\Safety_doc\"/>
    </mc:Choice>
  </mc:AlternateContent>
  <bookViews>
    <workbookView xWindow="480" yWindow="75" windowWidth="27135" windowHeight="13335" tabRatio="864"/>
  </bookViews>
  <sheets>
    <sheet name="Revision History" sheetId="1" r:id="rId1"/>
    <sheet name="DC, z4204n3 Block Diagram" sheetId="8" state="hidden" r:id="rId2"/>
    <sheet name="Cortex M4 Block Diagram" sheetId="10" r:id="rId3"/>
    <sheet name="DC Estimation" sheetId="7" r:id="rId4"/>
    <sheet name="d.c. fault estimation" sheetId="14" r:id="rId5"/>
    <sheet name="lookup" sheetId="15" r:id="rId6"/>
    <sheet name="NVIC_DPU" sheetId="12" r:id="rId7"/>
    <sheet name="INSTR_SET" sheetId="13" r:id="rId8"/>
    <sheet name="lsu_estimation" sheetId="16" r:id="rId9"/>
    <sheet name="fetch_estimation" sheetId="17" r:id="rId10"/>
    <sheet name="exec_estimation" sheetId="18" r:id="rId11"/>
    <sheet name="status_estimation" sheetId="19" r:id="rId12"/>
    <sheet name="Core Modules Mapping" sheetId="9" state="hidden" r:id="rId13"/>
  </sheets>
  <definedNames>
    <definedName name="_xlnm._FilterDatabase" localSheetId="10" hidden="1">exec_estimation!$A$1:$C$166</definedName>
    <definedName name="_xlnm._FilterDatabase" localSheetId="9" hidden="1">fetch_estimation!$A$1:$C$22</definedName>
    <definedName name="_xlnm._FilterDatabase" localSheetId="8" hidden="1">lsu_estimation!$A$1:$C$86</definedName>
    <definedName name="_xlnm._FilterDatabase" localSheetId="11" hidden="1">status_estimation!$A$1:$C$77</definedName>
    <definedName name="_xlnm.Print_Area" localSheetId="0">'Revision History'!$A$1:$F$21</definedName>
  </definedNames>
  <calcPr calcId="152511"/>
</workbook>
</file>

<file path=xl/calcChain.xml><?xml version="1.0" encoding="utf-8"?>
<calcChain xmlns="http://schemas.openxmlformats.org/spreadsheetml/2006/main">
  <c r="L337" i="7" l="1"/>
  <c r="L267" i="7"/>
  <c r="L326" i="7"/>
  <c r="L299" i="7"/>
  <c r="L282" i="7"/>
  <c r="L226" i="7"/>
  <c r="L240" i="7"/>
  <c r="L221" i="7"/>
  <c r="L308" i="7"/>
  <c r="E41" i="14" l="1"/>
  <c r="L138" i="7"/>
  <c r="E16" i="14"/>
  <c r="L50" i="7"/>
  <c r="L293" i="7" l="1"/>
  <c r="F23" i="14"/>
  <c r="L76" i="7"/>
  <c r="L73" i="7" l="1"/>
  <c r="L43" i="7" l="1"/>
  <c r="L31" i="7"/>
  <c r="L27" i="7"/>
  <c r="L313" i="7" l="1"/>
  <c r="L318" i="7"/>
  <c r="L303" i="7"/>
  <c r="L287" i="7"/>
  <c r="L253" i="7"/>
  <c r="C5" i="14"/>
  <c r="L320" i="7"/>
  <c r="L194" i="7" l="1"/>
  <c r="L306" i="7" l="1"/>
  <c r="O18" i="14"/>
  <c r="L277" i="7"/>
  <c r="L2" i="7"/>
  <c r="C6" i="14" l="1"/>
  <c r="L133" i="7" l="1"/>
  <c r="O43" i="14"/>
  <c r="L97" i="7" l="1"/>
  <c r="C317" i="15" l="1"/>
  <c r="C318" i="15"/>
  <c r="C319" i="15"/>
  <c r="C320" i="15"/>
  <c r="C321" i="15" s="1"/>
  <c r="C322" i="15" s="1"/>
  <c r="C323" i="15" s="1"/>
  <c r="C324" i="15" s="1"/>
  <c r="C325" i="15" s="1"/>
  <c r="C326" i="15" s="1"/>
  <c r="C327" i="15" s="1"/>
  <c r="C328" i="15" s="1"/>
  <c r="C329" i="15" s="1"/>
  <c r="C330" i="15" s="1"/>
  <c r="C331" i="15" s="1"/>
  <c r="C332" i="15" s="1"/>
  <c r="C333" i="15" s="1"/>
  <c r="C334" i="15" s="1"/>
  <c r="C335" i="15" s="1"/>
  <c r="C336" i="15" s="1"/>
  <c r="C337" i="15" s="1"/>
  <c r="C338" i="15" s="1"/>
  <c r="C339" i="15" s="1"/>
  <c r="C340" i="15" s="1"/>
  <c r="C341" i="15" s="1"/>
  <c r="C342" i="15" s="1"/>
  <c r="C343" i="15" s="1"/>
  <c r="C344" i="15" s="1"/>
  <c r="C345" i="15" s="1"/>
  <c r="C346" i="15" s="1"/>
  <c r="C347" i="15" s="1"/>
  <c r="C348" i="15" s="1"/>
  <c r="C349" i="15" s="1"/>
  <c r="C350" i="15" s="1"/>
  <c r="C351" i="15" s="1"/>
  <c r="C352" i="15" s="1"/>
  <c r="C353" i="15" s="1"/>
  <c r="C354" i="15" s="1"/>
  <c r="C355" i="15" s="1"/>
  <c r="C356" i="15" s="1"/>
  <c r="C357" i="15" s="1"/>
  <c r="C358" i="15" s="1"/>
  <c r="C359" i="15" s="1"/>
  <c r="C360" i="15" s="1"/>
  <c r="C361" i="15" s="1"/>
  <c r="C362" i="15" s="1"/>
  <c r="C363" i="15" s="1"/>
  <c r="C364" i="15" s="1"/>
  <c r="C365" i="15" s="1"/>
  <c r="C366" i="15" s="1"/>
  <c r="C367" i="15" s="1"/>
  <c r="C368" i="15" s="1"/>
  <c r="C369" i="15" s="1"/>
  <c r="C370" i="15" s="1"/>
  <c r="C371" i="15" s="1"/>
  <c r="C372" i="15" s="1"/>
  <c r="C373" i="15" s="1"/>
  <c r="C374" i="15" s="1"/>
  <c r="C375" i="15" s="1"/>
  <c r="C376" i="15" s="1"/>
  <c r="C377" i="15" s="1"/>
  <c r="C378" i="15" s="1"/>
  <c r="C379" i="15" s="1"/>
  <c r="C380" i="15" s="1"/>
  <c r="C381" i="15" s="1"/>
  <c r="C382" i="15" s="1"/>
  <c r="C383" i="15" s="1"/>
  <c r="C384" i="15" s="1"/>
  <c r="C385" i="15" s="1"/>
  <c r="C386" i="15" s="1"/>
  <c r="C387" i="15" s="1"/>
  <c r="C388" i="15" s="1"/>
  <c r="C389" i="15" s="1"/>
  <c r="C390" i="15" s="1"/>
  <c r="C391" i="15" s="1"/>
  <c r="C392" i="15" s="1"/>
  <c r="C393" i="15" s="1"/>
  <c r="C394" i="15" s="1"/>
  <c r="C395" i="15" s="1"/>
  <c r="C396" i="15" s="1"/>
  <c r="C397" i="15" s="1"/>
  <c r="C398" i="15" s="1"/>
  <c r="C399" i="15" s="1"/>
  <c r="C400" i="15" s="1"/>
  <c r="C401" i="15" s="1"/>
  <c r="C302" i="15"/>
  <c r="C303" i="15"/>
  <c r="C304" i="15"/>
  <c r="C305" i="15"/>
  <c r="C306" i="15" s="1"/>
  <c r="C307" i="15" s="1"/>
  <c r="C308" i="15" s="1"/>
  <c r="C309" i="15" s="1"/>
  <c r="C310" i="15" s="1"/>
  <c r="C311" i="15" s="1"/>
  <c r="C312" i="15" s="1"/>
  <c r="C313" i="15" s="1"/>
  <c r="C314" i="15" s="1"/>
  <c r="C315" i="15" s="1"/>
  <c r="C316" i="15" s="1"/>
  <c r="B396" i="15"/>
  <c r="B397" i="15"/>
  <c r="B398" i="15"/>
  <c r="B399" i="15"/>
  <c r="B400" i="15" s="1"/>
  <c r="B401" i="15" s="1"/>
  <c r="B383" i="15"/>
  <c r="B384" i="15"/>
  <c r="B385" i="15"/>
  <c r="B386" i="15"/>
  <c r="B387" i="15" s="1"/>
  <c r="B388" i="15" s="1"/>
  <c r="B389" i="15" s="1"/>
  <c r="B390" i="15" s="1"/>
  <c r="B391" i="15" s="1"/>
  <c r="B392" i="15" s="1"/>
  <c r="B393" i="15" s="1"/>
  <c r="B394" i="15" s="1"/>
  <c r="B395" i="15" s="1"/>
  <c r="B353" i="15"/>
  <c r="B354" i="15"/>
  <c r="B355" i="15"/>
  <c r="B356" i="15"/>
  <c r="B357" i="15" s="1"/>
  <c r="B358" i="15" s="1"/>
  <c r="B359" i="15" s="1"/>
  <c r="B360" i="15" s="1"/>
  <c r="B361" i="15" s="1"/>
  <c r="B362" i="15" s="1"/>
  <c r="B363" i="15" s="1"/>
  <c r="B364" i="15" s="1"/>
  <c r="B365" i="15" s="1"/>
  <c r="B366" i="15" s="1"/>
  <c r="B367" i="15" s="1"/>
  <c r="B368" i="15" s="1"/>
  <c r="B369" i="15" s="1"/>
  <c r="B370" i="15" s="1"/>
  <c r="B371" i="15" s="1"/>
  <c r="B372" i="15" s="1"/>
  <c r="B373" i="15" s="1"/>
  <c r="B374" i="15" s="1"/>
  <c r="B375" i="15" s="1"/>
  <c r="B376" i="15" s="1"/>
  <c r="B377" i="15" s="1"/>
  <c r="B378" i="15" s="1"/>
  <c r="B379" i="15" s="1"/>
  <c r="B380" i="15" s="1"/>
  <c r="B381" i="15" s="1"/>
  <c r="B382" i="15" s="1"/>
  <c r="B331" i="15"/>
  <c r="B332" i="15"/>
  <c r="B333" i="15"/>
  <c r="B334" i="15"/>
  <c r="B335" i="15" s="1"/>
  <c r="B336" i="15" s="1"/>
  <c r="B337" i="15" s="1"/>
  <c r="B338" i="15" s="1"/>
  <c r="B339" i="15" s="1"/>
  <c r="B340" i="15" s="1"/>
  <c r="B341" i="15" s="1"/>
  <c r="B342" i="15" s="1"/>
  <c r="B343" i="15" s="1"/>
  <c r="B344" i="15" s="1"/>
  <c r="B345" i="15" s="1"/>
  <c r="B346" i="15" s="1"/>
  <c r="B347" i="15" s="1"/>
  <c r="B348" i="15" s="1"/>
  <c r="B349" i="15" s="1"/>
  <c r="B350" i="15" s="1"/>
  <c r="B351" i="15" s="1"/>
  <c r="B352" i="15" s="1"/>
  <c r="B303" i="15"/>
  <c r="B304" i="15"/>
  <c r="B305" i="15"/>
  <c r="B306" i="15"/>
  <c r="B307" i="15" s="1"/>
  <c r="B308" i="15" s="1"/>
  <c r="B309" i="15" s="1"/>
  <c r="B310" i="15" s="1"/>
  <c r="B311" i="15" s="1"/>
  <c r="B312" i="15" s="1"/>
  <c r="B313" i="15" s="1"/>
  <c r="B314" i="15" s="1"/>
  <c r="B315" i="15" s="1"/>
  <c r="B316" i="15" s="1"/>
  <c r="B317" i="15" s="1"/>
  <c r="B318" i="15" s="1"/>
  <c r="B319" i="15" s="1"/>
  <c r="B320" i="15" s="1"/>
  <c r="B321" i="15" s="1"/>
  <c r="B322" i="15" s="1"/>
  <c r="B323" i="15" s="1"/>
  <c r="B324" i="15" s="1"/>
  <c r="B325" i="15" s="1"/>
  <c r="B326" i="15" s="1"/>
  <c r="B327" i="15" s="1"/>
  <c r="B328" i="15" s="1"/>
  <c r="B329" i="15" s="1"/>
  <c r="B330" i="15" s="1"/>
  <c r="B302" i="15"/>
  <c r="L309" i="7" l="1"/>
  <c r="F46" i="14"/>
  <c r="F21" i="14"/>
  <c r="D45" i="12" l="1"/>
  <c r="D44" i="12"/>
  <c r="H44" i="12"/>
  <c r="H42" i="12"/>
  <c r="H45" i="12"/>
  <c r="H43" i="12"/>
  <c r="B87" i="19"/>
  <c r="B30" i="17"/>
  <c r="I221" i="7"/>
  <c r="H41" i="12"/>
  <c r="H40" i="12"/>
  <c r="D43" i="12"/>
  <c r="D41" i="12"/>
  <c r="D42" i="12"/>
  <c r="D40" i="12"/>
  <c r="B177" i="18"/>
  <c r="B96" i="16"/>
  <c r="B50" i="12" l="1"/>
  <c r="B51" i="12"/>
  <c r="L321" i="7" s="1"/>
  <c r="L234" i="7" l="1"/>
  <c r="L331" i="7"/>
  <c r="I250" i="7" l="1"/>
  <c r="I277" i="7"/>
  <c r="E7" i="14"/>
  <c r="E6" i="14"/>
  <c r="E5" i="14"/>
  <c r="L4" i="15"/>
  <c r="L5" i="15"/>
  <c r="L6" i="15" s="1"/>
  <c r="L7" i="15" s="1"/>
  <c r="L8" i="15" s="1"/>
  <c r="L9" i="15" s="1"/>
  <c r="L10" i="15" s="1"/>
  <c r="L11" i="15" s="1"/>
  <c r="L12" i="15" s="1"/>
  <c r="L13" i="15" s="1"/>
  <c r="L14" i="15" s="1"/>
  <c r="L15" i="15" s="1"/>
  <c r="L16" i="15" s="1"/>
  <c r="L17" i="15" s="1"/>
  <c r="L18" i="15" s="1"/>
  <c r="L19" i="15" s="1"/>
  <c r="L20" i="15" s="1"/>
  <c r="L3" i="15"/>
  <c r="L2" i="15"/>
  <c r="H152" i="7"/>
  <c r="D353" i="7"/>
  <c r="D38" i="12"/>
  <c r="D39" i="12"/>
  <c r="H39" i="12"/>
  <c r="H38" i="12"/>
  <c r="B49" i="12" l="1"/>
  <c r="B48" i="12"/>
  <c r="I309" i="7"/>
  <c r="I299" i="7"/>
  <c r="I177" i="7"/>
  <c r="I152" i="7"/>
  <c r="I133" i="7"/>
  <c r="I97" i="7"/>
  <c r="I50" i="7"/>
  <c r="I2" i="7"/>
  <c r="L250" i="7" l="1"/>
  <c r="J381" i="15"/>
  <c r="K381" i="15"/>
  <c r="J382" i="15"/>
  <c r="J383" i="15" s="1"/>
  <c r="J384" i="15" s="1"/>
  <c r="J385" i="15" s="1"/>
  <c r="J386" i="15" s="1"/>
  <c r="J387" i="15" s="1"/>
  <c r="J388" i="15" s="1"/>
  <c r="J389" i="15" s="1"/>
  <c r="J390" i="15" s="1"/>
  <c r="J391" i="15" s="1"/>
  <c r="J392" i="15" s="1"/>
  <c r="J393" i="15" s="1"/>
  <c r="J394" i="15" s="1"/>
  <c r="J395" i="15" s="1"/>
  <c r="J396" i="15" s="1"/>
  <c r="J397" i="15" s="1"/>
  <c r="J398" i="15" s="1"/>
  <c r="J399" i="15" s="1"/>
  <c r="J400" i="15" s="1"/>
  <c r="J401" i="15" s="1"/>
  <c r="J402" i="15" s="1"/>
  <c r="J403" i="15" s="1"/>
  <c r="J404" i="15" s="1"/>
  <c r="J405" i="15" s="1"/>
  <c r="J406" i="15" s="1"/>
  <c r="J407" i="15" s="1"/>
  <c r="J408" i="15" s="1"/>
  <c r="J409" i="15" s="1"/>
  <c r="J410" i="15" s="1"/>
  <c r="J411" i="15" s="1"/>
  <c r="J412" i="15" s="1"/>
  <c r="J413" i="15" s="1"/>
  <c r="J414" i="15" s="1"/>
  <c r="J415" i="15" s="1"/>
  <c r="J416" i="15" s="1"/>
  <c r="J417" i="15" s="1"/>
  <c r="J418" i="15" s="1"/>
  <c r="J419" i="15" s="1"/>
  <c r="J420" i="15" s="1"/>
  <c r="J421" i="15" s="1"/>
  <c r="J422" i="15" s="1"/>
  <c r="J423" i="15" s="1"/>
  <c r="J424" i="15" s="1"/>
  <c r="J425" i="15" s="1"/>
  <c r="J426" i="15" s="1"/>
  <c r="J427" i="15" s="1"/>
  <c r="J428" i="15" s="1"/>
  <c r="J429" i="15" s="1"/>
  <c r="J430" i="15" s="1"/>
  <c r="J431" i="15" s="1"/>
  <c r="J432" i="15" s="1"/>
  <c r="J433" i="15" s="1"/>
  <c r="J434" i="15" s="1"/>
  <c r="J435" i="15" s="1"/>
  <c r="J436" i="15" s="1"/>
  <c r="J437" i="15" s="1"/>
  <c r="J438" i="15" s="1"/>
  <c r="J439" i="15" s="1"/>
  <c r="J440" i="15" s="1"/>
  <c r="J441" i="15" s="1"/>
  <c r="J442" i="15" s="1"/>
  <c r="J443" i="15" s="1"/>
  <c r="J444" i="15" s="1"/>
  <c r="J445" i="15" s="1"/>
  <c r="J446" i="15" s="1"/>
  <c r="J447" i="15" s="1"/>
  <c r="J448" i="15" s="1"/>
  <c r="J449" i="15" s="1"/>
  <c r="J450" i="15" s="1"/>
  <c r="J451" i="15" s="1"/>
  <c r="J452" i="15" s="1"/>
  <c r="J453" i="15" s="1"/>
  <c r="J454" i="15" s="1"/>
  <c r="J455" i="15" s="1"/>
  <c r="K382" i="15"/>
  <c r="K383" i="15" s="1"/>
  <c r="K384" i="15"/>
  <c r="K385" i="15" s="1"/>
  <c r="K386" i="15"/>
  <c r="K387" i="15" s="1"/>
  <c r="K388" i="15"/>
  <c r="K389" i="15" s="1"/>
  <c r="K390" i="15" s="1"/>
  <c r="K391" i="15" s="1"/>
  <c r="K392" i="15" s="1"/>
  <c r="K393" i="15" s="1"/>
  <c r="K394" i="15" s="1"/>
  <c r="K395" i="15" s="1"/>
  <c r="K396" i="15" s="1"/>
  <c r="K397" i="15" s="1"/>
  <c r="K398" i="15" s="1"/>
  <c r="K399" i="15" s="1"/>
  <c r="K400" i="15" s="1"/>
  <c r="K401" i="15" s="1"/>
  <c r="K402" i="15" s="1"/>
  <c r="K403" i="15" s="1"/>
  <c r="K404" i="15" s="1"/>
  <c r="K405" i="15" s="1"/>
  <c r="K406" i="15" s="1"/>
  <c r="K407" i="15" s="1"/>
  <c r="K408" i="15" s="1"/>
  <c r="K409" i="15" s="1"/>
  <c r="K410" i="15" s="1"/>
  <c r="K411" i="15" s="1"/>
  <c r="K412" i="15" s="1"/>
  <c r="K413" i="15" s="1"/>
  <c r="K414" i="15" s="1"/>
  <c r="K415" i="15" s="1"/>
  <c r="K416" i="15" s="1"/>
  <c r="K417" i="15" s="1"/>
  <c r="K418" i="15" s="1"/>
  <c r="K419" i="15" s="1"/>
  <c r="K420" i="15" s="1"/>
  <c r="K421" i="15" s="1"/>
  <c r="K422" i="15" s="1"/>
  <c r="K423" i="15" s="1"/>
  <c r="K424" i="15" s="1"/>
  <c r="K425" i="15" s="1"/>
  <c r="K426" i="15" s="1"/>
  <c r="K427" i="15" s="1"/>
  <c r="K428" i="15" s="1"/>
  <c r="K429" i="15" s="1"/>
  <c r="K430" i="15" s="1"/>
  <c r="K431" i="15" s="1"/>
  <c r="K432" i="15" s="1"/>
  <c r="K433" i="15" s="1"/>
  <c r="K434" i="15" s="1"/>
  <c r="K435" i="15" s="1"/>
  <c r="K436" i="15" s="1"/>
  <c r="K437" i="15" s="1"/>
  <c r="K438" i="15" s="1"/>
  <c r="K439" i="15" s="1"/>
  <c r="K440" i="15" s="1"/>
  <c r="K441" i="15" s="1"/>
  <c r="K442" i="15" s="1"/>
  <c r="K443" i="15" s="1"/>
  <c r="K444" i="15" s="1"/>
  <c r="K445" i="15" s="1"/>
  <c r="K446" i="15" s="1"/>
  <c r="K447" i="15" s="1"/>
  <c r="K448" i="15" s="1"/>
  <c r="K449" i="15" s="1"/>
  <c r="K450" i="15" s="1"/>
  <c r="K451" i="15" s="1"/>
  <c r="K452" i="15" s="1"/>
  <c r="K453" i="15" s="1"/>
  <c r="K454" i="15" s="1"/>
  <c r="K455" i="15" s="1"/>
  <c r="K4" i="15"/>
  <c r="K5" i="15"/>
  <c r="K6" i="15"/>
  <c r="K7" i="15"/>
  <c r="K8" i="15" s="1"/>
  <c r="K9" i="15" s="1"/>
  <c r="K10" i="15" s="1"/>
  <c r="K11" i="15" s="1"/>
  <c r="K12" i="15" s="1"/>
  <c r="K13" i="15" s="1"/>
  <c r="K14" i="15" s="1"/>
  <c r="K15" i="15" s="1"/>
  <c r="K16" i="15" s="1"/>
  <c r="K17" i="15" s="1"/>
  <c r="K18" i="15" s="1"/>
  <c r="K19" i="15" s="1"/>
  <c r="K20" i="15" s="1"/>
  <c r="K21" i="15" s="1"/>
  <c r="K22" i="15" s="1"/>
  <c r="K23" i="15" s="1"/>
  <c r="K24" i="15" s="1"/>
  <c r="K25" i="15" s="1"/>
  <c r="K26" i="15" s="1"/>
  <c r="K27" i="15" s="1"/>
  <c r="K28" i="15" s="1"/>
  <c r="K29" i="15" s="1"/>
  <c r="K30" i="15" s="1"/>
  <c r="K31" i="15" s="1"/>
  <c r="K32" i="15" s="1"/>
  <c r="K33" i="15" s="1"/>
  <c r="K34" i="15" s="1"/>
  <c r="K35" i="15" s="1"/>
  <c r="K36" i="15" s="1"/>
  <c r="K37" i="15" s="1"/>
  <c r="K38" i="15" s="1"/>
  <c r="K39" i="15" s="1"/>
  <c r="K40" i="15" s="1"/>
  <c r="K41" i="15" s="1"/>
  <c r="K42" i="15" s="1"/>
  <c r="K43" i="15" s="1"/>
  <c r="K44" i="15" s="1"/>
  <c r="K45" i="15" s="1"/>
  <c r="K46" i="15" s="1"/>
  <c r="K47" i="15" s="1"/>
  <c r="K48" i="15" s="1"/>
  <c r="K49" i="15" s="1"/>
  <c r="K50" i="15" s="1"/>
  <c r="K51" i="15" s="1"/>
  <c r="K52" i="15" s="1"/>
  <c r="K53" i="15" s="1"/>
  <c r="K54" i="15" s="1"/>
  <c r="K55" i="15" s="1"/>
  <c r="K56" i="15" s="1"/>
  <c r="K57" i="15" s="1"/>
  <c r="K58" i="15" s="1"/>
  <c r="K59" i="15" s="1"/>
  <c r="K60" i="15" s="1"/>
  <c r="K61" i="15" s="1"/>
  <c r="K62" i="15" s="1"/>
  <c r="K63" i="15" s="1"/>
  <c r="K64" i="15" s="1"/>
  <c r="K65" i="15" s="1"/>
  <c r="K66" i="15" s="1"/>
  <c r="K67" i="15" s="1"/>
  <c r="K68" i="15" s="1"/>
  <c r="K69" i="15" s="1"/>
  <c r="K70" i="15" s="1"/>
  <c r="K71" i="15" s="1"/>
  <c r="K72" i="15" s="1"/>
  <c r="K73" i="15" s="1"/>
  <c r="K74" i="15" s="1"/>
  <c r="K75" i="15" s="1"/>
  <c r="K76" i="15" s="1"/>
  <c r="K77" i="15" s="1"/>
  <c r="K78" i="15" s="1"/>
  <c r="K79" i="15" s="1"/>
  <c r="K80" i="15" s="1"/>
  <c r="K81" i="15" s="1"/>
  <c r="K82" i="15" s="1"/>
  <c r="K83" i="15" s="1"/>
  <c r="K84" i="15" s="1"/>
  <c r="K85" i="15" s="1"/>
  <c r="K86" i="15" s="1"/>
  <c r="K87" i="15" s="1"/>
  <c r="K88" i="15" s="1"/>
  <c r="K89" i="15" s="1"/>
  <c r="K90" i="15" s="1"/>
  <c r="K91" i="15" s="1"/>
  <c r="K92" i="15" s="1"/>
  <c r="K93" i="15" s="1"/>
  <c r="K94" i="15" s="1"/>
  <c r="K95" i="15" s="1"/>
  <c r="K96" i="15" s="1"/>
  <c r="K97" i="15" s="1"/>
  <c r="K98" i="15" s="1"/>
  <c r="K99" i="15" s="1"/>
  <c r="K100" i="15" s="1"/>
  <c r="K101" i="15" s="1"/>
  <c r="K102" i="15" s="1"/>
  <c r="K103" i="15" s="1"/>
  <c r="K104" i="15" s="1"/>
  <c r="K105" i="15" s="1"/>
  <c r="K106" i="15" s="1"/>
  <c r="K107" i="15" s="1"/>
  <c r="K108" i="15" s="1"/>
  <c r="K109" i="15" s="1"/>
  <c r="K110" i="15" s="1"/>
  <c r="K111" i="15" s="1"/>
  <c r="K112" i="15" s="1"/>
  <c r="K113" i="15" s="1"/>
  <c r="K114" i="15" s="1"/>
  <c r="K115" i="15" s="1"/>
  <c r="K116" i="15" s="1"/>
  <c r="K117" i="15" s="1"/>
  <c r="K118" i="15" s="1"/>
  <c r="K119" i="15" s="1"/>
  <c r="K120" i="15" s="1"/>
  <c r="K121" i="15" s="1"/>
  <c r="K122" i="15" s="1"/>
  <c r="K123" i="15" s="1"/>
  <c r="K124" i="15" s="1"/>
  <c r="K125" i="15" s="1"/>
  <c r="K126" i="15" s="1"/>
  <c r="K127" i="15" s="1"/>
  <c r="K128" i="15" s="1"/>
  <c r="K129" i="15" s="1"/>
  <c r="K130" i="15" s="1"/>
  <c r="K131" i="15" s="1"/>
  <c r="K132" i="15" s="1"/>
  <c r="K133" i="15" s="1"/>
  <c r="K134" i="15" s="1"/>
  <c r="K135" i="15" s="1"/>
  <c r="K136" i="15" s="1"/>
  <c r="K137" i="15" s="1"/>
  <c r="K138" i="15" s="1"/>
  <c r="K139" i="15" s="1"/>
  <c r="K140" i="15" s="1"/>
  <c r="K141" i="15" s="1"/>
  <c r="K142" i="15" s="1"/>
  <c r="K143" i="15" s="1"/>
  <c r="K144" i="15" s="1"/>
  <c r="K145" i="15" s="1"/>
  <c r="K146" i="15" s="1"/>
  <c r="K147" i="15" s="1"/>
  <c r="K148" i="15" s="1"/>
  <c r="K149" i="15" s="1"/>
  <c r="K150" i="15" s="1"/>
  <c r="K151" i="15" s="1"/>
  <c r="K152" i="15" s="1"/>
  <c r="K153" i="15" s="1"/>
  <c r="K154" i="15" s="1"/>
  <c r="K155" i="15" s="1"/>
  <c r="K156" i="15" s="1"/>
  <c r="K157" i="15" s="1"/>
  <c r="K158" i="15" s="1"/>
  <c r="K159" i="15" s="1"/>
  <c r="K160" i="15" s="1"/>
  <c r="K161" i="15" s="1"/>
  <c r="K162" i="15" s="1"/>
  <c r="K163" i="15" s="1"/>
  <c r="K164" i="15" s="1"/>
  <c r="K165" i="15" s="1"/>
  <c r="K166" i="15" s="1"/>
  <c r="K167" i="15" s="1"/>
  <c r="K168" i="15" s="1"/>
  <c r="K169" i="15" s="1"/>
  <c r="K170" i="15" s="1"/>
  <c r="K171" i="15" s="1"/>
  <c r="K172" i="15" s="1"/>
  <c r="K173" i="15" s="1"/>
  <c r="K174" i="15" s="1"/>
  <c r="K175" i="15" s="1"/>
  <c r="K176" i="15" s="1"/>
  <c r="K177" i="15" s="1"/>
  <c r="K178" i="15" s="1"/>
  <c r="K179" i="15" s="1"/>
  <c r="K180" i="15" s="1"/>
  <c r="K181" i="15" s="1"/>
  <c r="K182" i="15" s="1"/>
  <c r="K183" i="15" s="1"/>
  <c r="K184" i="15" s="1"/>
  <c r="K185" i="15" s="1"/>
  <c r="K186" i="15" s="1"/>
  <c r="K187" i="15" s="1"/>
  <c r="K188" i="15" s="1"/>
  <c r="K189" i="15" s="1"/>
  <c r="K190" i="15" s="1"/>
  <c r="K191" i="15" s="1"/>
  <c r="K192" i="15" s="1"/>
  <c r="K193" i="15" s="1"/>
  <c r="K194" i="15" s="1"/>
  <c r="K195" i="15" s="1"/>
  <c r="K196" i="15" s="1"/>
  <c r="K197" i="15" s="1"/>
  <c r="K198" i="15" s="1"/>
  <c r="K199" i="15" s="1"/>
  <c r="K200" i="15" s="1"/>
  <c r="K201" i="15" s="1"/>
  <c r="K202" i="15" s="1"/>
  <c r="K203" i="15" s="1"/>
  <c r="K204" i="15" s="1"/>
  <c r="K205" i="15" s="1"/>
  <c r="K206" i="15" s="1"/>
  <c r="K207" i="15" s="1"/>
  <c r="K208" i="15" s="1"/>
  <c r="K209" i="15" s="1"/>
  <c r="K210" i="15" s="1"/>
  <c r="K211" i="15" s="1"/>
  <c r="K212" i="15" s="1"/>
  <c r="K213" i="15" s="1"/>
  <c r="K214" i="15" s="1"/>
  <c r="K215" i="15" s="1"/>
  <c r="K216" i="15" s="1"/>
  <c r="K217" i="15" s="1"/>
  <c r="K218" i="15" s="1"/>
  <c r="K219" i="15" s="1"/>
  <c r="K220" i="15" s="1"/>
  <c r="K221" i="15" s="1"/>
  <c r="K222" i="15" s="1"/>
  <c r="K223" i="15" s="1"/>
  <c r="K224" i="15" s="1"/>
  <c r="K225" i="15" s="1"/>
  <c r="K226" i="15" s="1"/>
  <c r="K227" i="15" s="1"/>
  <c r="K228" i="15" s="1"/>
  <c r="K229" i="15" s="1"/>
  <c r="K230" i="15" s="1"/>
  <c r="K231" i="15" s="1"/>
  <c r="K232" i="15" s="1"/>
  <c r="K233" i="15" s="1"/>
  <c r="K234" i="15" s="1"/>
  <c r="K235" i="15" s="1"/>
  <c r="K236" i="15" s="1"/>
  <c r="K237" i="15" s="1"/>
  <c r="K238" i="15" s="1"/>
  <c r="K239" i="15" s="1"/>
  <c r="K240" i="15" s="1"/>
  <c r="K241" i="15" s="1"/>
  <c r="K242" i="15" s="1"/>
  <c r="K243" i="15" s="1"/>
  <c r="K244" i="15" s="1"/>
  <c r="K245" i="15" s="1"/>
  <c r="K246" i="15" s="1"/>
  <c r="K247" i="15" s="1"/>
  <c r="K248" i="15" s="1"/>
  <c r="K249" i="15" s="1"/>
  <c r="K250" i="15" s="1"/>
  <c r="K251" i="15" s="1"/>
  <c r="K252" i="15" s="1"/>
  <c r="K253" i="15" s="1"/>
  <c r="K254" i="15" s="1"/>
  <c r="K255" i="15" s="1"/>
  <c r="K256" i="15" s="1"/>
  <c r="K257" i="15" s="1"/>
  <c r="K258" i="15" s="1"/>
  <c r="K259" i="15" s="1"/>
  <c r="K260" i="15" s="1"/>
  <c r="K261" i="15" s="1"/>
  <c r="K262" i="15" s="1"/>
  <c r="K263" i="15" s="1"/>
  <c r="K264" i="15" s="1"/>
  <c r="K265" i="15" s="1"/>
  <c r="K266" i="15" s="1"/>
  <c r="K267" i="15" s="1"/>
  <c r="K268" i="15" s="1"/>
  <c r="K269" i="15" s="1"/>
  <c r="K270" i="15" s="1"/>
  <c r="K271" i="15" s="1"/>
  <c r="K272" i="15" s="1"/>
  <c r="K273" i="15" s="1"/>
  <c r="K274" i="15" s="1"/>
  <c r="K275" i="15" s="1"/>
  <c r="K276" i="15" s="1"/>
  <c r="K277" i="15" s="1"/>
  <c r="K278" i="15" s="1"/>
  <c r="K279" i="15" s="1"/>
  <c r="K280" i="15" s="1"/>
  <c r="K281" i="15" s="1"/>
  <c r="K282" i="15" s="1"/>
  <c r="K283" i="15" s="1"/>
  <c r="K284" i="15" s="1"/>
  <c r="K285" i="15" s="1"/>
  <c r="K286" i="15" s="1"/>
  <c r="K287" i="15" s="1"/>
  <c r="K288" i="15" s="1"/>
  <c r="K289" i="15" s="1"/>
  <c r="K290" i="15" s="1"/>
  <c r="K291" i="15" s="1"/>
  <c r="K292" i="15" s="1"/>
  <c r="K293" i="15" s="1"/>
  <c r="K294" i="15" s="1"/>
  <c r="K295" i="15" s="1"/>
  <c r="K296" i="15" s="1"/>
  <c r="K297" i="15" s="1"/>
  <c r="K298" i="15" s="1"/>
  <c r="K299" i="15" s="1"/>
  <c r="K300" i="15" s="1"/>
  <c r="K301" i="15" s="1"/>
  <c r="K302" i="15" s="1"/>
  <c r="K303" i="15" s="1"/>
  <c r="K304" i="15" s="1"/>
  <c r="K305" i="15" s="1"/>
  <c r="K306" i="15" s="1"/>
  <c r="K307" i="15" s="1"/>
  <c r="K308" i="15" s="1"/>
  <c r="K309" i="15" s="1"/>
  <c r="K310" i="15" s="1"/>
  <c r="K311" i="15" s="1"/>
  <c r="K312" i="15" s="1"/>
  <c r="K313" i="15" s="1"/>
  <c r="K314" i="15" s="1"/>
  <c r="K315" i="15" s="1"/>
  <c r="K316" i="15" s="1"/>
  <c r="K317" i="15" s="1"/>
  <c r="K318" i="15" s="1"/>
  <c r="K319" i="15" s="1"/>
  <c r="K320" i="15" s="1"/>
  <c r="K321" i="15" s="1"/>
  <c r="K322" i="15" s="1"/>
  <c r="K323" i="15" s="1"/>
  <c r="K324" i="15" s="1"/>
  <c r="K325" i="15" s="1"/>
  <c r="K326" i="15" s="1"/>
  <c r="K327" i="15" s="1"/>
  <c r="K328" i="15" s="1"/>
  <c r="K329" i="15" s="1"/>
  <c r="K330" i="15" s="1"/>
  <c r="K331" i="15" s="1"/>
  <c r="K332" i="15" s="1"/>
  <c r="K333" i="15" s="1"/>
  <c r="K334" i="15" s="1"/>
  <c r="K335" i="15" s="1"/>
  <c r="K336" i="15" s="1"/>
  <c r="K337" i="15" s="1"/>
  <c r="K338" i="15" s="1"/>
  <c r="K339" i="15" s="1"/>
  <c r="K340" i="15" s="1"/>
  <c r="K341" i="15" s="1"/>
  <c r="K342" i="15" s="1"/>
  <c r="K343" i="15" s="1"/>
  <c r="K344" i="15" s="1"/>
  <c r="K345" i="15" s="1"/>
  <c r="K346" i="15" s="1"/>
  <c r="K347" i="15" s="1"/>
  <c r="K348" i="15" s="1"/>
  <c r="K349" i="15" s="1"/>
  <c r="K350" i="15" s="1"/>
  <c r="K351" i="15" s="1"/>
  <c r="K352" i="15" s="1"/>
  <c r="K353" i="15" s="1"/>
  <c r="K354" i="15" s="1"/>
  <c r="K355" i="15" s="1"/>
  <c r="K356" i="15" s="1"/>
  <c r="K357" i="15" s="1"/>
  <c r="K358" i="15" s="1"/>
  <c r="K359" i="15" s="1"/>
  <c r="K360" i="15" s="1"/>
  <c r="K361" i="15" s="1"/>
  <c r="K362" i="15" s="1"/>
  <c r="K363" i="15" s="1"/>
  <c r="K364" i="15" s="1"/>
  <c r="K365" i="15" s="1"/>
  <c r="K366" i="15" s="1"/>
  <c r="K367" i="15" s="1"/>
  <c r="K368" i="15" s="1"/>
  <c r="K369" i="15" s="1"/>
  <c r="K370" i="15" s="1"/>
  <c r="K371" i="15" s="1"/>
  <c r="K372" i="15" s="1"/>
  <c r="K373" i="15" s="1"/>
  <c r="K374" i="15" s="1"/>
  <c r="K375" i="15" s="1"/>
  <c r="K376" i="15" s="1"/>
  <c r="K377" i="15" s="1"/>
  <c r="K378" i="15" s="1"/>
  <c r="K379" i="15" s="1"/>
  <c r="K380" i="15" s="1"/>
  <c r="K3" i="15"/>
  <c r="K2" i="15"/>
  <c r="J302" i="15"/>
  <c r="J303" i="15"/>
  <c r="J304" i="15"/>
  <c r="J305" i="15" s="1"/>
  <c r="J306" i="15" s="1"/>
  <c r="J307" i="15" s="1"/>
  <c r="J308" i="15" s="1"/>
  <c r="J309" i="15" s="1"/>
  <c r="J310" i="15" s="1"/>
  <c r="J311" i="15" s="1"/>
  <c r="J312" i="15" s="1"/>
  <c r="J313" i="15" s="1"/>
  <c r="J314" i="15" s="1"/>
  <c r="J315" i="15" s="1"/>
  <c r="J316" i="15" s="1"/>
  <c r="J317" i="15" s="1"/>
  <c r="J318" i="15" s="1"/>
  <c r="J319" i="15" s="1"/>
  <c r="J320" i="15" s="1"/>
  <c r="J321" i="15" s="1"/>
  <c r="J322" i="15" s="1"/>
  <c r="J323" i="15" s="1"/>
  <c r="J324" i="15" s="1"/>
  <c r="J325" i="15" s="1"/>
  <c r="J326" i="15" s="1"/>
  <c r="J327" i="15" s="1"/>
  <c r="J328" i="15" s="1"/>
  <c r="J329" i="15" s="1"/>
  <c r="J330" i="15" s="1"/>
  <c r="J331" i="15" s="1"/>
  <c r="J332" i="15" s="1"/>
  <c r="J333" i="15" s="1"/>
  <c r="J334" i="15" s="1"/>
  <c r="J335" i="15" s="1"/>
  <c r="J336" i="15" s="1"/>
  <c r="J337" i="15" s="1"/>
  <c r="J338" i="15" s="1"/>
  <c r="J339" i="15" s="1"/>
  <c r="J340" i="15" s="1"/>
  <c r="J341" i="15" s="1"/>
  <c r="J342" i="15" s="1"/>
  <c r="J343" i="15" s="1"/>
  <c r="J344" i="15" s="1"/>
  <c r="J345" i="15" s="1"/>
  <c r="J346" i="15" s="1"/>
  <c r="J347" i="15" s="1"/>
  <c r="J348" i="15" s="1"/>
  <c r="J349" i="15" s="1"/>
  <c r="J350" i="15" s="1"/>
  <c r="J351" i="15" s="1"/>
  <c r="J352" i="15" s="1"/>
  <c r="J353" i="15" s="1"/>
  <c r="J354" i="15" s="1"/>
  <c r="J355" i="15" s="1"/>
  <c r="J356" i="15" s="1"/>
  <c r="J357" i="15" s="1"/>
  <c r="J358" i="15" s="1"/>
  <c r="J359" i="15" s="1"/>
  <c r="J360" i="15" s="1"/>
  <c r="J361" i="15" s="1"/>
  <c r="J362" i="15" s="1"/>
  <c r="J363" i="15" s="1"/>
  <c r="J364" i="15" s="1"/>
  <c r="J365" i="15" s="1"/>
  <c r="J366" i="15" s="1"/>
  <c r="J367" i="15" s="1"/>
  <c r="J368" i="15" s="1"/>
  <c r="J369" i="15" s="1"/>
  <c r="J370" i="15" s="1"/>
  <c r="J371" i="15" s="1"/>
  <c r="J372" i="15" s="1"/>
  <c r="J373" i="15" s="1"/>
  <c r="J374" i="15" s="1"/>
  <c r="J375" i="15" s="1"/>
  <c r="J376" i="15" s="1"/>
  <c r="J377" i="15" s="1"/>
  <c r="J378" i="15" s="1"/>
  <c r="J379" i="15" s="1"/>
  <c r="J380" i="15" s="1"/>
  <c r="J4" i="15"/>
  <c r="J5" i="15"/>
  <c r="J6" i="15"/>
  <c r="J7" i="15" s="1"/>
  <c r="J8" i="15" s="1"/>
  <c r="J9" i="15" s="1"/>
  <c r="J10" i="15" s="1"/>
  <c r="J11" i="15" s="1"/>
  <c r="J12" i="15" s="1"/>
  <c r="J13" i="15" s="1"/>
  <c r="J14" i="15" s="1"/>
  <c r="J15" i="15" s="1"/>
  <c r="J16" i="15" s="1"/>
  <c r="J17" i="15" s="1"/>
  <c r="J18" i="15" s="1"/>
  <c r="J19" i="15" s="1"/>
  <c r="J20" i="15" s="1"/>
  <c r="J21" i="15" s="1"/>
  <c r="J22" i="15" s="1"/>
  <c r="J23" i="15" s="1"/>
  <c r="J24" i="15" s="1"/>
  <c r="J25" i="15" s="1"/>
  <c r="J26" i="15" s="1"/>
  <c r="J27" i="15" s="1"/>
  <c r="J28" i="15" s="1"/>
  <c r="J29" i="15" s="1"/>
  <c r="J30" i="15" s="1"/>
  <c r="J31" i="15" s="1"/>
  <c r="J32" i="15" s="1"/>
  <c r="J33" i="15" s="1"/>
  <c r="J34" i="15" s="1"/>
  <c r="J35" i="15" s="1"/>
  <c r="J36" i="15" s="1"/>
  <c r="J37" i="15" s="1"/>
  <c r="J38" i="15" s="1"/>
  <c r="J39" i="15" s="1"/>
  <c r="J40" i="15" s="1"/>
  <c r="J41" i="15" s="1"/>
  <c r="J42" i="15" s="1"/>
  <c r="J43" i="15" s="1"/>
  <c r="J44" i="15" s="1"/>
  <c r="J45" i="15" s="1"/>
  <c r="J46" i="15" s="1"/>
  <c r="J47" i="15" s="1"/>
  <c r="J48" i="15" s="1"/>
  <c r="J49" i="15" s="1"/>
  <c r="J50" i="15" s="1"/>
  <c r="J51" i="15" s="1"/>
  <c r="J52" i="15" s="1"/>
  <c r="J53" i="15" s="1"/>
  <c r="J54" i="15" s="1"/>
  <c r="J55" i="15" s="1"/>
  <c r="J56" i="15" s="1"/>
  <c r="J57" i="15" s="1"/>
  <c r="J58" i="15" s="1"/>
  <c r="J59" i="15" s="1"/>
  <c r="J60" i="15" s="1"/>
  <c r="J61" i="15" s="1"/>
  <c r="J62" i="15" s="1"/>
  <c r="J63" i="15" s="1"/>
  <c r="J64" i="15" s="1"/>
  <c r="J65" i="15" s="1"/>
  <c r="J66" i="15" s="1"/>
  <c r="J67" i="15" s="1"/>
  <c r="J68" i="15" s="1"/>
  <c r="J69" i="15" s="1"/>
  <c r="J70" i="15" s="1"/>
  <c r="J71" i="15" s="1"/>
  <c r="J72" i="15" s="1"/>
  <c r="J73" i="15" s="1"/>
  <c r="J74" i="15" s="1"/>
  <c r="J75" i="15" s="1"/>
  <c r="J76" i="15" s="1"/>
  <c r="J77" i="15" s="1"/>
  <c r="J78" i="15" s="1"/>
  <c r="J79" i="15" s="1"/>
  <c r="J80" i="15" s="1"/>
  <c r="J81" i="15" s="1"/>
  <c r="J82" i="15" s="1"/>
  <c r="J83" i="15" s="1"/>
  <c r="J84" i="15" s="1"/>
  <c r="J85" i="15" s="1"/>
  <c r="J86" i="15" s="1"/>
  <c r="J87" i="15" s="1"/>
  <c r="J88" i="15" s="1"/>
  <c r="J89" i="15" s="1"/>
  <c r="J90" i="15" s="1"/>
  <c r="J91" i="15" s="1"/>
  <c r="J92" i="15" s="1"/>
  <c r="J93" i="15" s="1"/>
  <c r="J94" i="15" s="1"/>
  <c r="J95" i="15" s="1"/>
  <c r="J96" i="15" s="1"/>
  <c r="J97" i="15" s="1"/>
  <c r="J98" i="15" s="1"/>
  <c r="J99" i="15" s="1"/>
  <c r="J100" i="15" s="1"/>
  <c r="J101" i="15" s="1"/>
  <c r="J102" i="15" s="1"/>
  <c r="J103" i="15" s="1"/>
  <c r="J104" i="15" s="1"/>
  <c r="J105" i="15" s="1"/>
  <c r="J106" i="15" s="1"/>
  <c r="J107" i="15" s="1"/>
  <c r="J108" i="15" s="1"/>
  <c r="J109" i="15" s="1"/>
  <c r="J110" i="15" s="1"/>
  <c r="J111" i="15" s="1"/>
  <c r="J112" i="15" s="1"/>
  <c r="J113" i="15" s="1"/>
  <c r="J114" i="15" s="1"/>
  <c r="J115" i="15" s="1"/>
  <c r="J116" i="15" s="1"/>
  <c r="J117" i="15" s="1"/>
  <c r="J118" i="15" s="1"/>
  <c r="J119" i="15" s="1"/>
  <c r="J120" i="15" s="1"/>
  <c r="J121" i="15" s="1"/>
  <c r="J122" i="15" s="1"/>
  <c r="J123" i="15" s="1"/>
  <c r="J124" i="15" s="1"/>
  <c r="J125" i="15" s="1"/>
  <c r="J126" i="15" s="1"/>
  <c r="J127" i="15" s="1"/>
  <c r="J128" i="15" s="1"/>
  <c r="J129" i="15" s="1"/>
  <c r="J130" i="15" s="1"/>
  <c r="J131" i="15" s="1"/>
  <c r="J132" i="15" s="1"/>
  <c r="J133" i="15" s="1"/>
  <c r="J134" i="15" s="1"/>
  <c r="J135" i="15" s="1"/>
  <c r="J136" i="15" s="1"/>
  <c r="J137" i="15" s="1"/>
  <c r="J138" i="15" s="1"/>
  <c r="J139" i="15" s="1"/>
  <c r="J140" i="15" s="1"/>
  <c r="J141" i="15" s="1"/>
  <c r="J142" i="15" s="1"/>
  <c r="J143" i="15" s="1"/>
  <c r="J144" i="15" s="1"/>
  <c r="J145" i="15" s="1"/>
  <c r="J146" i="15" s="1"/>
  <c r="J147" i="15" s="1"/>
  <c r="J148" i="15" s="1"/>
  <c r="J149" i="15" s="1"/>
  <c r="J150" i="15" s="1"/>
  <c r="J151" i="15" s="1"/>
  <c r="J152" i="15" s="1"/>
  <c r="J153" i="15" s="1"/>
  <c r="J154" i="15" s="1"/>
  <c r="J155" i="15" s="1"/>
  <c r="J156" i="15" s="1"/>
  <c r="J157" i="15" s="1"/>
  <c r="J158" i="15" s="1"/>
  <c r="J159" i="15" s="1"/>
  <c r="J160" i="15" s="1"/>
  <c r="J161" i="15" s="1"/>
  <c r="J162" i="15" s="1"/>
  <c r="J163" i="15" s="1"/>
  <c r="J164" i="15" s="1"/>
  <c r="J165" i="15" s="1"/>
  <c r="J166" i="15" s="1"/>
  <c r="J167" i="15" s="1"/>
  <c r="J168" i="15" s="1"/>
  <c r="J169" i="15" s="1"/>
  <c r="J170" i="15" s="1"/>
  <c r="J171" i="15" s="1"/>
  <c r="J172" i="15" s="1"/>
  <c r="J173" i="15" s="1"/>
  <c r="J174" i="15" s="1"/>
  <c r="J175" i="15" s="1"/>
  <c r="J176" i="15" s="1"/>
  <c r="J177" i="15" s="1"/>
  <c r="J178" i="15" s="1"/>
  <c r="J179" i="15" s="1"/>
  <c r="J180" i="15" s="1"/>
  <c r="J181" i="15" s="1"/>
  <c r="J182" i="15" s="1"/>
  <c r="J183" i="15" s="1"/>
  <c r="J184" i="15" s="1"/>
  <c r="J185" i="15" s="1"/>
  <c r="J186" i="15" s="1"/>
  <c r="J187" i="15" s="1"/>
  <c r="J188" i="15" s="1"/>
  <c r="J189" i="15" s="1"/>
  <c r="J190" i="15" s="1"/>
  <c r="J191" i="15" s="1"/>
  <c r="J192" i="15" s="1"/>
  <c r="J193" i="15" s="1"/>
  <c r="J194" i="15" s="1"/>
  <c r="J195" i="15" s="1"/>
  <c r="J196" i="15" s="1"/>
  <c r="J197" i="15" s="1"/>
  <c r="J198" i="15" s="1"/>
  <c r="J199" i="15" s="1"/>
  <c r="J200" i="15" s="1"/>
  <c r="J201" i="15" s="1"/>
  <c r="J202" i="15" s="1"/>
  <c r="J203" i="15" s="1"/>
  <c r="J204" i="15" s="1"/>
  <c r="J205" i="15" s="1"/>
  <c r="J206" i="15" s="1"/>
  <c r="J207" i="15" s="1"/>
  <c r="J208" i="15" s="1"/>
  <c r="J209" i="15" s="1"/>
  <c r="J210" i="15" s="1"/>
  <c r="J211" i="15" s="1"/>
  <c r="J212" i="15" s="1"/>
  <c r="J213" i="15" s="1"/>
  <c r="J214" i="15" s="1"/>
  <c r="J215" i="15" s="1"/>
  <c r="J216" i="15" s="1"/>
  <c r="J217" i="15" s="1"/>
  <c r="J218" i="15" s="1"/>
  <c r="J219" i="15" s="1"/>
  <c r="J220" i="15" s="1"/>
  <c r="J221" i="15" s="1"/>
  <c r="J222" i="15" s="1"/>
  <c r="J223" i="15" s="1"/>
  <c r="J224" i="15" s="1"/>
  <c r="J225" i="15" s="1"/>
  <c r="J226" i="15" s="1"/>
  <c r="J227" i="15" s="1"/>
  <c r="J228" i="15" s="1"/>
  <c r="J229" i="15" s="1"/>
  <c r="J230" i="15" s="1"/>
  <c r="J231" i="15" s="1"/>
  <c r="J232" i="15" s="1"/>
  <c r="J233" i="15" s="1"/>
  <c r="J234" i="15" s="1"/>
  <c r="J235" i="15" s="1"/>
  <c r="J236" i="15" s="1"/>
  <c r="J237" i="15" s="1"/>
  <c r="J238" i="15" s="1"/>
  <c r="J239" i="15" s="1"/>
  <c r="J240" i="15" s="1"/>
  <c r="J241" i="15" s="1"/>
  <c r="J242" i="15" s="1"/>
  <c r="J243" i="15" s="1"/>
  <c r="J244" i="15" s="1"/>
  <c r="J245" i="15" s="1"/>
  <c r="J246" i="15" s="1"/>
  <c r="J247" i="15" s="1"/>
  <c r="J248" i="15" s="1"/>
  <c r="J249" i="15" s="1"/>
  <c r="J250" i="15" s="1"/>
  <c r="J251" i="15" s="1"/>
  <c r="J252" i="15" s="1"/>
  <c r="J253" i="15" s="1"/>
  <c r="J254" i="15" s="1"/>
  <c r="J255" i="15" s="1"/>
  <c r="J256" i="15" s="1"/>
  <c r="J257" i="15" s="1"/>
  <c r="J258" i="15" s="1"/>
  <c r="J259" i="15" s="1"/>
  <c r="J260" i="15" s="1"/>
  <c r="J261" i="15" s="1"/>
  <c r="J262" i="15" s="1"/>
  <c r="J263" i="15" s="1"/>
  <c r="J264" i="15" s="1"/>
  <c r="J265" i="15" s="1"/>
  <c r="J266" i="15" s="1"/>
  <c r="J267" i="15" s="1"/>
  <c r="J268" i="15" s="1"/>
  <c r="J269" i="15" s="1"/>
  <c r="J270" i="15" s="1"/>
  <c r="J271" i="15" s="1"/>
  <c r="J272" i="15" s="1"/>
  <c r="J273" i="15" s="1"/>
  <c r="J274" i="15" s="1"/>
  <c r="J275" i="15" s="1"/>
  <c r="J276" i="15" s="1"/>
  <c r="J277" i="15" s="1"/>
  <c r="J278" i="15" s="1"/>
  <c r="J279" i="15" s="1"/>
  <c r="J280" i="15" s="1"/>
  <c r="J281" i="15" s="1"/>
  <c r="J282" i="15" s="1"/>
  <c r="J283" i="15" s="1"/>
  <c r="J284" i="15" s="1"/>
  <c r="J285" i="15" s="1"/>
  <c r="J286" i="15" s="1"/>
  <c r="J287" i="15" s="1"/>
  <c r="J288" i="15" s="1"/>
  <c r="J289" i="15" s="1"/>
  <c r="J290" i="15" s="1"/>
  <c r="J291" i="15" s="1"/>
  <c r="J292" i="15" s="1"/>
  <c r="J293" i="15" s="1"/>
  <c r="J294" i="15" s="1"/>
  <c r="J295" i="15" s="1"/>
  <c r="J296" i="15" s="1"/>
  <c r="J297" i="15" s="1"/>
  <c r="J298" i="15" s="1"/>
  <c r="J299" i="15" s="1"/>
  <c r="J300" i="15" s="1"/>
  <c r="J301" i="15" s="1"/>
  <c r="J3" i="15"/>
  <c r="L261" i="7" l="1"/>
  <c r="I98" i="15"/>
  <c r="I99" i="15"/>
  <c r="I100" i="15"/>
  <c r="I101" i="15"/>
  <c r="I102" i="15" s="1"/>
  <c r="I103" i="15" s="1"/>
  <c r="I104" i="15" s="1"/>
  <c r="I105" i="15" s="1"/>
  <c r="I106" i="15" s="1"/>
  <c r="I107" i="15" s="1"/>
  <c r="I108" i="15" s="1"/>
  <c r="I109" i="15" s="1"/>
  <c r="H34" i="15"/>
  <c r="H35" i="15"/>
  <c r="H36" i="15"/>
  <c r="H37" i="15"/>
  <c r="H2" i="15"/>
  <c r="I2" i="15" l="1"/>
  <c r="I3" i="15" s="1"/>
  <c r="I4" i="15" s="1"/>
  <c r="I5" i="15" s="1"/>
  <c r="I6" i="15" s="1"/>
  <c r="I7" i="15" s="1"/>
  <c r="I8" i="15" s="1"/>
  <c r="I9" i="15" s="1"/>
  <c r="I10" i="15" s="1"/>
  <c r="I11" i="15" s="1"/>
  <c r="I12" i="15" s="1"/>
  <c r="I13" i="15" s="1"/>
  <c r="I14" i="15" s="1"/>
  <c r="I15" i="15" s="1"/>
  <c r="I16" i="15" s="1"/>
  <c r="I17" i="15" s="1"/>
  <c r="I18" i="15" s="1"/>
  <c r="I19" i="15" s="1"/>
  <c r="I20" i="15" s="1"/>
  <c r="I21" i="15" s="1"/>
  <c r="I22" i="15" s="1"/>
  <c r="I23" i="15" s="1"/>
  <c r="I24" i="15" s="1"/>
  <c r="I25" i="15" s="1"/>
  <c r="I26" i="15" s="1"/>
  <c r="I27" i="15" s="1"/>
  <c r="I28" i="15" s="1"/>
  <c r="I29" i="15" s="1"/>
  <c r="I30" i="15" s="1"/>
  <c r="I31" i="15" s="1"/>
  <c r="I32" i="15" s="1"/>
  <c r="I33" i="15" s="1"/>
  <c r="I34" i="15" s="1"/>
  <c r="I35" i="15" s="1"/>
  <c r="I36" i="15" s="1"/>
  <c r="I37" i="15" s="1"/>
  <c r="I38" i="15" s="1"/>
  <c r="I39" i="15" s="1"/>
  <c r="I40" i="15" s="1"/>
  <c r="I41" i="15" s="1"/>
  <c r="I42" i="15" s="1"/>
  <c r="I43" i="15" s="1"/>
  <c r="I44" i="15" s="1"/>
  <c r="I45" i="15" s="1"/>
  <c r="I46" i="15" s="1"/>
  <c r="I47" i="15" s="1"/>
  <c r="I48" i="15" s="1"/>
  <c r="I49" i="15" s="1"/>
  <c r="I50" i="15" s="1"/>
  <c r="I51" i="15" s="1"/>
  <c r="I52" i="15" s="1"/>
  <c r="I53" i="15" s="1"/>
  <c r="I54" i="15" s="1"/>
  <c r="I55" i="15" s="1"/>
  <c r="I56" i="15" s="1"/>
  <c r="I57" i="15" s="1"/>
  <c r="I58" i="15" s="1"/>
  <c r="I59" i="15" s="1"/>
  <c r="I60" i="15" s="1"/>
  <c r="I61" i="15" s="1"/>
  <c r="I62" i="15" s="1"/>
  <c r="I63" i="15" s="1"/>
  <c r="I64" i="15" s="1"/>
  <c r="I65" i="15" s="1"/>
  <c r="I66" i="15" s="1"/>
  <c r="I67" i="15" s="1"/>
  <c r="I68" i="15" s="1"/>
  <c r="I69" i="15" s="1"/>
  <c r="I70" i="15" s="1"/>
  <c r="I71" i="15" s="1"/>
  <c r="I72" i="15" s="1"/>
  <c r="I73" i="15" s="1"/>
  <c r="I74" i="15" s="1"/>
  <c r="I75" i="15" s="1"/>
  <c r="I76" i="15" s="1"/>
  <c r="I77" i="15" s="1"/>
  <c r="I78" i="15" s="1"/>
  <c r="I79" i="15" s="1"/>
  <c r="I80" i="15" s="1"/>
  <c r="I81" i="15" s="1"/>
  <c r="I82" i="15" s="1"/>
  <c r="I83" i="15" s="1"/>
  <c r="I84" i="15" s="1"/>
  <c r="I85" i="15" s="1"/>
  <c r="I86" i="15" s="1"/>
  <c r="I87" i="15" s="1"/>
  <c r="I88" i="15" s="1"/>
  <c r="I89" i="15" s="1"/>
  <c r="I90" i="15" s="1"/>
  <c r="I91" i="15" s="1"/>
  <c r="I92" i="15" s="1"/>
  <c r="I93" i="15" s="1"/>
  <c r="I94" i="15" s="1"/>
  <c r="I95" i="15" s="1"/>
  <c r="I96" i="15" s="1"/>
  <c r="I97" i="15" s="1"/>
  <c r="H4" i="15"/>
  <c r="H5" i="15" s="1"/>
  <c r="H6" i="15" s="1"/>
  <c r="H7" i="15" s="1"/>
  <c r="H8" i="15" s="1"/>
  <c r="H9" i="15" s="1"/>
  <c r="H10" i="15" s="1"/>
  <c r="H11" i="15" s="1"/>
  <c r="H12" i="15" s="1"/>
  <c r="H13" i="15" s="1"/>
  <c r="H14" i="15" s="1"/>
  <c r="H15" i="15" s="1"/>
  <c r="H16" i="15" s="1"/>
  <c r="H17" i="15" s="1"/>
  <c r="H18" i="15" s="1"/>
  <c r="H19" i="15" s="1"/>
  <c r="H20" i="15" s="1"/>
  <c r="H21" i="15" s="1"/>
  <c r="H22" i="15" s="1"/>
  <c r="H23" i="15" s="1"/>
  <c r="H24" i="15" s="1"/>
  <c r="H25" i="15" s="1"/>
  <c r="H26" i="15" s="1"/>
  <c r="H27" i="15" s="1"/>
  <c r="H28" i="15" s="1"/>
  <c r="H29" i="15" s="1"/>
  <c r="H30" i="15" s="1"/>
  <c r="H31" i="15" s="1"/>
  <c r="H32" i="15" s="1"/>
  <c r="H33" i="15" s="1"/>
  <c r="H3" i="15"/>
  <c r="L177" i="7" l="1"/>
  <c r="L190" i="7" l="1"/>
  <c r="J152" i="7"/>
  <c r="L122" i="7"/>
  <c r="F48" i="14"/>
  <c r="L119" i="7" s="1"/>
  <c r="F44" i="14"/>
  <c r="F45" i="14" s="1"/>
  <c r="F47" i="14" s="1"/>
  <c r="G4" i="15"/>
  <c r="G5" i="15"/>
  <c r="G6" i="15"/>
  <c r="G7" i="15"/>
  <c r="G8" i="15" s="1"/>
  <c r="G9" i="15" s="1"/>
  <c r="G10" i="15" s="1"/>
  <c r="G11" i="15" s="1"/>
  <c r="G12" i="15" s="1"/>
  <c r="G13" i="15" s="1"/>
  <c r="G14" i="15" s="1"/>
  <c r="G15" i="15" s="1"/>
  <c r="G16" i="15" s="1"/>
  <c r="G17" i="15" s="1"/>
  <c r="G18" i="15" s="1"/>
  <c r="G19" i="15" s="1"/>
  <c r="G20" i="15" s="1"/>
  <c r="G21" i="15" s="1"/>
  <c r="G22" i="15" s="1"/>
  <c r="G23" i="15" s="1"/>
  <c r="G24" i="15" s="1"/>
  <c r="G25" i="15" s="1"/>
  <c r="G26" i="15" s="1"/>
  <c r="G27" i="15" s="1"/>
  <c r="G28" i="15" s="1"/>
  <c r="G29" i="15" s="1"/>
  <c r="G30" i="15" s="1"/>
  <c r="G31" i="15" s="1"/>
  <c r="G32" i="15" s="1"/>
  <c r="G33" i="15" s="1"/>
  <c r="G34" i="15" s="1"/>
  <c r="G35" i="15" s="1"/>
  <c r="G36" i="15" s="1"/>
  <c r="G37" i="15" s="1"/>
  <c r="G38" i="15" s="1"/>
  <c r="G39" i="15" s="1"/>
  <c r="G40" i="15" s="1"/>
  <c r="G41" i="15" s="1"/>
  <c r="G42" i="15" s="1"/>
  <c r="G43" i="15" s="1"/>
  <c r="G44" i="15" s="1"/>
  <c r="G45" i="15" s="1"/>
  <c r="G46" i="15" s="1"/>
  <c r="G47" i="15" s="1"/>
  <c r="G48" i="15" s="1"/>
  <c r="G49" i="15" s="1"/>
  <c r="G50" i="15" s="1"/>
  <c r="G51" i="15" s="1"/>
  <c r="G52" i="15" s="1"/>
  <c r="G53" i="15" s="1"/>
  <c r="G54" i="15" s="1"/>
  <c r="G55" i="15" s="1"/>
  <c r="G56" i="15" s="1"/>
  <c r="G57" i="15" s="1"/>
  <c r="G58" i="15" s="1"/>
  <c r="G59" i="15" s="1"/>
  <c r="G60" i="15" s="1"/>
  <c r="G61" i="15" s="1"/>
  <c r="G62" i="15" s="1"/>
  <c r="G63" i="15" s="1"/>
  <c r="G64" i="15" s="1"/>
  <c r="G65" i="15" s="1"/>
  <c r="G66" i="15" s="1"/>
  <c r="G67" i="15" s="1"/>
  <c r="G68" i="15" s="1"/>
  <c r="G69" i="15" s="1"/>
  <c r="G70" i="15" s="1"/>
  <c r="G71" i="15" s="1"/>
  <c r="G72" i="15" s="1"/>
  <c r="G73" i="15" s="1"/>
  <c r="G74" i="15" s="1"/>
  <c r="G75" i="15"/>
  <c r="G76" i="15" s="1"/>
  <c r="G77" i="15" s="1"/>
  <c r="G78" i="15" s="1"/>
  <c r="G79" i="15"/>
  <c r="G80" i="15" s="1"/>
  <c r="G81" i="15" s="1"/>
  <c r="G82" i="15" s="1"/>
  <c r="G83" i="15"/>
  <c r="G84" i="15" s="1"/>
  <c r="G85" i="15" s="1"/>
  <c r="G86" i="15" s="1"/>
  <c r="G87" i="15" s="1"/>
  <c r="G88" i="15" s="1"/>
  <c r="G89" i="15" s="1"/>
  <c r="G90" i="15" s="1"/>
  <c r="G91" i="15" s="1"/>
  <c r="G92" i="15" s="1"/>
  <c r="G93" i="15" s="1"/>
  <c r="G94" i="15" s="1"/>
  <c r="G95" i="15" s="1"/>
  <c r="G96" i="15" s="1"/>
  <c r="G97" i="15" s="1"/>
  <c r="G98" i="15" s="1"/>
  <c r="G3" i="15"/>
  <c r="G2" i="15"/>
  <c r="F4" i="15"/>
  <c r="F5" i="15"/>
  <c r="F6" i="15"/>
  <c r="F7" i="15" s="1"/>
  <c r="F8" i="15" s="1"/>
  <c r="F9" i="15" s="1"/>
  <c r="F10" i="15" s="1"/>
  <c r="F11" i="15" s="1"/>
  <c r="F12" i="15" s="1"/>
  <c r="F13" i="15" s="1"/>
  <c r="F14" i="15" s="1"/>
  <c r="F15" i="15" s="1"/>
  <c r="F16" i="15" s="1"/>
  <c r="F17" i="15" s="1"/>
  <c r="F18" i="15" s="1"/>
  <c r="F19" i="15" s="1"/>
  <c r="F20" i="15" s="1"/>
  <c r="F21" i="15" s="1"/>
  <c r="F22" i="15" s="1"/>
  <c r="F23" i="15" s="1"/>
  <c r="F24" i="15" s="1"/>
  <c r="F25" i="15" s="1"/>
  <c r="F26" i="15" s="1"/>
  <c r="F27" i="15" s="1"/>
  <c r="F28" i="15" s="1"/>
  <c r="F29" i="15" s="1"/>
  <c r="F30" i="15" s="1"/>
  <c r="F31" i="15" s="1"/>
  <c r="F32" i="15" s="1"/>
  <c r="F33" i="15" s="1"/>
  <c r="F34" i="15" s="1"/>
  <c r="F35" i="15" s="1"/>
  <c r="F36" i="15" s="1"/>
  <c r="F37" i="15" s="1"/>
  <c r="F38" i="15" s="1"/>
  <c r="F39" i="15" s="1"/>
  <c r="F40" i="15" s="1"/>
  <c r="F41" i="15" s="1"/>
  <c r="F42" i="15" s="1"/>
  <c r="F43" i="15" s="1"/>
  <c r="F44" i="15" s="1"/>
  <c r="F45" i="15" s="1"/>
  <c r="F46" i="15" s="1"/>
  <c r="F47" i="15" s="1"/>
  <c r="F48" i="15" s="1"/>
  <c r="F49" i="15" s="1"/>
  <c r="F50" i="15" s="1"/>
  <c r="F51" i="15" s="1"/>
  <c r="F52" i="15" s="1"/>
  <c r="F53" i="15" s="1"/>
  <c r="F54" i="15" s="1"/>
  <c r="F55" i="15" s="1"/>
  <c r="F56" i="15" s="1"/>
  <c r="F57" i="15" s="1"/>
  <c r="F58" i="15" s="1"/>
  <c r="F59" i="15" s="1"/>
  <c r="F60" i="15" s="1"/>
  <c r="F61" i="15" s="1"/>
  <c r="F62" i="15" s="1"/>
  <c r="F63" i="15" s="1"/>
  <c r="F64" i="15" s="1"/>
  <c r="F65" i="15" s="1"/>
  <c r="F66" i="15" s="1"/>
  <c r="F67" i="15" s="1"/>
  <c r="F68" i="15" s="1"/>
  <c r="F69" i="15" s="1"/>
  <c r="F70" i="15" s="1"/>
  <c r="F71" i="15" s="1"/>
  <c r="F72" i="15" s="1"/>
  <c r="F73" i="15" s="1"/>
  <c r="F74" i="15" s="1"/>
  <c r="F75" i="15" s="1"/>
  <c r="F76" i="15" s="1"/>
  <c r="F77" i="15" s="1"/>
  <c r="F78" i="15" s="1"/>
  <c r="F79" i="15" s="1"/>
  <c r="F80" i="15" s="1"/>
  <c r="F81" i="15" s="1"/>
  <c r="F82" i="15" s="1"/>
  <c r="F83" i="15" s="1"/>
  <c r="F84" i="15" s="1"/>
  <c r="F85" i="15" s="1"/>
  <c r="F86" i="15" s="1"/>
  <c r="F87" i="15" s="1"/>
  <c r="F88" i="15" s="1"/>
  <c r="F89" i="15" s="1"/>
  <c r="F90" i="15" s="1"/>
  <c r="F91" i="15" s="1"/>
  <c r="F92" i="15" s="1"/>
  <c r="F93" i="15" s="1"/>
  <c r="F94" i="15" s="1"/>
  <c r="F95" i="15" s="1"/>
  <c r="F96" i="15" s="1"/>
  <c r="F97" i="15" s="1"/>
  <c r="F98" i="15" s="1"/>
  <c r="F3" i="15"/>
  <c r="L143" i="7" l="1"/>
  <c r="L147" i="7"/>
  <c r="L125" i="7"/>
  <c r="H97" i="7" s="1"/>
  <c r="J97" i="7" s="1"/>
  <c r="E4" i="15" l="1"/>
  <c r="E5" i="15"/>
  <c r="E6" i="15"/>
  <c r="E7" i="15"/>
  <c r="E8" i="15" s="1"/>
  <c r="E9" i="15" s="1"/>
  <c r="E10" i="15" s="1"/>
  <c r="E11" i="15" s="1"/>
  <c r="E12" i="15" s="1"/>
  <c r="E13" i="15" s="1"/>
  <c r="E14" i="15" s="1"/>
  <c r="E15" i="15" s="1"/>
  <c r="E16" i="15" s="1"/>
  <c r="E17" i="15" s="1"/>
  <c r="E18" i="15" s="1"/>
  <c r="E19" i="15" s="1"/>
  <c r="E20" i="15" s="1"/>
  <c r="E21" i="15" s="1"/>
  <c r="E22" i="15" s="1"/>
  <c r="E23" i="15" s="1"/>
  <c r="E24" i="15" s="1"/>
  <c r="E25" i="15" s="1"/>
  <c r="E26" i="15" s="1"/>
  <c r="E27" i="15" s="1"/>
  <c r="E28" i="15" s="1"/>
  <c r="E29" i="15" s="1"/>
  <c r="E30" i="15" s="1"/>
  <c r="E31" i="15" s="1"/>
  <c r="E32" i="15" s="1"/>
  <c r="E33" i="15" s="1"/>
  <c r="E34" i="15" s="1"/>
  <c r="E35" i="15" s="1"/>
  <c r="E36" i="15" s="1"/>
  <c r="E37" i="15" s="1"/>
  <c r="E38" i="15" s="1"/>
  <c r="E39" i="15" s="1"/>
  <c r="E40" i="15" s="1"/>
  <c r="E41" i="15" s="1"/>
  <c r="E42" i="15" s="1"/>
  <c r="E43" i="15" s="1"/>
  <c r="E44" i="15" s="1"/>
  <c r="E45" i="15" s="1"/>
  <c r="E46" i="15" s="1"/>
  <c r="E47" i="15" s="1"/>
  <c r="E48" i="15" s="1"/>
  <c r="E49" i="15" s="1"/>
  <c r="E50" i="15" s="1"/>
  <c r="E51" i="15" s="1"/>
  <c r="E52" i="15" s="1"/>
  <c r="E53" i="15" s="1"/>
  <c r="E54" i="15" s="1"/>
  <c r="E55" i="15" s="1"/>
  <c r="E56" i="15" s="1"/>
  <c r="E57" i="15" s="1"/>
  <c r="E58" i="15" s="1"/>
  <c r="E59" i="15" s="1"/>
  <c r="E60" i="15" s="1"/>
  <c r="E61" i="15" s="1"/>
  <c r="E62" i="15" s="1"/>
  <c r="E63" i="15" s="1"/>
  <c r="E64" i="15" s="1"/>
  <c r="E65" i="15" s="1"/>
  <c r="E66" i="15" s="1"/>
  <c r="E67" i="15" s="1"/>
  <c r="E68" i="15" s="1"/>
  <c r="E69" i="15" s="1"/>
  <c r="E70" i="15" s="1"/>
  <c r="E71" i="15" s="1"/>
  <c r="E72" i="15" s="1"/>
  <c r="E73" i="15" s="1"/>
  <c r="E74" i="15" s="1"/>
  <c r="E75" i="15" s="1"/>
  <c r="E76" i="15" s="1"/>
  <c r="E77" i="15" s="1"/>
  <c r="E78" i="15" s="1"/>
  <c r="E79" i="15" s="1"/>
  <c r="E80" i="15" s="1"/>
  <c r="E81" i="15" s="1"/>
  <c r="E82" i="15" s="1"/>
  <c r="E83" i="15" s="1"/>
  <c r="E84" i="15" s="1"/>
  <c r="E85" i="15" s="1"/>
  <c r="E86" i="15" s="1"/>
  <c r="E87" i="15" s="1"/>
  <c r="E88" i="15" s="1"/>
  <c r="E89" i="15" s="1"/>
  <c r="E90" i="15" s="1"/>
  <c r="E91" i="15" s="1"/>
  <c r="E92" i="15" s="1"/>
  <c r="E93" i="15" s="1"/>
  <c r="E94" i="15" s="1"/>
  <c r="E95" i="15" s="1"/>
  <c r="E96" i="15" s="1"/>
  <c r="E97" i="15" s="1"/>
  <c r="E98" i="15" s="1"/>
  <c r="E99" i="15" s="1"/>
  <c r="E100" i="15" s="1"/>
  <c r="E101" i="15" s="1"/>
  <c r="E102" i="15" s="1"/>
  <c r="E103" i="15" s="1"/>
  <c r="E104" i="15" s="1"/>
  <c r="E105" i="15" s="1"/>
  <c r="E106" i="15" s="1"/>
  <c r="E107" i="15" s="1"/>
  <c r="E108" i="15" s="1"/>
  <c r="E109" i="15" s="1"/>
  <c r="E110" i="15" s="1"/>
  <c r="E111" i="15" s="1"/>
  <c r="E112" i="15" s="1"/>
  <c r="E113" i="15" s="1"/>
  <c r="E114" i="15" s="1"/>
  <c r="E115" i="15" s="1"/>
  <c r="E116" i="15" s="1"/>
  <c r="E117" i="15" s="1"/>
  <c r="E118" i="15" s="1"/>
  <c r="E119" i="15" s="1"/>
  <c r="E120" i="15" s="1"/>
  <c r="E121" i="15" s="1"/>
  <c r="E122" i="15" s="1"/>
  <c r="E123" i="15" s="1"/>
  <c r="E124" i="15" s="1"/>
  <c r="E125" i="15" s="1"/>
  <c r="E126" i="15" s="1"/>
  <c r="E127" i="15" s="1"/>
  <c r="E128" i="15" s="1"/>
  <c r="E129" i="15" s="1"/>
  <c r="E130" i="15" s="1"/>
  <c r="E131" i="15" s="1"/>
  <c r="E132" i="15" s="1"/>
  <c r="E133" i="15" s="1"/>
  <c r="E134" i="15" s="1"/>
  <c r="E135" i="15" s="1"/>
  <c r="E136" i="15" s="1"/>
  <c r="E137" i="15" s="1"/>
  <c r="E138" i="15" s="1"/>
  <c r="E139" i="15" s="1"/>
  <c r="E140" i="15" s="1"/>
  <c r="E141" i="15" s="1"/>
  <c r="E142" i="15" s="1"/>
  <c r="E143" i="15" s="1"/>
  <c r="E144" i="15" s="1"/>
  <c r="E145" i="15" s="1"/>
  <c r="E146" i="15" s="1"/>
  <c r="E147" i="15" s="1"/>
  <c r="E148" i="15" s="1"/>
  <c r="E149" i="15" s="1"/>
  <c r="E150" i="15" s="1"/>
  <c r="E151" i="15" s="1"/>
  <c r="E152" i="15" s="1"/>
  <c r="E153" i="15" s="1"/>
  <c r="E154" i="15" s="1"/>
  <c r="E155" i="15" s="1"/>
  <c r="E156" i="15" s="1"/>
  <c r="E157" i="15" s="1"/>
  <c r="E158" i="15" s="1"/>
  <c r="E159" i="15" s="1"/>
  <c r="E160" i="15" s="1"/>
  <c r="E161" i="15" s="1"/>
  <c r="E162" i="15" s="1"/>
  <c r="E163" i="15" s="1"/>
  <c r="E164" i="15" s="1"/>
  <c r="E165" i="15" s="1"/>
  <c r="E166" i="15" s="1"/>
  <c r="E167" i="15" s="1"/>
  <c r="E168" i="15" s="1"/>
  <c r="E169" i="15" s="1"/>
  <c r="E170" i="15" s="1"/>
  <c r="E171" i="15" s="1"/>
  <c r="E172" i="15" s="1"/>
  <c r="E173" i="15" s="1"/>
  <c r="E174" i="15" s="1"/>
  <c r="E175" i="15" s="1"/>
  <c r="E176" i="15" s="1"/>
  <c r="E177" i="15" s="1"/>
  <c r="E178" i="15" s="1"/>
  <c r="E179" i="15" s="1"/>
  <c r="E180" i="15" s="1"/>
  <c r="E181" i="15" s="1"/>
  <c r="E182" i="15" s="1"/>
  <c r="E183" i="15" s="1"/>
  <c r="E184" i="15" s="1"/>
  <c r="E185" i="15" s="1"/>
  <c r="E186" i="15" s="1"/>
  <c r="E187" i="15" s="1"/>
  <c r="E188" i="15" s="1"/>
  <c r="E189" i="15" s="1"/>
  <c r="E190" i="15" s="1"/>
  <c r="E191" i="15" s="1"/>
  <c r="E192" i="15" s="1"/>
  <c r="E193" i="15" s="1"/>
  <c r="E194" i="15" s="1"/>
  <c r="E195" i="15" s="1"/>
  <c r="E196" i="15" s="1"/>
  <c r="E197" i="15" s="1"/>
  <c r="E198" i="15" s="1"/>
  <c r="E199" i="15" s="1"/>
  <c r="E200" i="15" s="1"/>
  <c r="E201" i="15" s="1"/>
  <c r="E202" i="15" s="1"/>
  <c r="E203" i="15" s="1"/>
  <c r="E204" i="15" s="1"/>
  <c r="E205" i="15" s="1"/>
  <c r="E206" i="15" s="1"/>
  <c r="E207" i="15" s="1"/>
  <c r="E208" i="15" s="1"/>
  <c r="E209" i="15" s="1"/>
  <c r="E210" i="15" s="1"/>
  <c r="E211" i="15" s="1"/>
  <c r="E212" i="15" s="1"/>
  <c r="E213" i="15" s="1"/>
  <c r="E214" i="15" s="1"/>
  <c r="E215" i="15" s="1"/>
  <c r="E216" i="15" s="1"/>
  <c r="E217" i="15" s="1"/>
  <c r="E218" i="15" s="1"/>
  <c r="E219" i="15" s="1"/>
  <c r="E220" i="15" s="1"/>
  <c r="E221" i="15" s="1"/>
  <c r="E222" i="15" s="1"/>
  <c r="E223" i="15" s="1"/>
  <c r="E224" i="15" s="1"/>
  <c r="E225" i="15" s="1"/>
  <c r="E226" i="15" s="1"/>
  <c r="E227" i="15" s="1"/>
  <c r="E228" i="15" s="1"/>
  <c r="E229" i="15" s="1"/>
  <c r="E230" i="15" s="1"/>
  <c r="E231" i="15" s="1"/>
  <c r="E232" i="15" s="1"/>
  <c r="E233" i="15" s="1"/>
  <c r="E234" i="15" s="1"/>
  <c r="E235" i="15" s="1"/>
  <c r="E236" i="15" s="1"/>
  <c r="E237" i="15" s="1"/>
  <c r="E238" i="15" s="1"/>
  <c r="E239" i="15" s="1"/>
  <c r="E240" i="15" s="1"/>
  <c r="E241" i="15" s="1"/>
  <c r="E242" i="15" s="1"/>
  <c r="E243" i="15" s="1"/>
  <c r="E244" i="15" s="1"/>
  <c r="E245" i="15" s="1"/>
  <c r="E246" i="15" s="1"/>
  <c r="E247" i="15" s="1"/>
  <c r="E248" i="15" s="1"/>
  <c r="E249" i="15" s="1"/>
  <c r="E250" i="15" s="1"/>
  <c r="E251" i="15" s="1"/>
  <c r="E252" i="15" s="1"/>
  <c r="E253" i="15" s="1"/>
  <c r="E254" i="15" s="1"/>
  <c r="E255" i="15" s="1"/>
  <c r="E256" i="15" s="1"/>
  <c r="E257" i="15" s="1"/>
  <c r="E258" i="15" s="1"/>
  <c r="E259" i="15" s="1"/>
  <c r="E260" i="15" s="1"/>
  <c r="E261" i="15" s="1"/>
  <c r="E262" i="15" s="1"/>
  <c r="E263" i="15" s="1"/>
  <c r="E264" i="15" s="1"/>
  <c r="E265" i="15" s="1"/>
  <c r="E266" i="15" s="1"/>
  <c r="E267" i="15" s="1"/>
  <c r="E268" i="15" s="1"/>
  <c r="E269" i="15" s="1"/>
  <c r="E270" i="15" s="1"/>
  <c r="E271" i="15" s="1"/>
  <c r="E272" i="15" s="1"/>
  <c r="E273" i="15" s="1"/>
  <c r="E274" i="15" s="1"/>
  <c r="E275" i="15" s="1"/>
  <c r="E276" i="15" s="1"/>
  <c r="E277" i="15" s="1"/>
  <c r="E278" i="15" s="1"/>
  <c r="E279" i="15" s="1"/>
  <c r="E280" i="15" s="1"/>
  <c r="E281" i="15" s="1"/>
  <c r="E282" i="15" s="1"/>
  <c r="E283" i="15" s="1"/>
  <c r="E284" i="15" s="1"/>
  <c r="E285" i="15" s="1"/>
  <c r="E286" i="15" s="1"/>
  <c r="E287" i="15" s="1"/>
  <c r="E288" i="15" s="1"/>
  <c r="E289" i="15" s="1"/>
  <c r="E290" i="15" s="1"/>
  <c r="E291" i="15" s="1"/>
  <c r="E292" i="15" s="1"/>
  <c r="E293" i="15" s="1"/>
  <c r="E294" i="15" s="1"/>
  <c r="E295" i="15" s="1"/>
  <c r="E296" i="15" s="1"/>
  <c r="E297" i="15" s="1"/>
  <c r="E298" i="15" s="1"/>
  <c r="E299" i="15" s="1"/>
  <c r="E300" i="15" s="1"/>
  <c r="E301" i="15" s="1"/>
  <c r="E302" i="15" s="1"/>
  <c r="E303" i="15" s="1"/>
  <c r="E304" i="15" s="1"/>
  <c r="E305" i="15" s="1"/>
  <c r="E306" i="15" s="1"/>
  <c r="E307" i="15" s="1"/>
  <c r="E308" i="15" s="1"/>
  <c r="E309" i="15" s="1"/>
  <c r="E310" i="15" s="1"/>
  <c r="E311" i="15" s="1"/>
  <c r="E312" i="15" s="1"/>
  <c r="E313" i="15" s="1"/>
  <c r="E314" i="15" s="1"/>
  <c r="E315" i="15" s="1"/>
  <c r="E316" i="15" s="1"/>
  <c r="E317" i="15" s="1"/>
  <c r="E318" i="15" s="1"/>
  <c r="E319" i="15" s="1"/>
  <c r="E320" i="15" s="1"/>
  <c r="E321" i="15" s="1"/>
  <c r="E322" i="15" s="1"/>
  <c r="E323" i="15" s="1"/>
  <c r="E324" i="15" s="1"/>
  <c r="E325" i="15" s="1"/>
  <c r="E326" i="15" s="1"/>
  <c r="E327" i="15" s="1"/>
  <c r="E328" i="15" s="1"/>
  <c r="E329" i="15" s="1"/>
  <c r="E330" i="15" s="1"/>
  <c r="E331" i="15" s="1"/>
  <c r="E332" i="15" s="1"/>
  <c r="E333" i="15" s="1"/>
  <c r="E334" i="15" s="1"/>
  <c r="E335" i="15" s="1"/>
  <c r="E336" i="15" s="1"/>
  <c r="E337" i="15" s="1"/>
  <c r="E338" i="15" s="1"/>
  <c r="E339" i="15" s="1"/>
  <c r="E340" i="15" s="1"/>
  <c r="E341" i="15" s="1"/>
  <c r="E342" i="15" s="1"/>
  <c r="E343" i="15" s="1"/>
  <c r="E344" i="15" s="1"/>
  <c r="E345" i="15" s="1"/>
  <c r="E346" i="15" s="1"/>
  <c r="E347" i="15" s="1"/>
  <c r="E348" i="15" s="1"/>
  <c r="E349" i="15" s="1"/>
  <c r="E350" i="15" s="1"/>
  <c r="E351" i="15" s="1"/>
  <c r="E352" i="15" s="1"/>
  <c r="E353" i="15" s="1"/>
  <c r="E354" i="15" s="1"/>
  <c r="E355" i="15" s="1"/>
  <c r="E356" i="15" s="1"/>
  <c r="E357" i="15" s="1"/>
  <c r="E358" i="15" s="1"/>
  <c r="E3" i="15"/>
  <c r="E2" i="15"/>
  <c r="L79" i="7"/>
  <c r="D302" i="15"/>
  <c r="D303" i="15"/>
  <c r="D304" i="15"/>
  <c r="D305" i="15"/>
  <c r="D306" i="15" s="1"/>
  <c r="D307" i="15" s="1"/>
  <c r="D308" i="15" s="1"/>
  <c r="D309" i="15" s="1"/>
  <c r="D310" i="15" s="1"/>
  <c r="D311" i="15" s="1"/>
  <c r="D312" i="15" s="1"/>
  <c r="D313" i="15" s="1"/>
  <c r="D314" i="15" s="1"/>
  <c r="D315" i="15" s="1"/>
  <c r="D316" i="15" s="1"/>
  <c r="D317" i="15" s="1"/>
  <c r="D318" i="15" s="1"/>
  <c r="D319" i="15" s="1"/>
  <c r="D320" i="15" s="1"/>
  <c r="D321" i="15" s="1"/>
  <c r="D322" i="15" s="1"/>
  <c r="D323" i="15" s="1"/>
  <c r="D324" i="15" s="1"/>
  <c r="D325" i="15" s="1"/>
  <c r="D326" i="15" s="1"/>
  <c r="D327" i="15" s="1"/>
  <c r="D328" i="15" s="1"/>
  <c r="D329" i="15" s="1"/>
  <c r="D330" i="15" s="1"/>
  <c r="D331" i="15" s="1"/>
  <c r="D332" i="15" s="1"/>
  <c r="D333" i="15" s="1"/>
  <c r="D334" i="15" s="1"/>
  <c r="D335" i="15" s="1"/>
  <c r="D336" i="15" s="1"/>
  <c r="D337" i="15" s="1"/>
  <c r="D338" i="15" s="1"/>
  <c r="D339" i="15" s="1"/>
  <c r="D340" i="15" s="1"/>
  <c r="D341" i="15" s="1"/>
  <c r="D342" i="15" s="1"/>
  <c r="D343" i="15" s="1"/>
  <c r="D344" i="15" s="1"/>
  <c r="D345" i="15" s="1"/>
  <c r="D346" i="15" s="1"/>
  <c r="D347" i="15" s="1"/>
  <c r="D348" i="15" s="1"/>
  <c r="D349" i="15" s="1"/>
  <c r="D350" i="15" s="1"/>
  <c r="D351" i="15" s="1"/>
  <c r="D352" i="15" s="1"/>
  <c r="D353" i="15" s="1"/>
  <c r="D354" i="15" s="1"/>
  <c r="D355" i="15" s="1"/>
  <c r="D356" i="15" s="1"/>
  <c r="D357" i="15" s="1"/>
  <c r="D358" i="15" s="1"/>
  <c r="D4" i="15"/>
  <c r="D5" i="15"/>
  <c r="D6" i="15"/>
  <c r="D7" i="15"/>
  <c r="D8" i="15" s="1"/>
  <c r="D9" i="15" s="1"/>
  <c r="D10" i="15" s="1"/>
  <c r="D11" i="15" s="1"/>
  <c r="D12" i="15" s="1"/>
  <c r="D13" i="15" s="1"/>
  <c r="D14" i="15" s="1"/>
  <c r="D15" i="15" s="1"/>
  <c r="D16" i="15" s="1"/>
  <c r="D17" i="15" s="1"/>
  <c r="D18" i="15" s="1"/>
  <c r="D19" i="15" s="1"/>
  <c r="D20" i="15" s="1"/>
  <c r="D21" i="15" s="1"/>
  <c r="D22" i="15" s="1"/>
  <c r="D23" i="15" s="1"/>
  <c r="D24" i="15" s="1"/>
  <c r="D25" i="15" s="1"/>
  <c r="D26" i="15" s="1"/>
  <c r="D27" i="15" s="1"/>
  <c r="D28" i="15" s="1"/>
  <c r="D29" i="15" s="1"/>
  <c r="D30" i="15" s="1"/>
  <c r="D31" i="15" s="1"/>
  <c r="D32" i="15" s="1"/>
  <c r="D33" i="15" s="1"/>
  <c r="D34" i="15" s="1"/>
  <c r="D35" i="15" s="1"/>
  <c r="D36" i="15" s="1"/>
  <c r="D37" i="15" s="1"/>
  <c r="D38" i="15" s="1"/>
  <c r="D39" i="15" s="1"/>
  <c r="D40" i="15" s="1"/>
  <c r="D41" i="15" s="1"/>
  <c r="D42" i="15" s="1"/>
  <c r="D43" i="15" s="1"/>
  <c r="D44" i="15" s="1"/>
  <c r="D45" i="15" s="1"/>
  <c r="D46" i="15" s="1"/>
  <c r="D47" i="15" s="1"/>
  <c r="D48" i="15" s="1"/>
  <c r="D49" i="15" s="1"/>
  <c r="D50" i="15" s="1"/>
  <c r="D51" i="15" s="1"/>
  <c r="D52" i="15" s="1"/>
  <c r="D53" i="15" s="1"/>
  <c r="D54" i="15" s="1"/>
  <c r="D55" i="15" s="1"/>
  <c r="D56" i="15" s="1"/>
  <c r="D57" i="15" s="1"/>
  <c r="D58" i="15" s="1"/>
  <c r="D59" i="15" s="1"/>
  <c r="D60" i="15" s="1"/>
  <c r="D61" i="15" s="1"/>
  <c r="D62" i="15" s="1"/>
  <c r="D63" i="15" s="1"/>
  <c r="D64" i="15" s="1"/>
  <c r="D65" i="15" s="1"/>
  <c r="D66" i="15" s="1"/>
  <c r="D67" i="15" s="1"/>
  <c r="D68" i="15" s="1"/>
  <c r="D69" i="15" s="1"/>
  <c r="D70" i="15" s="1"/>
  <c r="D71" i="15" s="1"/>
  <c r="D72" i="15" s="1"/>
  <c r="D73" i="15" s="1"/>
  <c r="D74" i="15" s="1"/>
  <c r="D75" i="15" s="1"/>
  <c r="D76" i="15" s="1"/>
  <c r="D77" i="15" s="1"/>
  <c r="D78" i="15" s="1"/>
  <c r="D79" i="15" s="1"/>
  <c r="D80" i="15" s="1"/>
  <c r="D81" i="15" s="1"/>
  <c r="D82" i="15" s="1"/>
  <c r="D83" i="15" s="1"/>
  <c r="D84" i="15" s="1"/>
  <c r="D85" i="15" s="1"/>
  <c r="D86" i="15" s="1"/>
  <c r="D87" i="15" s="1"/>
  <c r="D88" i="15" s="1"/>
  <c r="D89" i="15" s="1"/>
  <c r="D90" i="15" s="1"/>
  <c r="D91" i="15" s="1"/>
  <c r="D92" i="15" s="1"/>
  <c r="D93" i="15" s="1"/>
  <c r="D94" i="15" s="1"/>
  <c r="D95" i="15" s="1"/>
  <c r="D96" i="15" s="1"/>
  <c r="D97" i="15" s="1"/>
  <c r="D98" i="15" s="1"/>
  <c r="D99" i="15" s="1"/>
  <c r="D100" i="15" s="1"/>
  <c r="D101" i="15" s="1"/>
  <c r="D102" i="15" s="1"/>
  <c r="D103" i="15" s="1"/>
  <c r="D104" i="15" s="1"/>
  <c r="D105" i="15" s="1"/>
  <c r="D106" i="15" s="1"/>
  <c r="D107" i="15" s="1"/>
  <c r="D108" i="15" s="1"/>
  <c r="D109" i="15" s="1"/>
  <c r="D110" i="15" s="1"/>
  <c r="D111" i="15" s="1"/>
  <c r="D112" i="15" s="1"/>
  <c r="D113" i="15" s="1"/>
  <c r="D114" i="15" s="1"/>
  <c r="D115" i="15" s="1"/>
  <c r="D116" i="15" s="1"/>
  <c r="D117" i="15" s="1"/>
  <c r="D118" i="15" s="1"/>
  <c r="D119" i="15" s="1"/>
  <c r="D120" i="15" s="1"/>
  <c r="D121" i="15" s="1"/>
  <c r="D122" i="15" s="1"/>
  <c r="D123" i="15" s="1"/>
  <c r="D124" i="15" s="1"/>
  <c r="D125" i="15" s="1"/>
  <c r="D126" i="15" s="1"/>
  <c r="D127" i="15" s="1"/>
  <c r="D128" i="15" s="1"/>
  <c r="D129" i="15" s="1"/>
  <c r="D130" i="15" s="1"/>
  <c r="D131" i="15" s="1"/>
  <c r="D132" i="15" s="1"/>
  <c r="D133" i="15" s="1"/>
  <c r="D134" i="15" s="1"/>
  <c r="D135" i="15" s="1"/>
  <c r="D136" i="15" s="1"/>
  <c r="D137" i="15" s="1"/>
  <c r="D138" i="15" s="1"/>
  <c r="D139" i="15" s="1"/>
  <c r="D140" i="15" s="1"/>
  <c r="D141" i="15" s="1"/>
  <c r="D142" i="15" s="1"/>
  <c r="D143" i="15" s="1"/>
  <c r="D144" i="15" s="1"/>
  <c r="D145" i="15" s="1"/>
  <c r="D146" i="15" s="1"/>
  <c r="D147" i="15" s="1"/>
  <c r="D148" i="15" s="1"/>
  <c r="D149" i="15" s="1"/>
  <c r="D150" i="15" s="1"/>
  <c r="D151" i="15" s="1"/>
  <c r="D152" i="15" s="1"/>
  <c r="D153" i="15" s="1"/>
  <c r="D154" i="15" s="1"/>
  <c r="D155" i="15" s="1"/>
  <c r="D156" i="15" s="1"/>
  <c r="D157" i="15" s="1"/>
  <c r="D158" i="15" s="1"/>
  <c r="D159" i="15" s="1"/>
  <c r="D160" i="15" s="1"/>
  <c r="D161" i="15" s="1"/>
  <c r="D162" i="15" s="1"/>
  <c r="D163" i="15" s="1"/>
  <c r="D164" i="15" s="1"/>
  <c r="D165" i="15" s="1"/>
  <c r="D166" i="15" s="1"/>
  <c r="D167" i="15" s="1"/>
  <c r="D168" i="15" s="1"/>
  <c r="D169" i="15" s="1"/>
  <c r="D170" i="15" s="1"/>
  <c r="D171" i="15" s="1"/>
  <c r="D172" i="15" s="1"/>
  <c r="D173" i="15" s="1"/>
  <c r="D174" i="15" s="1"/>
  <c r="D175" i="15" s="1"/>
  <c r="D176" i="15" s="1"/>
  <c r="D177" i="15" s="1"/>
  <c r="D178" i="15" s="1"/>
  <c r="D179" i="15" s="1"/>
  <c r="D180" i="15" s="1"/>
  <c r="D181" i="15" s="1"/>
  <c r="D182" i="15" s="1"/>
  <c r="D183" i="15" s="1"/>
  <c r="D184" i="15" s="1"/>
  <c r="D185" i="15" s="1"/>
  <c r="D186" i="15" s="1"/>
  <c r="D187" i="15" s="1"/>
  <c r="D188" i="15" s="1"/>
  <c r="D189" i="15" s="1"/>
  <c r="D190" i="15" s="1"/>
  <c r="D191" i="15" s="1"/>
  <c r="D192" i="15" s="1"/>
  <c r="D193" i="15" s="1"/>
  <c r="D194" i="15" s="1"/>
  <c r="D195" i="15" s="1"/>
  <c r="D196" i="15" s="1"/>
  <c r="D197" i="15" s="1"/>
  <c r="D198" i="15" s="1"/>
  <c r="D199" i="15" s="1"/>
  <c r="D200" i="15" s="1"/>
  <c r="D201" i="15" s="1"/>
  <c r="D202" i="15" s="1"/>
  <c r="D203" i="15" s="1"/>
  <c r="D204" i="15" s="1"/>
  <c r="D205" i="15" s="1"/>
  <c r="D206" i="15" s="1"/>
  <c r="D207" i="15" s="1"/>
  <c r="D208" i="15" s="1"/>
  <c r="D209" i="15" s="1"/>
  <c r="D210" i="15" s="1"/>
  <c r="D211" i="15" s="1"/>
  <c r="D212" i="15" s="1"/>
  <c r="D213" i="15" s="1"/>
  <c r="D214" i="15" s="1"/>
  <c r="D215" i="15" s="1"/>
  <c r="D216" i="15" s="1"/>
  <c r="D217" i="15" s="1"/>
  <c r="D218" i="15" s="1"/>
  <c r="D219" i="15" s="1"/>
  <c r="D220" i="15" s="1"/>
  <c r="D221" i="15" s="1"/>
  <c r="D222" i="15" s="1"/>
  <c r="D223" i="15" s="1"/>
  <c r="D224" i="15" s="1"/>
  <c r="D225" i="15" s="1"/>
  <c r="D226" i="15" s="1"/>
  <c r="D227" i="15" s="1"/>
  <c r="D228" i="15" s="1"/>
  <c r="D229" i="15" s="1"/>
  <c r="D230" i="15" s="1"/>
  <c r="D231" i="15" s="1"/>
  <c r="D232" i="15" s="1"/>
  <c r="D233" i="15" s="1"/>
  <c r="D234" i="15" s="1"/>
  <c r="D235" i="15" s="1"/>
  <c r="D236" i="15" s="1"/>
  <c r="D237" i="15" s="1"/>
  <c r="D238" i="15" s="1"/>
  <c r="D239" i="15" s="1"/>
  <c r="D240" i="15" s="1"/>
  <c r="D241" i="15" s="1"/>
  <c r="D242" i="15" s="1"/>
  <c r="D243" i="15" s="1"/>
  <c r="D244" i="15" s="1"/>
  <c r="D245" i="15" s="1"/>
  <c r="D246" i="15" s="1"/>
  <c r="D247" i="15" s="1"/>
  <c r="D248" i="15" s="1"/>
  <c r="D249" i="15" s="1"/>
  <c r="D250" i="15" s="1"/>
  <c r="D251" i="15" s="1"/>
  <c r="D252" i="15" s="1"/>
  <c r="D253" i="15" s="1"/>
  <c r="D254" i="15" s="1"/>
  <c r="D255" i="15" s="1"/>
  <c r="D256" i="15" s="1"/>
  <c r="D257" i="15" s="1"/>
  <c r="D258" i="15" s="1"/>
  <c r="D259" i="15" s="1"/>
  <c r="D260" i="15" s="1"/>
  <c r="D261" i="15" s="1"/>
  <c r="D262" i="15" s="1"/>
  <c r="D263" i="15" s="1"/>
  <c r="D264" i="15" s="1"/>
  <c r="D265" i="15" s="1"/>
  <c r="D266" i="15" s="1"/>
  <c r="D267" i="15" s="1"/>
  <c r="D268" i="15" s="1"/>
  <c r="D269" i="15" s="1"/>
  <c r="D270" i="15" s="1"/>
  <c r="D271" i="15" s="1"/>
  <c r="D272" i="15" s="1"/>
  <c r="D273" i="15" s="1"/>
  <c r="D274" i="15" s="1"/>
  <c r="D275" i="15" s="1"/>
  <c r="D276" i="15" s="1"/>
  <c r="D277" i="15" s="1"/>
  <c r="D278" i="15" s="1"/>
  <c r="D279" i="15" s="1"/>
  <c r="D280" i="15" s="1"/>
  <c r="D281" i="15" s="1"/>
  <c r="D282" i="15" s="1"/>
  <c r="D283" i="15" s="1"/>
  <c r="D284" i="15" s="1"/>
  <c r="D285" i="15" s="1"/>
  <c r="D286" i="15" s="1"/>
  <c r="D287" i="15" s="1"/>
  <c r="D288" i="15" s="1"/>
  <c r="D289" i="15" s="1"/>
  <c r="D290" i="15" s="1"/>
  <c r="D291" i="15" s="1"/>
  <c r="D292" i="15" s="1"/>
  <c r="D293" i="15" s="1"/>
  <c r="D294" i="15" s="1"/>
  <c r="D295" i="15" s="1"/>
  <c r="D296" i="15" s="1"/>
  <c r="D297" i="15" s="1"/>
  <c r="D298" i="15" s="1"/>
  <c r="D299" i="15" s="1"/>
  <c r="D300" i="15" s="1"/>
  <c r="D301" i="15" s="1"/>
  <c r="D3" i="15"/>
  <c r="H133" i="7" l="1"/>
  <c r="J133" i="7" s="1"/>
  <c r="C7" i="14"/>
  <c r="L206" i="7" s="1"/>
  <c r="H177" i="7" s="1"/>
  <c r="B102" i="15"/>
  <c r="B103" i="15"/>
  <c r="B104" i="15" s="1"/>
  <c r="B105" i="15" s="1"/>
  <c r="B106" i="15"/>
  <c r="B107" i="15"/>
  <c r="B108" i="15" s="1"/>
  <c r="B109" i="15" s="1"/>
  <c r="B110" i="15" s="1"/>
  <c r="B111" i="15" s="1"/>
  <c r="B112" i="15" s="1"/>
  <c r="B113" i="15" s="1"/>
  <c r="B114" i="15" s="1"/>
  <c r="B115" i="15" s="1"/>
  <c r="B116" i="15" s="1"/>
  <c r="B117" i="15" s="1"/>
  <c r="B118" i="15" s="1"/>
  <c r="B119" i="15" s="1"/>
  <c r="B120" i="15" s="1"/>
  <c r="B121" i="15" s="1"/>
  <c r="B122" i="15" s="1"/>
  <c r="B123" i="15" s="1"/>
  <c r="B124" i="15" s="1"/>
  <c r="B125" i="15" s="1"/>
  <c r="B126" i="15" s="1"/>
  <c r="B127" i="15" s="1"/>
  <c r="B128" i="15" s="1"/>
  <c r="B129" i="15" s="1"/>
  <c r="B130" i="15" s="1"/>
  <c r="B131" i="15" s="1"/>
  <c r="B132" i="15" s="1"/>
  <c r="B133" i="15" s="1"/>
  <c r="B134" i="15" s="1"/>
  <c r="B135" i="15" s="1"/>
  <c r="B136" i="15" s="1"/>
  <c r="B137" i="15" s="1"/>
  <c r="B138" i="15" s="1"/>
  <c r="B139" i="15" s="1"/>
  <c r="B140" i="15" s="1"/>
  <c r="B141" i="15" s="1"/>
  <c r="B142" i="15" s="1"/>
  <c r="B143" i="15" s="1"/>
  <c r="B144" i="15" s="1"/>
  <c r="B145" i="15" s="1"/>
  <c r="B146" i="15" s="1"/>
  <c r="B147" i="15" s="1"/>
  <c r="B148" i="15" s="1"/>
  <c r="B149" i="15" s="1"/>
  <c r="B150" i="15" s="1"/>
  <c r="B151" i="15" s="1"/>
  <c r="B152" i="15" s="1"/>
  <c r="B153" i="15" s="1"/>
  <c r="B154" i="15" s="1"/>
  <c r="B155" i="15" s="1"/>
  <c r="B156" i="15" s="1"/>
  <c r="B157" i="15" s="1"/>
  <c r="B158" i="15" s="1"/>
  <c r="B159" i="15" s="1"/>
  <c r="B160" i="15" s="1"/>
  <c r="B161" i="15" s="1"/>
  <c r="B162" i="15" s="1"/>
  <c r="B163" i="15" s="1"/>
  <c r="B164" i="15" s="1"/>
  <c r="B165" i="15" s="1"/>
  <c r="B166" i="15" s="1"/>
  <c r="B167" i="15" s="1"/>
  <c r="B168" i="15" s="1"/>
  <c r="B169" i="15" s="1"/>
  <c r="B170" i="15" s="1"/>
  <c r="B171" i="15" s="1"/>
  <c r="B172" i="15" s="1"/>
  <c r="B173" i="15" s="1"/>
  <c r="B174" i="15" s="1"/>
  <c r="B175" i="15" s="1"/>
  <c r="B176" i="15" s="1"/>
  <c r="B177" i="15" s="1"/>
  <c r="B178" i="15" s="1"/>
  <c r="B179" i="15" s="1"/>
  <c r="B180" i="15" s="1"/>
  <c r="B181" i="15" s="1"/>
  <c r="B182" i="15" s="1"/>
  <c r="B183" i="15" s="1"/>
  <c r="B184" i="15" s="1"/>
  <c r="B185" i="15" s="1"/>
  <c r="B186" i="15" s="1"/>
  <c r="B187" i="15" s="1"/>
  <c r="B188" i="15" s="1"/>
  <c r="B189" i="15" s="1"/>
  <c r="B190" i="15" s="1"/>
  <c r="B191" i="15" s="1"/>
  <c r="B192" i="15" s="1"/>
  <c r="B193" i="15" s="1"/>
  <c r="B194" i="15" s="1"/>
  <c r="B195" i="15" s="1"/>
  <c r="B196" i="15" s="1"/>
  <c r="B197" i="15" s="1"/>
  <c r="B198" i="15" s="1"/>
  <c r="B199" i="15" s="1"/>
  <c r="B200" i="15" s="1"/>
  <c r="B201" i="15" s="1"/>
  <c r="B202" i="15" s="1"/>
  <c r="B203" i="15" s="1"/>
  <c r="B204" i="15" s="1"/>
  <c r="B205" i="15" s="1"/>
  <c r="B206" i="15" s="1"/>
  <c r="B207" i="15" s="1"/>
  <c r="B208" i="15" s="1"/>
  <c r="B209" i="15" s="1"/>
  <c r="B210" i="15" s="1"/>
  <c r="B211" i="15" s="1"/>
  <c r="B212" i="15" s="1"/>
  <c r="B213" i="15" s="1"/>
  <c r="B214" i="15" s="1"/>
  <c r="B215" i="15" s="1"/>
  <c r="B216" i="15" s="1"/>
  <c r="B217" i="15" s="1"/>
  <c r="B218" i="15" s="1"/>
  <c r="B219" i="15" s="1"/>
  <c r="B220" i="15" s="1"/>
  <c r="B221" i="15" s="1"/>
  <c r="B222" i="15" s="1"/>
  <c r="B223" i="15" s="1"/>
  <c r="B224" i="15" s="1"/>
  <c r="B225" i="15" s="1"/>
  <c r="B226" i="15" s="1"/>
  <c r="B227" i="15" s="1"/>
  <c r="B228" i="15" s="1"/>
  <c r="B229" i="15" s="1"/>
  <c r="B230" i="15" s="1"/>
  <c r="B231" i="15" s="1"/>
  <c r="B232" i="15" s="1"/>
  <c r="B233" i="15" s="1"/>
  <c r="B234" i="15" s="1"/>
  <c r="B235" i="15" s="1"/>
  <c r="B236" i="15" s="1"/>
  <c r="B237" i="15" s="1"/>
  <c r="B238" i="15" s="1"/>
  <c r="B239" i="15" s="1"/>
  <c r="B240" i="15" s="1"/>
  <c r="B241" i="15" s="1"/>
  <c r="B242" i="15" s="1"/>
  <c r="B243" i="15" s="1"/>
  <c r="B244" i="15" s="1"/>
  <c r="B245" i="15" s="1"/>
  <c r="B246" i="15" s="1"/>
  <c r="B247" i="15" s="1"/>
  <c r="B248" i="15" s="1"/>
  <c r="B249" i="15" s="1"/>
  <c r="B250" i="15" s="1"/>
  <c r="B251" i="15" s="1"/>
  <c r="B252" i="15" s="1"/>
  <c r="B253" i="15" s="1"/>
  <c r="B254" i="15" s="1"/>
  <c r="B255" i="15" s="1"/>
  <c r="B256" i="15" s="1"/>
  <c r="B257" i="15" s="1"/>
  <c r="B258" i="15" s="1"/>
  <c r="B259" i="15" s="1"/>
  <c r="B260" i="15" s="1"/>
  <c r="B261" i="15" s="1"/>
  <c r="B262" i="15" s="1"/>
  <c r="B263" i="15" s="1"/>
  <c r="B264" i="15" s="1"/>
  <c r="B265" i="15" s="1"/>
  <c r="B266" i="15" s="1"/>
  <c r="B267" i="15" s="1"/>
  <c r="B268" i="15" s="1"/>
  <c r="B269" i="15" s="1"/>
  <c r="B270" i="15" s="1"/>
  <c r="B271" i="15" s="1"/>
  <c r="B272" i="15" s="1"/>
  <c r="B273" i="15" s="1"/>
  <c r="B274" i="15" s="1"/>
  <c r="B275" i="15" s="1"/>
  <c r="B276" i="15" s="1"/>
  <c r="B277" i="15" s="1"/>
  <c r="B278" i="15" s="1"/>
  <c r="B279" i="15" s="1"/>
  <c r="B280" i="15" s="1"/>
  <c r="B281" i="15" s="1"/>
  <c r="B282" i="15" s="1"/>
  <c r="B283" i="15" s="1"/>
  <c r="B284" i="15" s="1"/>
  <c r="B285" i="15" s="1"/>
  <c r="B286" i="15" s="1"/>
  <c r="B287" i="15" s="1"/>
  <c r="B288" i="15" s="1"/>
  <c r="B289" i="15" s="1"/>
  <c r="B290" i="15" s="1"/>
  <c r="B291" i="15" s="1"/>
  <c r="B292" i="15" s="1"/>
  <c r="B293" i="15" s="1"/>
  <c r="B294" i="15" s="1"/>
  <c r="B295" i="15" s="1"/>
  <c r="B296" i="15" s="1"/>
  <c r="B297" i="15" s="1"/>
  <c r="B298" i="15" s="1"/>
  <c r="B299" i="15" s="1"/>
  <c r="B300" i="15" s="1"/>
  <c r="B301" i="15" s="1"/>
  <c r="C2" i="15"/>
  <c r="C3" i="15" s="1"/>
  <c r="C4" i="15" s="1"/>
  <c r="C5" i="15" s="1"/>
  <c r="C6" i="15" s="1"/>
  <c r="C7" i="15" s="1"/>
  <c r="C8" i="15" s="1"/>
  <c r="C9" i="15" s="1"/>
  <c r="C10" i="15" s="1"/>
  <c r="C11" i="15" s="1"/>
  <c r="C12" i="15" s="1"/>
  <c r="C13" i="15" s="1"/>
  <c r="C14" i="15" s="1"/>
  <c r="C15" i="15" s="1"/>
  <c r="C16" i="15" s="1"/>
  <c r="C17" i="15" s="1"/>
  <c r="C18" i="15" s="1"/>
  <c r="C19" i="15" s="1"/>
  <c r="C20" i="15" s="1"/>
  <c r="C21" i="15" s="1"/>
  <c r="C22" i="15" s="1"/>
  <c r="C23" i="15" s="1"/>
  <c r="C24" i="15" s="1"/>
  <c r="C25" i="15" s="1"/>
  <c r="C26" i="15" s="1"/>
  <c r="C27" i="15" s="1"/>
  <c r="C28" i="15" s="1"/>
  <c r="C29" i="15" s="1"/>
  <c r="C30" i="15" s="1"/>
  <c r="C31" i="15" s="1"/>
  <c r="C32" i="15" s="1"/>
  <c r="C33" i="15" s="1"/>
  <c r="C34" i="15" s="1"/>
  <c r="C35" i="15" s="1"/>
  <c r="C36" i="15" s="1"/>
  <c r="C37" i="15" s="1"/>
  <c r="C38" i="15" s="1"/>
  <c r="C39" i="15" s="1"/>
  <c r="C40" i="15" s="1"/>
  <c r="C41" i="15" s="1"/>
  <c r="C42" i="15" s="1"/>
  <c r="C43" i="15" s="1"/>
  <c r="C44" i="15" s="1"/>
  <c r="C45" i="15" s="1"/>
  <c r="C46" i="15" s="1"/>
  <c r="C47" i="15" s="1"/>
  <c r="C48" i="15" s="1"/>
  <c r="C49" i="15" s="1"/>
  <c r="C50" i="15" s="1"/>
  <c r="C51" i="15" s="1"/>
  <c r="C52" i="15" s="1"/>
  <c r="C53" i="15" s="1"/>
  <c r="C54" i="15" s="1"/>
  <c r="C55" i="15" s="1"/>
  <c r="C56" i="15" s="1"/>
  <c r="C57" i="15" s="1"/>
  <c r="C58" i="15" s="1"/>
  <c r="C59" i="15" s="1"/>
  <c r="C60" i="15" s="1"/>
  <c r="C61" i="15" s="1"/>
  <c r="C62" i="15" s="1"/>
  <c r="C63" i="15" s="1"/>
  <c r="C64" i="15" s="1"/>
  <c r="C65" i="15" s="1"/>
  <c r="C66" i="15" s="1"/>
  <c r="C67" i="15" s="1"/>
  <c r="C68" i="15" s="1"/>
  <c r="C69" i="15" s="1"/>
  <c r="C70" i="15" s="1"/>
  <c r="C71" i="15" s="1"/>
  <c r="C72" i="15" s="1"/>
  <c r="C73" i="15" s="1"/>
  <c r="C74" i="15" s="1"/>
  <c r="C75" i="15" s="1"/>
  <c r="C76" i="15" s="1"/>
  <c r="C77" i="15" s="1"/>
  <c r="C78" i="15" s="1"/>
  <c r="C79" i="15" s="1"/>
  <c r="C80" i="15" s="1"/>
  <c r="C81" i="15" s="1"/>
  <c r="C82" i="15" s="1"/>
  <c r="C83" i="15" s="1"/>
  <c r="C84" i="15" s="1"/>
  <c r="C85" i="15" s="1"/>
  <c r="C86" i="15" s="1"/>
  <c r="C87" i="15" s="1"/>
  <c r="C88" i="15" s="1"/>
  <c r="C89" i="15" s="1"/>
  <c r="C90" i="15" s="1"/>
  <c r="C91" i="15" s="1"/>
  <c r="C92" i="15" s="1"/>
  <c r="C93" i="15" s="1"/>
  <c r="C94" i="15" s="1"/>
  <c r="C95" i="15" s="1"/>
  <c r="C96" i="15" s="1"/>
  <c r="C97" i="15" s="1"/>
  <c r="C98" i="15" s="1"/>
  <c r="C99" i="15" s="1"/>
  <c r="C100" i="15" s="1"/>
  <c r="C101" i="15" s="1"/>
  <c r="C102" i="15" s="1"/>
  <c r="C103" i="15" s="1"/>
  <c r="C104" i="15" s="1"/>
  <c r="C105" i="15" s="1"/>
  <c r="C106" i="15" s="1"/>
  <c r="C107" i="15" s="1"/>
  <c r="C108" i="15" s="1"/>
  <c r="C109" i="15" s="1"/>
  <c r="C110" i="15" s="1"/>
  <c r="C111" i="15" s="1"/>
  <c r="C112" i="15" s="1"/>
  <c r="C113" i="15" s="1"/>
  <c r="C114" i="15" s="1"/>
  <c r="C115" i="15" s="1"/>
  <c r="C116" i="15" s="1"/>
  <c r="C117" i="15" s="1"/>
  <c r="C118" i="15" s="1"/>
  <c r="C119" i="15" s="1"/>
  <c r="C120" i="15" s="1"/>
  <c r="C121" i="15" s="1"/>
  <c r="C122" i="15" s="1"/>
  <c r="C123" i="15" s="1"/>
  <c r="C124" i="15" s="1"/>
  <c r="C125" i="15" s="1"/>
  <c r="C126" i="15" s="1"/>
  <c r="C127" i="15" s="1"/>
  <c r="C128" i="15" s="1"/>
  <c r="C129" i="15" s="1"/>
  <c r="C130" i="15" s="1"/>
  <c r="C131" i="15" s="1"/>
  <c r="C132" i="15" s="1"/>
  <c r="C133" i="15" s="1"/>
  <c r="C134" i="15" s="1"/>
  <c r="C135" i="15" s="1"/>
  <c r="C136" i="15" s="1"/>
  <c r="C137" i="15" s="1"/>
  <c r="C138" i="15" s="1"/>
  <c r="C139" i="15" s="1"/>
  <c r="C140" i="15" s="1"/>
  <c r="C141" i="15" s="1"/>
  <c r="C142" i="15" s="1"/>
  <c r="C143" i="15" s="1"/>
  <c r="C144" i="15" s="1"/>
  <c r="C145" i="15" s="1"/>
  <c r="C146" i="15" s="1"/>
  <c r="C147" i="15" s="1"/>
  <c r="C148" i="15" s="1"/>
  <c r="C149" i="15" s="1"/>
  <c r="C150" i="15" s="1"/>
  <c r="C151" i="15" s="1"/>
  <c r="C152" i="15" s="1"/>
  <c r="C153" i="15" s="1"/>
  <c r="C154" i="15" s="1"/>
  <c r="C155" i="15" s="1"/>
  <c r="C156" i="15" s="1"/>
  <c r="C157" i="15" s="1"/>
  <c r="C158" i="15" s="1"/>
  <c r="C159" i="15" s="1"/>
  <c r="C160" i="15" s="1"/>
  <c r="C161" i="15" s="1"/>
  <c r="C162" i="15" s="1"/>
  <c r="C163" i="15" s="1"/>
  <c r="C164" i="15" s="1"/>
  <c r="C165" i="15" s="1"/>
  <c r="C166" i="15" s="1"/>
  <c r="C167" i="15" s="1"/>
  <c r="C168" i="15" s="1"/>
  <c r="C169" i="15" s="1"/>
  <c r="C170" i="15" s="1"/>
  <c r="C171" i="15" s="1"/>
  <c r="C172" i="15" s="1"/>
  <c r="C173" i="15" s="1"/>
  <c r="C174" i="15" s="1"/>
  <c r="C175" i="15" s="1"/>
  <c r="C176" i="15" s="1"/>
  <c r="C177" i="15" s="1"/>
  <c r="C178" i="15" s="1"/>
  <c r="C179" i="15" s="1"/>
  <c r="C180" i="15" s="1"/>
  <c r="C181" i="15" s="1"/>
  <c r="C182" i="15" s="1"/>
  <c r="C183" i="15" s="1"/>
  <c r="C184" i="15" s="1"/>
  <c r="C185" i="15" s="1"/>
  <c r="C186" i="15" s="1"/>
  <c r="C187" i="15" s="1"/>
  <c r="C188" i="15" s="1"/>
  <c r="C189" i="15" s="1"/>
  <c r="C190" i="15" s="1"/>
  <c r="C191" i="15" s="1"/>
  <c r="C192" i="15" s="1"/>
  <c r="C193" i="15" s="1"/>
  <c r="C194" i="15" s="1"/>
  <c r="C195" i="15" s="1"/>
  <c r="C196" i="15" s="1"/>
  <c r="C197" i="15" s="1"/>
  <c r="C198" i="15" s="1"/>
  <c r="C199" i="15" s="1"/>
  <c r="C200" i="15" s="1"/>
  <c r="C201" i="15" s="1"/>
  <c r="C202" i="15" s="1"/>
  <c r="C203" i="15" s="1"/>
  <c r="C204" i="15" s="1"/>
  <c r="C205" i="15" s="1"/>
  <c r="C206" i="15" s="1"/>
  <c r="C207" i="15" s="1"/>
  <c r="C208" i="15" s="1"/>
  <c r="C209" i="15" s="1"/>
  <c r="C210" i="15" s="1"/>
  <c r="C211" i="15" s="1"/>
  <c r="C212" i="15" s="1"/>
  <c r="C213" i="15" s="1"/>
  <c r="C214" i="15" s="1"/>
  <c r="C215" i="15" s="1"/>
  <c r="C216" i="15" s="1"/>
  <c r="C217" i="15" s="1"/>
  <c r="C218" i="15" s="1"/>
  <c r="C219" i="15" s="1"/>
  <c r="C220" i="15" s="1"/>
  <c r="C221" i="15" s="1"/>
  <c r="C222" i="15" s="1"/>
  <c r="C223" i="15" s="1"/>
  <c r="C224" i="15" s="1"/>
  <c r="C225" i="15" s="1"/>
  <c r="C226" i="15" s="1"/>
  <c r="C227" i="15" s="1"/>
  <c r="C228" i="15" s="1"/>
  <c r="C229" i="15" s="1"/>
  <c r="C230" i="15" s="1"/>
  <c r="C231" i="15" s="1"/>
  <c r="C232" i="15" s="1"/>
  <c r="C233" i="15" s="1"/>
  <c r="C234" i="15" s="1"/>
  <c r="C235" i="15" s="1"/>
  <c r="C236" i="15" s="1"/>
  <c r="C237" i="15" s="1"/>
  <c r="C238" i="15" s="1"/>
  <c r="C239" i="15" s="1"/>
  <c r="C240" i="15" s="1"/>
  <c r="C241" i="15" s="1"/>
  <c r="C242" i="15" s="1"/>
  <c r="C243" i="15" s="1"/>
  <c r="C244" i="15" s="1"/>
  <c r="C245" i="15" s="1"/>
  <c r="C246" i="15" s="1"/>
  <c r="C247" i="15" s="1"/>
  <c r="C248" i="15" s="1"/>
  <c r="C249" i="15" s="1"/>
  <c r="C250" i="15" s="1"/>
  <c r="C251" i="15" s="1"/>
  <c r="C252" i="15" s="1"/>
  <c r="C253" i="15" s="1"/>
  <c r="C254" i="15" s="1"/>
  <c r="C255" i="15" s="1"/>
  <c r="C256" i="15" s="1"/>
  <c r="C257" i="15" s="1"/>
  <c r="C258" i="15" s="1"/>
  <c r="C259" i="15" s="1"/>
  <c r="C260" i="15" s="1"/>
  <c r="C261" i="15" s="1"/>
  <c r="C262" i="15" s="1"/>
  <c r="C263" i="15" s="1"/>
  <c r="C264" i="15" s="1"/>
  <c r="C265" i="15" s="1"/>
  <c r="C266" i="15" s="1"/>
  <c r="C267" i="15" s="1"/>
  <c r="C268" i="15" s="1"/>
  <c r="C269" i="15" s="1"/>
  <c r="C270" i="15" s="1"/>
  <c r="C271" i="15" s="1"/>
  <c r="C272" i="15" s="1"/>
  <c r="C273" i="15" s="1"/>
  <c r="C274" i="15" s="1"/>
  <c r="C275" i="15" s="1"/>
  <c r="C276" i="15" s="1"/>
  <c r="C277" i="15" s="1"/>
  <c r="C278" i="15" s="1"/>
  <c r="C279" i="15" s="1"/>
  <c r="C280" i="15" s="1"/>
  <c r="C281" i="15" s="1"/>
  <c r="C282" i="15" s="1"/>
  <c r="C283" i="15" s="1"/>
  <c r="C284" i="15" s="1"/>
  <c r="C285" i="15" s="1"/>
  <c r="C286" i="15" s="1"/>
  <c r="C287" i="15" s="1"/>
  <c r="C288" i="15" s="1"/>
  <c r="C289" i="15" s="1"/>
  <c r="C290" i="15" s="1"/>
  <c r="C291" i="15" s="1"/>
  <c r="C292" i="15" s="1"/>
  <c r="C293" i="15" s="1"/>
  <c r="C294" i="15" s="1"/>
  <c r="C295" i="15" s="1"/>
  <c r="C296" i="15" s="1"/>
  <c r="C297" i="15" s="1"/>
  <c r="C298" i="15" s="1"/>
  <c r="C299" i="15" s="1"/>
  <c r="C300" i="15" s="1"/>
  <c r="C301" i="15" s="1"/>
  <c r="B3" i="15"/>
  <c r="B4" i="15" s="1"/>
  <c r="B5" i="15" s="1"/>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79" i="15" s="1"/>
  <c r="B80" i="15" s="1"/>
  <c r="B81" i="15" s="1"/>
  <c r="B82" i="15" s="1"/>
  <c r="B83" i="15" s="1"/>
  <c r="B84" i="15" s="1"/>
  <c r="B85" i="15" s="1"/>
  <c r="B86" i="15" s="1"/>
  <c r="B87" i="15" s="1"/>
  <c r="B88" i="15" s="1"/>
  <c r="B89" i="15" s="1"/>
  <c r="B90" i="15" s="1"/>
  <c r="B91" i="15" s="1"/>
  <c r="B92" i="15" s="1"/>
  <c r="B93" i="15" s="1"/>
  <c r="B94" i="15" s="1"/>
  <c r="B95" i="15" s="1"/>
  <c r="B96" i="15" s="1"/>
  <c r="B97" i="15" s="1"/>
  <c r="B98" i="15" s="1"/>
  <c r="B99" i="15" s="1"/>
  <c r="B100" i="15" s="1"/>
  <c r="B101" i="15" s="1"/>
  <c r="H221" i="7" l="1"/>
  <c r="J221" i="7" s="1"/>
  <c r="H250" i="7"/>
  <c r="J250" i="7" s="1"/>
  <c r="H321" i="7"/>
  <c r="J321" i="7" s="1"/>
  <c r="H277" i="7"/>
  <c r="J277" i="7" s="1"/>
  <c r="F20" i="14"/>
  <c r="F22" i="14" s="1"/>
  <c r="F19" i="14"/>
  <c r="J177" i="7" l="1"/>
  <c r="H2" i="7"/>
  <c r="J2" i="7" s="1"/>
  <c r="H50" i="7"/>
  <c r="J50" i="7" s="1"/>
  <c r="H309" i="7" l="1"/>
  <c r="J309" i="7" s="1"/>
  <c r="H299" i="7" l="1"/>
  <c r="I1" i="8"/>
  <c r="J299" i="7" l="1"/>
  <c r="J353" i="7" s="1"/>
  <c r="D69" i="9"/>
  <c r="E69" i="9" s="1"/>
  <c r="D57" i="9"/>
  <c r="E57" i="9" s="1"/>
  <c r="D50" i="9"/>
  <c r="E50" i="9" s="1"/>
  <c r="D45" i="9"/>
  <c r="E45" i="9" s="1"/>
  <c r="D34" i="9"/>
  <c r="E34" i="9" s="1"/>
  <c r="D32" i="9"/>
  <c r="E32" i="9" s="1"/>
  <c r="D29" i="9"/>
  <c r="E29" i="9" s="1"/>
  <c r="D27" i="9"/>
  <c r="E27" i="9" s="1"/>
  <c r="D25" i="9"/>
  <c r="E25" i="9" s="1"/>
  <c r="D23" i="9"/>
  <c r="E23" i="9" s="1"/>
  <c r="D20" i="9"/>
  <c r="E20" i="9" s="1"/>
  <c r="D17" i="9"/>
  <c r="E17" i="9" s="1"/>
  <c r="D15" i="9"/>
  <c r="E15" i="9" s="1"/>
  <c r="D12" i="9"/>
  <c r="E12" i="9" s="1"/>
  <c r="D9" i="9"/>
  <c r="E9" i="9" s="1"/>
  <c r="D6" i="9"/>
  <c r="E6" i="9" s="1"/>
  <c r="C71" i="9"/>
  <c r="K45" i="9"/>
  <c r="I46" i="9"/>
  <c r="I47" i="9"/>
  <c r="I48" i="9"/>
  <c r="I45" i="9"/>
  <c r="K353" i="7" l="1"/>
  <c r="E71" i="9"/>
  <c r="J45" i="9"/>
  <c r="L45" i="9" s="1"/>
  <c r="F69" i="9" l="1"/>
  <c r="G69" i="9" s="1"/>
  <c r="F34" i="9" l="1"/>
  <c r="G34" i="9" s="1"/>
  <c r="F32" i="9"/>
  <c r="G32" i="9" s="1"/>
  <c r="F17" i="9" l="1"/>
  <c r="G17" i="9" s="1"/>
  <c r="F20" i="9"/>
  <c r="G20" i="9" s="1"/>
  <c r="F57" i="9"/>
  <c r="G57" i="9" s="1"/>
  <c r="F15" i="9" l="1"/>
  <c r="G15" i="9" s="1"/>
  <c r="F9" i="9"/>
  <c r="G9" i="9" s="1"/>
  <c r="F12" i="9" l="1"/>
  <c r="G12" i="9" s="1"/>
  <c r="F27" i="9" l="1"/>
  <c r="G27" i="9" s="1"/>
  <c r="F23" i="9"/>
  <c r="G23" i="9" s="1"/>
  <c r="F6" i="9"/>
  <c r="G6" i="9" s="1"/>
  <c r="F45" i="9" l="1"/>
  <c r="G45" i="9" s="1"/>
  <c r="F50" i="9"/>
  <c r="G50" i="9" s="1"/>
  <c r="F25" i="9"/>
  <c r="G25" i="9" s="1"/>
  <c r="F29" i="9"/>
  <c r="G29" i="9" s="1"/>
  <c r="G71" i="9" l="1"/>
</calcChain>
</file>

<file path=xl/comments1.xml><?xml version="1.0" encoding="utf-8"?>
<comments xmlns="http://schemas.openxmlformats.org/spreadsheetml/2006/main">
  <authors>
    <author>Oleksandr sakada</author>
  </authors>
  <commentList>
    <comment ref="L27" authorId="0" shapeId="0">
      <text>
        <r>
          <rPr>
            <b/>
            <sz val="9"/>
            <color indexed="81"/>
            <rFont val="Tahoma"/>
            <family val="2"/>
          </rPr>
          <t>Oleksandr Sakada:</t>
        </r>
        <r>
          <rPr>
            <sz val="9"/>
            <color indexed="81"/>
            <rFont val="Tahoma"/>
            <family val="2"/>
          </rPr>
          <t xml:space="preserve">
Multiplication by the stuck-at fault coverage is performed because estimation of the open-fault coverage is performed based on the test patterns defined for stuck-at faults.
Yes, also the test petterns for short-faults are taken into consideration, but short-fault coverage estimation is also performed based on achieved coverage for stuck-at faults.
Therefore, open faults can be detected only within the area where stuck-at faults are detected. So we need to add correction on the relative size of this area
 to the size of the whole considered sub-module.</t>
        </r>
      </text>
    </comment>
    <comment ref="N27" authorId="0" shapeId="0">
      <text>
        <r>
          <rPr>
            <b/>
            <sz val="9"/>
            <color indexed="81"/>
            <rFont val="Tahoma"/>
            <family val="2"/>
          </rPr>
          <t>Oleksandr sakada:</t>
        </r>
        <r>
          <rPr>
            <sz val="9"/>
            <color indexed="81"/>
            <rFont val="Tahoma"/>
            <family val="2"/>
          </rPr>
          <t xml:space="preserve">
Mentioned here 6x test patterns do not contradict to estimated 100x test patterns applied to stuck-at faults, and 300x test patterns applied to short-faults.
6x test patters in relation to open faults is an estimation of how many times each of the open fault location is toggled in avarage by the applied 100x or 300x test patterns, which are in their turn are spread accross the whole ALU logic area.</t>
        </r>
      </text>
    </comment>
    <comment ref="L31" authorId="0" shapeId="0">
      <text>
        <r>
          <rPr>
            <b/>
            <sz val="9"/>
            <color indexed="81"/>
            <rFont val="Tahoma"/>
            <family val="2"/>
          </rPr>
          <t>Oleksandr Sakada:</t>
        </r>
        <r>
          <rPr>
            <sz val="9"/>
            <color indexed="81"/>
            <rFont val="Tahoma"/>
            <family val="2"/>
          </rPr>
          <t xml:space="preserve">
Multiplication by the stuck-at fault coverage is performed because estimation of the stuck-open fault coverage is performed based on the test patterns defined for stuck-at faults.
Yes, also the test petterns for short-faults are taken into consideration, but short-fault coverage estimation is also performed based on the achieved coverage for stuck-at faults.
Therefore, stuck-open faults can be detected only within the area where stuck-at faults are detected. So we need to add correction on the relative size of this are to the size of the whole considered sub-module.</t>
        </r>
      </text>
    </comment>
    <comment ref="L43" authorId="0" shapeId="0">
      <text>
        <r>
          <rPr>
            <b/>
            <sz val="9"/>
            <color indexed="81"/>
            <rFont val="Tahoma"/>
            <family val="2"/>
          </rPr>
          <t>Oleksandr Sakada:</t>
        </r>
        <r>
          <rPr>
            <sz val="9"/>
            <color indexed="81"/>
            <rFont val="Tahoma"/>
            <family val="2"/>
          </rPr>
          <t xml:space="preserve">
Multiplication by the stuck-at fault coverage is performed because estimation of the short fault coverage is performed based on the test patterns defined for stuck-at faults.
Therefore, short faults can be detected only within the area where stuck-at faults are detected. So we need to add correction on the relative size of this are to the size of the whole considered sub-module.</t>
        </r>
      </text>
    </comment>
    <comment ref="L73" authorId="0" shapeId="0">
      <text>
        <r>
          <rPr>
            <b/>
            <sz val="9"/>
            <color indexed="81"/>
            <rFont val="Tahoma"/>
            <family val="2"/>
          </rPr>
          <t>Oleksandr Sakada:</t>
        </r>
        <r>
          <rPr>
            <sz val="9"/>
            <color indexed="81"/>
            <rFont val="Tahoma"/>
            <family val="2"/>
          </rPr>
          <t xml:space="preserve">
In the same way as for ALU module, a multiplication is perform by the factor corresponding to the relative size of the area, challenged by the stuck-at fault detection patterns.
But since within stuck-at fault coverage estimation is considered a possibility of a race condition in one part of the decoder, and the estimated coverage is therefore correspondingly lowered, it is correct not to take the actually estimated stuck-at fault coverage, but the estimated size of the area challenged by the stuck-at fault detection patterns.</t>
        </r>
      </text>
    </comment>
    <comment ref="L76" authorId="0" shapeId="0">
      <text>
        <r>
          <rPr>
            <b/>
            <sz val="9"/>
            <color indexed="81"/>
            <rFont val="Tahoma"/>
            <family val="2"/>
          </rPr>
          <t>Oleksandr Sakada:</t>
        </r>
        <r>
          <rPr>
            <sz val="9"/>
            <color indexed="81"/>
            <rFont val="Tahoma"/>
            <family val="2"/>
          </rPr>
          <t xml:space="preserve">
In the same way as for ALU module, a multiplication is perform by the factor corresponding to the relative size of the area, challenged by the stuck-at fault detection patterns.
But since within stuck-at fault coverage estimation is considered a possibility of a race condition in one part of the decoder, and the estimated coverage is therefore correspondingly lowered, it is correct not to take the actually estimated stuck-at fault coverage, but the estimated size of the area challenged by the stuck-at fault detection patterns.</t>
        </r>
      </text>
    </comment>
    <comment ref="L79" authorId="0" shapeId="0">
      <text>
        <r>
          <rPr>
            <b/>
            <sz val="9"/>
            <color indexed="81"/>
            <rFont val="Tahoma"/>
            <family val="2"/>
          </rPr>
          <t>Oleksandr Sakada:</t>
        </r>
        <r>
          <rPr>
            <sz val="9"/>
            <color indexed="81"/>
            <rFont val="Tahoma"/>
            <family val="2"/>
          </rPr>
          <t xml:space="preserve">
In the same way as for ALU module, a multiplication is perform by the factor corresponding to the relative size of the area, challenged by the stuck-at fault detection patterns.
But since within stuck-at fault coverage estimation is considered a possibility of a race condition in one part of the decoder, and the estimated coverage is therefore correspondingly lowered, it is correct not to take the actually estimated stuck-at fault coverage, but the estimated size of the area challenged by the stuck-at fault detection patterns.</t>
        </r>
      </text>
    </comment>
  </commentList>
</comments>
</file>

<file path=xl/sharedStrings.xml><?xml version="1.0" encoding="utf-8"?>
<sst xmlns="http://schemas.openxmlformats.org/spreadsheetml/2006/main" count="2174" uniqueCount="1559">
  <si>
    <t>Date</t>
  </si>
  <si>
    <t>Description</t>
  </si>
  <si>
    <t>Oleksandr Sakada</t>
  </si>
  <si>
    <t>1.0-D01</t>
  </si>
  <si>
    <t>Document revision</t>
  </si>
  <si>
    <t>History of change</t>
  </si>
  <si>
    <t>Instruction decoder</t>
  </si>
  <si>
    <t>Stuck-at</t>
  </si>
  <si>
    <t>Integer select APU</t>
  </si>
  <si>
    <t>Created by</t>
  </si>
  <si>
    <t>Short</t>
  </si>
  <si>
    <t>Open</t>
  </si>
  <si>
    <t>Stuck-open</t>
  </si>
  <si>
    <t>Data path multiplexors</t>
  </si>
  <si>
    <t>32-bit Mask Insertion Unit (MIU)</t>
  </si>
  <si>
    <t>32-bit Barrel Shifter</t>
  </si>
  <si>
    <t>32-bit Logical Unit</t>
  </si>
  <si>
    <t>32-bit Arithmetic Unit</t>
  </si>
  <si>
    <t>Condition Register Manipulation Unit (CRU)</t>
  </si>
  <si>
    <t>32-bit Count Leading Zero’s Unit (CLZ)</t>
  </si>
  <si>
    <t>3-bit Parallel Divider</t>
  </si>
  <si>
    <t>Pipelined 32x32 Hardware Multiplier array</t>
  </si>
  <si>
    <t>Decorated Memory Storage Controller (DMSC)</t>
  </si>
  <si>
    <t>Load / Store Unit</t>
  </si>
  <si>
    <t>Exception Control</t>
  </si>
  <si>
    <t>Branch control</t>
  </si>
  <si>
    <t>Related core self test(s)</t>
  </si>
  <si>
    <t>Instruction counter</t>
  </si>
  <si>
    <t>Instruction buffer</t>
  </si>
  <si>
    <t>CPU Register File</t>
  </si>
  <si>
    <t>testbench.top.z6e_cpu.cpu_dpath.cz_cntzero_lower</t>
  </si>
  <si>
    <t>testbench.top.z6e_cpu.cpu_control.dc_decoder</t>
  </si>
  <si>
    <t>testbench.top.z6e_cpu.cpu_control.ec_exception_control</t>
  </si>
  <si>
    <t>testbench.top.z6e_cpu.cpu_control.fc_fetch_control</t>
  </si>
  <si>
    <t>testbench.top.z6e_cpu.cpu_control.ib_control</t>
  </si>
  <si>
    <t>testbench.top.z6e_cpu.cpu_control.il_interlock</t>
  </si>
  <si>
    <t>testbench.top.z6e_cpu.cpu_control.lsc_control</t>
  </si>
  <si>
    <t>testbench.top.z6e_cpu.cpu_dpath.ad_adder_lower</t>
  </si>
  <si>
    <t>testbench.top.z6e_cpu.cpu_dpath.ad_adder_upper</t>
  </si>
  <si>
    <t>testbench.top.z6e_cpu.cpu_dpath.ag_address_gen</t>
  </si>
  <si>
    <t>testbench.top.z6e_cpu.cpu_dpath.ag_address_gen.ag_pc_bus_reg</t>
  </si>
  <si>
    <t>testbench.top.z6e_cpu.cpu_dpath.ag_address_gen.btb_entry0_reg</t>
  </si>
  <si>
    <t>testbench.top.z6e_cpu.cpu_dpath.ag_address_gen.btb_entry1_reg</t>
  </si>
  <si>
    <t>testbench.top.z6e_cpu.cpu_dpath.ag_address_gen.btb_entry2_reg</t>
  </si>
  <si>
    <t>testbench.top.z6e_cpu.cpu_dpath.ag_address_gen.btb_entry3_reg</t>
  </si>
  <si>
    <t>testbench.top.z6e_cpu.cpu_dpath.ag_address_gen.btb_entry4_reg</t>
  </si>
  <si>
    <t>testbench.top.z6e_cpu.cpu_dpath.ag_address_gen.btb_entry5_reg</t>
  </si>
  <si>
    <t>testbench.top.z6e_cpu.cpu_dpath.ag_address_gen.btb_entry6_reg</t>
  </si>
  <si>
    <t>testbench.top.z6e_cpu.cpu_dpath.ag_address_gen.btb_entry7_reg</t>
  </si>
  <si>
    <t>testbench.top.z6e_cpu.cpu_dpath.bm_bit_mask</t>
  </si>
  <si>
    <t>testbench.top.z6e_cpu.cpu_dpath.cm_zd_cmux_rmux</t>
  </si>
  <si>
    <t>estbench.top.z6e_cpu.cpu_dpath.cr_cndreg_mux</t>
  </si>
  <si>
    <t>testbench.top.z6e_cpu.cpu_dpath.cz_cntzero_upper</t>
  </si>
  <si>
    <t>estbench.top.z6e_cpu.cpu_dpath.ir_inst_reg</t>
  </si>
  <si>
    <t>testbench.top.z6e_cpu.cpu_dpath.ld_mux</t>
  </si>
  <si>
    <t>testbench.top.z6e_cpu.cpu_dpath.lg_logical_lower</t>
  </si>
  <si>
    <t>testbench.top.z6e_cpu.cpu_dpath.lg_logical_upper</t>
  </si>
  <si>
    <t>testbench.top.z6e_cpu.cpu_dpath.op0a_mux</t>
  </si>
  <si>
    <t>testbench.top.z6e_cpu.cpu_dpath.op0b_mux</t>
  </si>
  <si>
    <t>testbench.top.z6e_cpu.cpu_dpath.op1_mux</t>
  </si>
  <si>
    <t>testbench.top.z6e_cpu.cpu_dpath.op2_mux</t>
  </si>
  <si>
    <t>testbench.top.z6e_cpu.cpu_dpath.op3a_mux</t>
  </si>
  <si>
    <t>testbench.top.z6e_cpu.cpu_dpath.op3b_mux</t>
  </si>
  <si>
    <t>testbench.top.z6e_cpu.cpu_dpath.op4_mux</t>
  </si>
  <si>
    <t>testbench.top.z6e_cpu.cpu_dpath.rf_memblock.rf_control_registers</t>
  </si>
  <si>
    <t>testbench.top.z6e_cpu.cpu_dpath.rf_memblock.rf_exception_registers</t>
  </si>
  <si>
    <t>testbench.top.z6e_cpu.cpu_dpath.rf_memblock.rf_general_registers</t>
  </si>
  <si>
    <t>testbench.top.z6e_cpu.cpu_dpath.rf_memblock.rf_mem_mux</t>
  </si>
  <si>
    <t>testbench.top.z6e_cpu.cpu_dpath.sh_shifter_lower</t>
  </si>
  <si>
    <t>testbench.top.z6e_cpu.cpu_dpath.sh_shifter_upper</t>
  </si>
  <si>
    <t>testbench.top.z6e_cpu.cpu_dpath.spr_interface</t>
  </si>
  <si>
    <t>testbench.top.z6e_cpu.cpu_dpath.st_mux</t>
  </si>
  <si>
    <t>testbench.top.z6e_cpu.cpu_dpath.zmac</t>
  </si>
  <si>
    <t>testbench.top.z6e_cpu.cpu_control.brc_control</t>
  </si>
  <si>
    <t>testbench.top.z6e_cpu.cpu_dpath.is_isel_lower</t>
  </si>
  <si>
    <t>testbench.top.z6e_cpu.cpu_dpath.is_isel_upper</t>
  </si>
  <si>
    <t>Taken from file: /home/r09115/copperhead_local/testcase_db/data/z6e/coverage_analysis_reports/z6e.mtcr.fdom</t>
  </si>
  <si>
    <t>Num of stuck-at faults on gate ports</t>
  </si>
  <si>
    <t>Core module name</t>
  </si>
  <si>
    <t>Core module name (from "DC estimation")</t>
  </si>
  <si>
    <t>(doesn not exist in z6e core, size is guessed)</t>
  </si>
  <si>
    <t>testbench.top.z6e_cpu.cpu_dpath.dv_divider</t>
  </si>
  <si>
    <t>Estimated achieved coverage</t>
  </si>
  <si>
    <t>Module relative size</t>
  </si>
  <si>
    <t>Module overall size</t>
  </si>
  <si>
    <t>Module coverage from sheet "DC estimation"</t>
  </si>
  <si>
    <t>Module relative size x Module coverage</t>
  </si>
  <si>
    <t>DC for relevant core modules according to the diagram below is estimated to be (%):</t>
  </si>
  <si>
    <t xml:space="preserve"> - modules considered as irrelevant for Structural Core Self Test library,</t>
  </si>
  <si>
    <t>they are not included into estimation of DC achieved by Structural Core Self Test library.</t>
  </si>
  <si>
    <t>Initial version.</t>
  </si>
  <si>
    <t>ETM interface</t>
  </si>
  <si>
    <t>Shared execute control and status. Selects between and controls the various blocks results.</t>
  </si>
  <si>
    <t>Status module: includes PSR, IT register &amp; condition code status</t>
  </si>
  <si>
    <t xml:space="preserve">  input          nvic_bfhfnmign_i;</t>
  </si>
  <si>
    <t xml:space="preserve">  input          nvic_int_stk_algn_i;</t>
  </si>
  <si>
    <t xml:space="preserve">  input          nvic_div_0_trp_i;</t>
  </si>
  <si>
    <t xml:space="preserve">  input          nvic_unalign_trp_i;</t>
  </si>
  <si>
    <t xml:space="preserve">  input          nvic_nonbasethrden_i;</t>
  </si>
  <si>
    <t xml:space="preserve">  input          nvic_disfold_i;</t>
  </si>
  <si>
    <t xml:space="preserve">  input          nvic_dismcycint_i;</t>
  </si>
  <si>
    <t xml:space="preserve">  input          nvic_no_lazy_stk_i;</t>
  </si>
  <si>
    <t xml:space="preserve">  input          nvic_no_ooo_i;</t>
  </si>
  <si>
    <t xml:space="preserve">  input          nvic_aux_ctrl1_we_i;</t>
  </si>
  <si>
    <t xml:space="preserve">  input [7:0]    nvic_basepri_i;</t>
  </si>
  <si>
    <t xml:space="preserve">  input          nvic_fmask_i;</t>
  </si>
  <si>
    <t xml:space="preserve">  input          nvic_pmask_i;</t>
  </si>
  <si>
    <t xml:space="preserve">  input [7:0]    nvic_int_nxt_isr_i;</t>
  </si>
  <si>
    <t xml:space="preserve">  input [8:0]    nvic_int_curr_isr_i;</t>
  </si>
  <si>
    <t xml:space="preserve">  input [1:0]    nvic_lockup_i;</t>
  </si>
  <si>
    <t xml:space="preserve">  input          nvic_int_invoke_i;</t>
  </si>
  <si>
    <t xml:space="preserve">  input          nvic_int_newarrival_i;</t>
  </si>
  <si>
    <t xml:space="preserve">  input [31:0]   nvic_int_addr_i;</t>
  </si>
  <si>
    <t xml:space="preserve">  input          nvic_int_tail_i;</t>
  </si>
  <si>
    <t xml:space="preserve">  input          nvic_int_stk_actv_i;</t>
  </si>
  <si>
    <t xml:space="preserve">  input [2:0]    nvic_int_in_nmihf_i;</t>
  </si>
  <si>
    <t xml:space="preserve">  input          nvic_slp_sleeponexit_i;</t>
  </si>
  <si>
    <t xml:space="preserve">  input          nvic_dbg_halt_req_i;</t>
  </si>
  <si>
    <t xml:space="preserve">  input          nvic_dbg_mon_req_i;</t>
  </si>
  <si>
    <t xml:space="preserve">  input          nvic_dbg_step_i;</t>
  </si>
  <si>
    <t xml:space="preserve">  input          nvic_dbg_trans_i;</t>
  </si>
  <si>
    <t xml:space="preserve">  input          nvic_dbg_reg_wr_i;</t>
  </si>
  <si>
    <t xml:space="preserve">  input [6:0]    nvic_dbg_reg_addr_i;</t>
  </si>
  <si>
    <t xml:space="preserve">  input  [31:0]  nvic_fpcar_i;</t>
  </si>
  <si>
    <t xml:space="preserve">  input  [4:0]   nvic_fpdscr_i;</t>
  </si>
  <si>
    <t xml:space="preserve">  input [3:0]    nvic_cpacr_i;</t>
  </si>
  <si>
    <t xml:space="preserve">  input          nvic_slp_asleep_i;</t>
  </si>
  <si>
    <t xml:space="preserve">  input  [31:0]  nvic_fpccr_i;</t>
  </si>
  <si>
    <t xml:space="preserve">  input                  dpu_ahb_htransi_iss_i;  // In data phase of I-AHB trans</t>
  </si>
  <si>
    <t xml:space="preserve">  input [31:0]           dpu_ahb_haddrd_i;       // Data address</t>
  </si>
  <si>
    <t xml:space="preserve">  input                  dpu_ahb_haddrd_valid_i; // D addr valid to sample for FAR</t>
  </si>
  <si>
    <t xml:space="preserve">  input                  dpu_privileged_i;       // DPU in privileged mode</t>
  </si>
  <si>
    <t xml:space="preserve">  input                  dpu_thread_i;           // DPU in thread</t>
  </si>
  <si>
    <t xml:space="preserve">  input                  dpu_ivalid_i;           // Decode enable</t>
  </si>
  <si>
    <t xml:space="preserve">  input                  dpu_retire_i;           // Opcode retire</t>
  </si>
  <si>
    <t xml:space="preserve">  input [1:0]            dpu_fpccr_we_i;         // LSPACT write enable</t>
  </si>
  <si>
    <t xml:space="preserve">  input [31:0]           dpu_fpcar_nxt_i;        // FPCAR write value</t>
  </si>
  <si>
    <t xml:space="preserve">  input                  dpu_lazy_stk_i;         // Lazy stack in progress</t>
  </si>
  <si>
    <t xml:space="preserve">  input                  dpu_basepri_we_i;       // BasePri write enable</t>
  </si>
  <si>
    <t xml:space="preserve">  input [7:0]            dpu_basepri_nxt_i;      // Next BasePri</t>
  </si>
  <si>
    <t xml:space="preserve">  input                  dpu_fmask_we_i;         // FaultMask write enable</t>
  </si>
  <si>
    <t xml:space="preserve">  input                  dpu_fmask_nxt_i;        // Next FaultMask</t>
  </si>
  <si>
    <t xml:space="preserve">  input                  dpu_pmask_we_i;         // PriMask write enable</t>
  </si>
  <si>
    <t xml:space="preserve">  input                  dpu_pmask_nxt_i;        // Next PriMask</t>
  </si>
  <si>
    <t xml:space="preserve">  input                  dpu_raisepri_i;         // Priority raised</t>
  </si>
  <si>
    <t xml:space="preserve">  input                  dpu_bkpt_i;             // BKPT instruction executed</t>
  </si>
  <si>
    <t xml:space="preserve">  input                  dpu_svc_i;              // SVC instruction executed</t>
  </si>
  <si>
    <t xml:space="preserve">  input                  dpu_cp_busy_i;          // CP busy</t>
  </si>
  <si>
    <t xml:space="preserve">  input [5:0]            dpu_nxt_bfsr_i;         // BFSR write value</t>
  </si>
  <si>
    <t xml:space="preserve">  input [9:0]            dpu_nxt_ufsr_i;         // UFSR write value</t>
  </si>
  <si>
    <t xml:space="preserve">  input [4:0]            dpu_nxt_mfsr_i;         // MFSR write value</t>
  </si>
  <si>
    <t xml:space="preserve">  input                  dpu_nxt_hfsr_i;         // HFSR write value</t>
  </si>
  <si>
    <t xml:space="preserve">  input                  dpu_ahb_invk_msk_i;     // Constant AHB invoke mask</t>
  </si>
  <si>
    <t xml:space="preserve">  input                  dpu_int_entry_i;        // ISR has been entered</t>
  </si>
  <si>
    <t xml:space="preserve">  input                  dpu_int_exit_i;         // ISR has completed</t>
  </si>
  <si>
    <t xml:space="preserve">  input                  dpu_int_return_i;       // Interrupt unstacking complete</t>
  </si>
  <si>
    <t xml:space="preserve">  input [8:0]            dpu_int_retisr_i;       // ISR returned to</t>
  </si>
  <si>
    <t xml:space="preserve">  input                  dpu_dbg_halted_i;       // Core has halted</t>
  </si>
  <si>
    <t xml:space="preserve">  input                  dpu_dbg_ready_i;        // Single cycle reply for debug</t>
  </si>
  <si>
    <t xml:space="preserve">  input                  dpu_dbg_wr_isr_i;       // Debug over-ride of ISR number</t>
  </si>
  <si>
    <t xml:space="preserve">  input                  dpu_rst_pc_valid_i;     // DPU has been reset</t>
  </si>
  <si>
    <t xml:space="preserve">  input                  dpu_mcyc_invk_msk_i;    // Multi-cycle op in progress</t>
  </si>
  <si>
    <t xml:space="preserve">  input [1:0]            dpu_slp_ctl_i;          // [1] = WFE, [0] = WFI</t>
  </si>
  <si>
    <t>Output ports of NVIC connected to corresponding input ports of DPU
(column B)</t>
  </si>
  <si>
    <t>Input ports of DPU connected to the corresponding output ports of NVIC
(column A)</t>
  </si>
  <si>
    <t>Input ports of NVIC that are connected to corresponding output ports of DPU module</t>
  </si>
  <si>
    <t xml:space="preserve">  input          nvic_data_be8_i;</t>
  </si>
  <si>
    <t>output                 nvic_bfhfnmign_o;       // Bus fault ignored in NMI/HF</t>
  </si>
  <si>
    <t>output [1:0]           nvic_lockup_o;          // Lock up</t>
  </si>
  <si>
    <t>output                 nvic_int_invoke_o;      // Request interrupt stack</t>
  </si>
  <si>
    <t>output                 nvic_int_new_arrival_o; // Late arrival</t>
  </si>
  <si>
    <t>output [31:0]          nvic_int_addr_o;        // Vector address for next interrupt</t>
  </si>
  <si>
    <t>output                 nvic_int_tail_o;        // Will tail-chain to next interrupt</t>
  </si>
  <si>
    <t>output                 nvic_int_stk_actv_o;    // ISR is stacked active</t>
  </si>
  <si>
    <t>output                 nvic_dbg_reg_wr_o;      // Debug register read/write</t>
  </si>
  <si>
    <t>output                 nvic_data_be8_o;        // Endian BE8</t>
  </si>
  <si>
    <t>output                 nvic_int_stk_algn_o;    // Align stack to double word boundary</t>
  </si>
  <si>
    <t>output                 nvic_div_0_trp_o;       // Divide by zero fault enabled</t>
  </si>
  <si>
    <t>output                 nvic_unalign_trp_o;     // Unaligned fault enable</t>
  </si>
  <si>
    <t>output                 nvic_nonbasethrden_o;   // Handler can be thread</t>
  </si>
  <si>
    <t>output                 nvic_disfold_o;         // Disable IT folding</t>
  </si>
  <si>
    <t>output                 nvic_dismcycint_o;      // Disable int of multi-cycle ops</t>
  </si>
  <si>
    <t>output                 nvic_no_lazy_stk_o;     // Disable lazy stacking</t>
  </si>
  <si>
    <t>output                 nvic_no_ooo_o;          // Disable out-of-order</t>
  </si>
  <si>
    <t>output                 nvic_aux_ctrl1_we_o;    // Auxiliary Ctrl write enable</t>
  </si>
  <si>
    <t>output [7:0]           nvic_basepri_o;         // BasePri</t>
  </si>
  <si>
    <t>output                 nvic_fmask_o;           // FaultMask</t>
  </si>
  <si>
    <t>output                 nvic_pmask_o;           // PriMask</t>
  </si>
  <si>
    <t>output [7:0]           nvic_int_nxt_isr_o;     // Next ISR number to be processed</t>
  </si>
  <si>
    <t>output [8:0]           nvic_int_curr_isr_o;    // ISR that is currently active</t>
  </si>
  <si>
    <t>output [2:0]           nvic_int_in_nmihf_o;    // NMI/HF handler {pend,active}</t>
  </si>
  <si>
    <t>output                 nvic_slp_asleep_o;      // Core is to sleep now</t>
  </si>
  <si>
    <t>output                 nvic_slp_sleeponexit_o; // Core is to sleep on ISR exit</t>
  </si>
  <si>
    <t>output                 nvic_dbg_halt_req_o;    // Request the core to stop</t>
  </si>
  <si>
    <t>output                 nvic_dbg_mon_req_o;     // Request the core to pause</t>
  </si>
  <si>
    <t>output                 nvic_dbg_step_o;        // Debug stepping</t>
  </si>
  <si>
    <t>output                 nvic_dbg_trans_o;       // Debug register transaction</t>
  </si>
  <si>
    <t>output [6:0]           nvic_dbg_reg_addr_o;    // Debug register access address</t>
  </si>
  <si>
    <t>output [31:0]          nvic_fpccr_o;           // FPCCR register</t>
  </si>
  <si>
    <t>output [31:0]          nvic_fpcar_o;           // FPCAR register</t>
  </si>
  <si>
    <t>output [4:0]           nvic_fpdscr_o;          // FPDSCR register</t>
  </si>
  <si>
    <t>Non-testable (safety-irrelevant)</t>
  </si>
  <si>
    <t>Non-testable (safety-relevant)</t>
  </si>
  <si>
    <t>Testable - in progress of development</t>
  </si>
  <si>
    <t>Covered</t>
  </si>
  <si>
    <t>FPU related (postponed)</t>
  </si>
  <si>
    <t>cm4_dpu</t>
  </si>
  <si>
    <t>cm4_dpu_alu</t>
  </si>
  <si>
    <t>cm4_dpu_dec</t>
  </si>
  <si>
    <t>cm4_dpu_etmintf</t>
  </si>
  <si>
    <t>cm4_dpu_exec</t>
  </si>
  <si>
    <t>cm4_dpu_fetch</t>
  </si>
  <si>
    <t>cm4_dpu_lsu</t>
  </si>
  <si>
    <t>cm4_dpu_status</t>
  </si>
  <si>
    <t>cm4_fpu</t>
  </si>
  <si>
    <t>Fault Type</t>
  </si>
  <si>
    <t>Fault Model</t>
  </si>
  <si>
    <t>Portion of Fault Model in Fault Type, %</t>
  </si>
  <si>
    <t>Argument to estimated achieved fault coverage per Fault Model</t>
  </si>
  <si>
    <t>Description of logic related to core sub-module</t>
  </si>
  <si>
    <t>Description of logic related to the Fault Type</t>
  </si>
  <si>
    <t>Description of the applied test patterns
(to the whole core sub-module)</t>
  </si>
  <si>
    <t>Core sub-module relative size, %</t>
  </si>
  <si>
    <t>Fault model coverage, % (estimated)</t>
  </si>
  <si>
    <t>Relative size of the part of the core sub-module relevant to the Fault Type,
% (estimated)</t>
  </si>
  <si>
    <r>
      <t xml:space="preserve"> Fault Type Coverage, %
(</t>
    </r>
    <r>
      <rPr>
        <sz val="10"/>
        <rFont val="Calibri"/>
        <family val="2"/>
      </rPr>
      <t xml:space="preserve">Σ </t>
    </r>
    <r>
      <rPr>
        <sz val="9"/>
        <rFont val="Arial"/>
        <family val="2"/>
      </rPr>
      <t>L*M</t>
    </r>
    <r>
      <rPr>
        <b/>
        <sz val="9"/>
        <rFont val="Arial"/>
        <family val="2"/>
      </rPr>
      <t>)</t>
    </r>
  </si>
  <si>
    <r>
      <t xml:space="preserve">D * F
</t>
    </r>
    <r>
      <rPr>
        <i/>
        <sz val="10"/>
        <rFont val="Arial"/>
        <family val="2"/>
      </rPr>
      <t xml:space="preserve">(coverage specified here shall be
</t>
    </r>
    <r>
      <rPr>
        <sz val="10"/>
        <rFont val="Calibri"/>
        <family val="2"/>
      </rPr>
      <t>Σ</t>
    </r>
    <r>
      <rPr>
        <i/>
        <sz val="10"/>
        <rFont val="Arial"/>
        <family val="2"/>
      </rPr>
      <t>-ed for all listed sub-modules but separately for each Fault Type to calculate 100%-base for each Fault Type)</t>
    </r>
  </si>
  <si>
    <r>
      <t xml:space="preserve">D * F * H
</t>
    </r>
    <r>
      <rPr>
        <i/>
        <sz val="10"/>
        <rFont val="Arial"/>
        <family val="2"/>
      </rPr>
      <t>(coverage specified here shall be
Σ-ed for all listed sub-modules but separately for each Fault Type to calculate final coverage achieved invididually for each Fault Type)</t>
    </r>
  </si>
  <si>
    <t>Core module name / Core sub-module name</t>
  </si>
  <si>
    <t>cm4_dpu_e.cm4_dpu_e_mac</t>
  </si>
  <si>
    <t>cm4_dpu_e.cm4_dpu_e_simdsat</t>
  </si>
  <si>
    <t>SPF</t>
  </si>
  <si>
    <t>Covered by test</t>
  </si>
  <si>
    <t>m4_scst_exception_test_svc</t>
  </si>
  <si>
    <t>TBD</t>
  </si>
  <si>
    <t>m4_scst_exception_test_nmihf</t>
  </si>
  <si>
    <t>m4_scst_exception_usage_fault,
m4_scst_exception_test_hard_fault</t>
  </si>
  <si>
    <t>m4_scst_exception_test_handler_thread</t>
  </si>
  <si>
    <t>N/A</t>
  </si>
  <si>
    <t>m4_scst_exception_test_masking</t>
  </si>
  <si>
    <t>m4_scst_exception_test_tail_chain</t>
  </si>
  <si>
    <t>Tested indirectly. In DPU this signal is just propagated to the fetch unit for fetching first instructions of the corresponding ISR.</t>
  </si>
  <si>
    <t>Core sub-module the port propagated from</t>
  </si>
  <si>
    <t>m4_scst_exception_test_bus_fault,
m4_scst_exception_test_hard_fault</t>
  </si>
  <si>
    <t>m4_scst_exception_test_bus_fault</t>
  </si>
  <si>
    <t>m4_scst_exception_test_usage_fault</t>
  </si>
  <si>
    <t>m4_scst_exception_test_mem_fault</t>
  </si>
  <si>
    <t>Core sub-module the port signal propagated to</t>
  </si>
  <si>
    <t>cm4_dpu_fetch
cm4_fpu
cm4_dpu_lsu</t>
  </si>
  <si>
    <t>output [3:0]         nvic_cpacr_o;           // CPACR</t>
  </si>
  <si>
    <t>cm4_dpu_exec
cm5_dpu_lsu
cm4_fpu</t>
  </si>
  <si>
    <t>cm4_dpu_exec
cm4_dpu_alu
cm4_dpu_lsu</t>
  </si>
  <si>
    <t>cm4_dpu_alu
cm4_dpu_lsu</t>
  </si>
  <si>
    <t>cm4_dpu_exec
cm4_dpu_etmintf</t>
  </si>
  <si>
    <t>cm4_dpu_dec
cm4_dpu_exec
cm4_dpu_alu
cm4_dpu_status
cm4_dpu_etmintf
cm4_dpu_fetch
cm4_dpu_lsu
cm4_fpu</t>
  </si>
  <si>
    <t>cm4_dpu_fetch
cm4_dpu_dec
cm4_dpu_lsu
cm4_fpu</t>
  </si>
  <si>
    <t>cm4_dpu_fetch
cm4_dpu_exec
cm4_dpu_lsu
cm4_dpu_fpu</t>
  </si>
  <si>
    <t>cm4_dpu_etmintf
cm4_dpu_fetch
cm4_dpu_dec
cm4_dpu_lsu</t>
  </si>
  <si>
    <t>cm4_dpu_fetch
cm4_dpu_lsu</t>
  </si>
  <si>
    <t>cm4_dpu_exec
cm4_dpu_lsu
cm4_fpu</t>
  </si>
  <si>
    <t>cm4_dpu_fetch
cm4_dpu_dec
cm4_dpu_exec
cm4_dpu_etmintf</t>
  </si>
  <si>
    <t>cm4_dpu_lsu
cm4_fpu</t>
  </si>
  <si>
    <t>cm4_dpu_regbank.cm4_dpu_regfile</t>
  </si>
  <si>
    <t>cm4_dpu_regbank
(excluding cm4_dpu_regbank.cm4_dpu_regfile)</t>
  </si>
  <si>
    <t>Register bank for Cortex-M4. Register read ports, register write ports. Forwarding logic for read ports A and B.</t>
  </si>
  <si>
    <t>Input arguments and the generated result deterministically defined for detecting most of the possible stuck-at faults on write ports D and Z, and read ports A, B, X, and Y. Logic corersponding to every forwarding condition is covered by dedicated test pattern.</t>
  </si>
  <si>
    <t>Multiply and accumulate module</t>
  </si>
  <si>
    <t>1. UMLAL/SMLAL instruction takes input from 4 read ports and writes result to 2 write ports.It uses all the available data input and data output ports of the E_MAC module.
2. "Proxy-fault-simulation" method for stuck-at faults coverage estimation within multiplier array.
3. Different types of MAC commands:
use 32 bits into 32x32 multiplier for rd_a
use higher 16 bits into 32x32 multiplier for rd_a
use 32 bits into 32x32 multiplier for rd_b
use lower 16 bits into 32x32 multiplier for rd_b
use higher 16 bits into 32x32 multiplier for rd_b
use lower 16 bits into 16x16 multiplier for rd_ a
use higher 16 bits into 16x16 multiplier for rd_a
use lower 16 bits into 16x16 multiplier for rd_b
use higher 16 bits into 16x16 multiplier for rd_b
Negate 32 bit multiply multiply result
rd_x into lower word of accumulator
rd_y into lower word of accumulator
rd_y into higher word of accumulator
Sign extend rd_x in lower accumulator word
Fix32 into higher word of accumulator
Rounding
16 bit rotation on accumulator for 32x16 shifts
16 bit rotation on result for 32x16 shifts
USAD</t>
  </si>
  <si>
    <t>1. Input arguments and the generated result deterministically defined for detecting most of the possible stuck-at faults on input and output ports.
2. 35x test patterns applied for 32x32-&gt;64bit multiplier array. The coverage estimated by means of "proxy-fault-simulation" method for the worst-case assumption on multiplier array implementation in regards to testability.</t>
  </si>
  <si>
    <t>1. Multiple sets of Input arguments and the generated result deterministically defined for detecting short faults on input and output ports.
2. 35x test patterns applied for 32x32-&gt;64bit multiplier array. The coverage estimated by means of "proxy-fault-simulation" method for the worst-case assumption on multiplier array implementation in regards to testability and several possible scenarious on short-fault combinations.</t>
  </si>
  <si>
    <t>Amount of applied test patterns (35x) and probability of detecting a fault by a single test pattern (0.5) is sufficient enough for claiming the same coverage as for stuck-at faults.</t>
  </si>
  <si>
    <t>1. Port A forwarding:
 - A port read is for the PC
 - A port read is for PC which is transitioning into execute and is not currently being written to
 - A port read is for PC which is transitioning into execute and is currently being written to
 - A port read is for PC which is not transitioning into execute
 - A port read is for forwarded write port 1
 - A port read is for forwarded write port 2
2. Port B forwarding:
 - B port read is for the PC
 - B port read is for PC which is transitioning into execute and is not currently being written to
 - B port read is for PC which is transitioning into execute and is currently being written to
 - B port read is for PC which is not transitioning into execute
 - B port read is for forwarded write port 1
 - B port read is for forwarded write port 2
3. Load/store instruction is used to propagate into the cm4_dpu_lsu module two addresses to be added from:
 - read port A (de stage)
 - read port B (de stage)
of the regbank module.</t>
  </si>
  <si>
    <t>m4_scst_regbank_test4
m4_scst_regbank_test5</t>
  </si>
  <si>
    <t>m4_scst_regbank_test1
m4_scst_regbank_test2
m4_scst_regbank_test3</t>
  </si>
  <si>
    <t>Probability of detecting one "open" fault with a single test pattern is 0.5. In avarage, four test patters (2x within stuck-at fault detection + 2x addiitonal specifically intended for short-fault detection) are applied to every register and port. Result of application of every pattern is explicitly checked.</t>
  </si>
  <si>
    <t>Logic decoding legal opcodes</t>
  </si>
  <si>
    <t xml:space="preserve">  // ---------------------------------------------------------------------------</t>
  </si>
  <si>
    <t xml:space="preserve">  // Signal declarations</t>
  </si>
  <si>
    <t xml:space="preserve">  wire           opt_ext_en;                  // Logic removal for extensions</t>
  </si>
  <si>
    <t xml:space="preserve">  wire           i16_adc_de;                  // ADC</t>
  </si>
  <si>
    <t xml:space="preserve">  wire           i16_add1_de;                 // ADD (1)</t>
  </si>
  <si>
    <t xml:space="preserve">  wire           i16_add2_de;                 // ADD (2)</t>
  </si>
  <si>
    <t xml:space="preserve">  wire           i16_add3_de;                 // ADD (3)</t>
  </si>
  <si>
    <t xml:space="preserve">  wire           i16_add4_de;                 // ADD (4)</t>
  </si>
  <si>
    <t xml:space="preserve">  wire           i16_addpc_de;                // ADD PC</t>
  </si>
  <si>
    <t xml:space="preserve">  wire           i16_add5_de;                 // ADD (5)</t>
  </si>
  <si>
    <t xml:space="preserve">  wire           i16_add6_de;                 // ADD (6)</t>
  </si>
  <si>
    <t xml:space="preserve">  wire           i16_add7_de;                 // ADD (7)</t>
  </si>
  <si>
    <t xml:space="preserve">  wire           i16_and_de;                  // AND</t>
  </si>
  <si>
    <t xml:space="preserve">  wire           i16_asr1_de;                 // ASR (1)</t>
  </si>
  <si>
    <t xml:space="preserve">  wire           i16_asr2_de;                 // ASR (2)</t>
  </si>
  <si>
    <t xml:space="preserve">  wire           i16_b1_de;                   // B (1)</t>
  </si>
  <si>
    <t xml:space="preserve">  wire           i16_b2_de;                   // B (2)</t>
  </si>
  <si>
    <t xml:space="preserve">  wire           i16_bic_de;                  // BIC</t>
  </si>
  <si>
    <t xml:space="preserve">  wire           i16_bkpt_de;                 // BKPT</t>
  </si>
  <si>
    <t xml:space="preserve">  wire           i16_blx_de;                  // BLX</t>
  </si>
  <si>
    <t xml:space="preserve">  wire           i16_cmn_de;                  // CMN</t>
  </si>
  <si>
    <t xml:space="preserve">  wire           i16_cmp1_de;                 // CMP (1)</t>
  </si>
  <si>
    <t xml:space="preserve">  wire           i16_cmp2_de;                 // CMP (2)</t>
  </si>
  <si>
    <t xml:space="preserve">  wire           i16_cmp3_de;                 // CMP (3)</t>
  </si>
  <si>
    <t xml:space="preserve">  wire           i16_cps_de;                  // CPS</t>
  </si>
  <si>
    <t xml:space="preserve">  wire           i16_czb_de;                  // CZB</t>
  </si>
  <si>
    <t xml:space="preserve">  wire           i16_eor_de;                  // EOR</t>
  </si>
  <si>
    <t xml:space="preserve">  wire           i16_it_de;                   // IT</t>
  </si>
  <si>
    <t xml:space="preserve">  wire           i16_ldmia_de;                // LDMIA</t>
  </si>
  <si>
    <t xml:space="preserve">  wire           i16_ldr1_de;                 // LDR (1)</t>
  </si>
  <si>
    <t xml:space="preserve">  wire           i16_ldr2_de;                 // LDR (2)</t>
  </si>
  <si>
    <t xml:space="preserve">  wire           i16_ldr3_de;                 // LDR (3)</t>
  </si>
  <si>
    <t xml:space="preserve">  wire           i16_ldr4_de;                 // LDR (4)</t>
  </si>
  <si>
    <t xml:space="preserve">  wire           i16_ldrb1_de;                // LDRB (1)</t>
  </si>
  <si>
    <t xml:space="preserve">  wire           i16_ldrb2_de;                // LDRB (2)</t>
  </si>
  <si>
    <t xml:space="preserve">  wire           i16_ldrh1_de;                // LDRH (1)</t>
  </si>
  <si>
    <t xml:space="preserve">  wire           i16_ldrh2_de;                // LDRH (2)</t>
  </si>
  <si>
    <t xml:space="preserve">  wire           i16_ldrsb_de;                // LDRSB</t>
  </si>
  <si>
    <t xml:space="preserve">  wire           i16_ldrsh_de;                // LDRSH</t>
  </si>
  <si>
    <t xml:space="preserve">  wire           i16_lsl1_de;                 // LSL (1)</t>
  </si>
  <si>
    <t xml:space="preserve">  wire           i16_lsl2_de;                 // LSL (2)</t>
  </si>
  <si>
    <t xml:space="preserve">  wire           i16_lsr1_de;                 // LSR (1)</t>
  </si>
  <si>
    <t xml:space="preserve">  wire           i16_lsr2_de;                 // LSR (2)</t>
  </si>
  <si>
    <t xml:space="preserve">  wire           i16_mov1_de;                 // MOV (1)</t>
  </si>
  <si>
    <t xml:space="preserve">  wire           i16_mov2_de;                 // MOV (2)</t>
  </si>
  <si>
    <t xml:space="preserve">  wire           i16_mov3_de;                 // MOV (3)</t>
  </si>
  <si>
    <t xml:space="preserve">  wire           i16_mul_de;                  // MUL</t>
  </si>
  <si>
    <t xml:space="preserve">  wire           i16_mvn_de;                  // MVN</t>
  </si>
  <si>
    <t xml:space="preserve">  wire           i16_neg_de;                  // NEG</t>
  </si>
  <si>
    <t xml:space="preserve">  wire           i16_nop_de;                  // NOP</t>
  </si>
  <si>
    <t xml:space="preserve">  wire           i16_orr_de;                  // ORR</t>
  </si>
  <si>
    <t xml:space="preserve">  wire           i16_pop_de;                  // POP</t>
  </si>
  <si>
    <t xml:space="preserve">  wire           i16_push_de;                 // PUSH</t>
  </si>
  <si>
    <t xml:space="preserve">  wire           i16_rev_de;                  // REV</t>
  </si>
  <si>
    <t xml:space="preserve">  wire           i16_revsh_de;                // REVSH</t>
  </si>
  <si>
    <t xml:space="preserve">  wire           i16_rev16_de;                // REV16</t>
  </si>
  <si>
    <t xml:space="preserve">  wire           i16_ror_de;                  // ROR</t>
  </si>
  <si>
    <t xml:space="preserve">  wire           i16_sbc_de;                  // SBC</t>
  </si>
  <si>
    <t xml:space="preserve">  wire           i16_sev_de;                  // SEV</t>
  </si>
  <si>
    <t xml:space="preserve">  wire           i16_stmia_de;                // STMIA</t>
  </si>
  <si>
    <t xml:space="preserve">  wire           i16_str1_de;                 // STR (1)</t>
  </si>
  <si>
    <t xml:space="preserve">  wire           i16_str2_de;                 // STR (2)</t>
  </si>
  <si>
    <t xml:space="preserve">  wire           i16_str3_de;                 // STR (3)</t>
  </si>
  <si>
    <t xml:space="preserve">  wire           i16_strb1_de;                // STRB (1)</t>
  </si>
  <si>
    <t xml:space="preserve">  wire           i16_strb2_de;                // STRB (2)</t>
  </si>
  <si>
    <t xml:space="preserve">  wire           i16_strh1_de;                // STRH (1)</t>
  </si>
  <si>
    <t xml:space="preserve">  wire           i16_strh2_de;                // STRH (2)</t>
  </si>
  <si>
    <t xml:space="preserve">  wire           i16_sub1_de;                 // SUB (1)</t>
  </si>
  <si>
    <t xml:space="preserve">  wire           i16_sub2_de;                 // SUB (2)</t>
  </si>
  <si>
    <t xml:space="preserve">  wire           i16_sub3_de;                 // SUB (3)</t>
  </si>
  <si>
    <t xml:space="preserve">  wire           i16_sub4_de;                 // SUB (4)</t>
  </si>
  <si>
    <t xml:space="preserve">  wire           i16_sxth_de;                 // SXTH</t>
  </si>
  <si>
    <t xml:space="preserve">  wire           i16_sxtb_de;                 // SXTB</t>
  </si>
  <si>
    <t xml:space="preserve">  wire           i16_svc_de;                  // SVC</t>
  </si>
  <si>
    <t xml:space="preserve">  wire           i16_tst_de;                  // TST</t>
  </si>
  <si>
    <t xml:space="preserve">  wire           i16_uxth_de;                 // UXTH</t>
  </si>
  <si>
    <t xml:space="preserve">  wire           i16_uxtb_de;                 // UXTB</t>
  </si>
  <si>
    <t xml:space="preserve">  wire           i16_wfe_de;                  // WFE</t>
  </si>
  <si>
    <t xml:space="preserve">  wire           i16_wfi_de;                  // WFI</t>
  </si>
  <si>
    <t xml:space="preserve">  wire           i16_alu_bw_and_de;           // ALU bitwise AND operation</t>
  </si>
  <si>
    <t xml:space="preserve">  wire           i16_alu_bw_or_de;            // ALU bitwise OR  operation</t>
  </si>
  <si>
    <t xml:space="preserve">  wire           i16_alu_bw_eor_de;           // ALU bitwise EOR operation</t>
  </si>
  <si>
    <t xml:space="preserve">  wire           i16_alu_shft_de;             // ALU shift operation</t>
  </si>
  <si>
    <t xml:space="preserve">  wire           i16_alu_mrs_pri_de;          // ALU MRS to PRIMASK</t>
  </si>
  <si>
    <t xml:space="preserve">  wire           i16_alu_mrs_fault_de;        // ALU MRS to FAULTMASK</t>
  </si>
  <si>
    <t xml:space="preserve">  wire           i16_alu_mov_norm_de;         // ALU MOV</t>
  </si>
  <si>
    <t xml:space="preserve">  wire           i16_alu_mov_rev_de;          // ALU REV</t>
  </si>
  <si>
    <t xml:space="preserve">  wire           i16_alu_mul_de;              // ALU MUL</t>
  </si>
  <si>
    <t xml:space="preserve">  wire [4:0]     i16_alu_type;                // ALU operation type</t>
  </si>
  <si>
    <t xml:space="preserve">  wire [1:0]     i16_flag_wr_de;              // ALU flag writes</t>
  </si>
  <si>
    <t xml:space="preserve">  wire           i16_alu_invert_in1;          // ALU invert input 1</t>
  </si>
  <si>
    <t xml:space="preserve">  wire           i16_alu_invert_in2;          // ALU invert input 2</t>
  </si>
  <si>
    <t xml:space="preserve">  wire           i16_use_adder1;              // ALU use adder input 1</t>
  </si>
  <si>
    <t xml:space="preserve">  wire           i16_use_adder2;              // ALU use adder input 2</t>
  </si>
  <si>
    <t xml:space="preserve">  wire [1:0]     i16_shft_ctl;                // ALU shifter control</t>
  </si>
  <si>
    <t xml:space="preserve">  wire [1:0]     i16_shiftin1_sel;            // ALU shifter input 1 select</t>
  </si>
  <si>
    <t xml:space="preserve">  wire [1:0]     i16_shiftin2_sel;            // ALU shifter input 2 select</t>
  </si>
  <si>
    <t xml:space="preserve">  wire           i16_use_carry_de;            // Use carry in</t>
  </si>
  <si>
    <t xml:space="preserve">  wire [20:0]    instr_16_alu_ctl_de;         // ALU control</t>
  </si>
  <si>
    <t xml:space="preserve">  wire           i16_lsu_lss_de;              // LSU load/store single</t>
  </si>
  <si>
    <t xml:space="preserve">  wire           i16_lsu_lsm_de;              // LSU load/store multiple</t>
  </si>
  <si>
    <t xml:space="preserve">  wire           i16_lsu_valid_de;            // LSU operation valid</t>
  </si>
  <si>
    <t xml:space="preserve">  wire           i16_lsu_isld_de;             // LSU operation is a load</t>
  </si>
  <si>
    <t xml:space="preserve">  wire [2:0]     i16_lsu_wb_ctl_de;           // LSU write back control</t>
  </si>
  <si>
    <t xml:space="preserve">  wire [14:0]    instr_16_lsu_ctl_de;         // LSU control</t>
  </si>
  <si>
    <t xml:space="preserve">  wire [1:0]     instr_16_ls_allow_skid_de;   // LS pipeline/advance controls</t>
  </si>
  <si>
    <t xml:space="preserve">  wire           instr_16_mul_ilock_de;       // Multiply interlock</t>
  </si>
  <si>
    <t xml:space="preserve">  wire           instr_16_mul_de;             // Instruction is a MUL</t>
  </si>
  <si>
    <t xml:space="preserve">  wire           instr_16_wfe_de;             // Instruction is a WFE</t>
  </si>
  <si>
    <t xml:space="preserve">  wire           instr_16_wfi_de;             // Instruction is a WFI</t>
  </si>
  <si>
    <t xml:space="preserve">  wire           instr_16_undef_de;           // Instruction is UNDEF</t>
  </si>
  <si>
    <t xml:space="preserve">  wire           instr_16_txev_de;            // Instruction is a SEV</t>
  </si>
  <si>
    <t xml:space="preserve">  wire [1:0]     instr_16_pc_lr_de;           // Link LR into PC</t>
  </si>
  <si>
    <t xml:space="preserve">  wire           instr_16_br_t_changer_de;    // Branch changes T bit</t>
  </si>
  <si>
    <t xml:space="preserve">  wire           instr_16_czb_de;             // Instruction is a CZB</t>
  </si>
  <si>
    <t xml:space="preserve">  wire           instr_16_alu_1_cyc_de;       // ALU operation will take 1 cycle</t>
  </si>
  <si>
    <t xml:space="preserve">  wire           instr_16_flg_set_de;         // Can set flags in IT</t>
  </si>
  <si>
    <t xml:space="preserve">  wire           instr_16_it_de;              // Instruction is a IT</t>
  </si>
  <si>
    <t xml:space="preserve">  wire [2:0]     instr_16_cps_ctl_de;         // CPS control</t>
  </si>
  <si>
    <t xml:space="preserve">  wire [1:0]     instr_16_data_size_de;       // Data size</t>
  </si>
  <si>
    <t xml:space="preserve">  wire           instr_16_sign_de;            // Signed operation or sign extend</t>
  </si>
  <si>
    <t xml:space="preserve">  wire           instr_16_exit_op_de;         // Valid exit instruction</t>
  </si>
  <si>
    <t xml:space="preserve">  wire           instr_16_algn_de;            // Align data</t>
  </si>
  <si>
    <t xml:space="preserve">  wire           instr_16_bkpt_de;            // Instruction is a BKPT</t>
  </si>
  <si>
    <t xml:space="preserve">  wire           instr_16_svc_de;             // Instruction is a SVC</t>
  </si>
  <si>
    <t xml:space="preserve">  wire [3:0]     instr_16_cond_code_de;       // Condition code</t>
  </si>
  <si>
    <t xml:space="preserve">  wire           instr_16_noncc_br_de;        // Non-conditional branch</t>
  </si>
  <si>
    <t xml:space="preserve">  wire           instr_16_rd_a_en_de;         // RF A port read enable</t>
  </si>
  <si>
    <t xml:space="preserve">  wire           instr_16_rd_b_en_de;         // RF B port read enable</t>
  </si>
  <si>
    <t xml:space="preserve">  wire           instr_16_wr_d_en_de;         // RF D port write enable</t>
  </si>
  <si>
    <t xml:space="preserve">  wire [18:0]    reg_addr_sel_de;             // RF address mux select</t>
  </si>
  <si>
    <t xml:space="preserve">  wire [3:0]     instr_16_lsu_rd_a_addr_de;   // RF A port read address for LSU</t>
  </si>
  <si>
    <t xml:space="preserve">  wire [3:0]     instr_16_lsu_rd_b_addr_de;   // RF B port read address for LSU</t>
  </si>
  <si>
    <t xml:space="preserve">  wire [3:0]     instr_16_lsu_wr_d_addr_de;   // RF D port write address for LSU</t>
  </si>
  <si>
    <t xml:space="preserve">  wire [3:0]     instr_16_rd_a_addr_de;       // RF A port read address</t>
  </si>
  <si>
    <t xml:space="preserve">  wire [3:0]     instr_16_rd_b_addr_de;       // RF B port read address</t>
  </si>
  <si>
    <t xml:space="preserve">  wire [3:0]     instr_16_wr_d_addr_de;       // RF D port write address</t>
  </si>
  <si>
    <t xml:space="preserve">  wire           instr_16_imm_valid_de;       // Immediate valid</t>
  </si>
  <si>
    <t xml:space="preserve">  wire [13:0]    reg_immed_sel_de;            // Immediate term mux select</t>
  </si>
  <si>
    <t xml:space="preserve">  wire [31:0]    instr_16_immed_de;           // Immediate value</t>
  </si>
  <si>
    <t xml:space="preserve">  wire [31:0]    instr_16_lsm_immed_de;       // LSM immediate value</t>
  </si>
  <si>
    <t xml:space="preserve">  //----------------------------------------------------------------------------</t>
  </si>
  <si>
    <t xml:space="preserve">  // Extensions logic tie off</t>
  </si>
  <si>
    <t xml:space="preserve">  assign opt_ext_en     = (EXT_PRESENT == 1)    ? 1'b1     : 1'b0;</t>
  </si>
  <si>
    <t xml:space="preserve">  // 16 bit thumb opcode decode</t>
  </si>
  <si>
    <t xml:space="preserve">  assign i16_adc_de   = (instr_de_i[15:6]  == 10'b0100000101);</t>
  </si>
  <si>
    <t xml:space="preserve">  assign i16_add1_de  = (instr_de_i[15:9]  == 7'b0001110) &amp; (|instr_de_i[8:6]);</t>
  </si>
  <si>
    <t xml:space="preserve">  assign i16_add2_de  = (instr_de_i[15:11] == 5'b00110);</t>
  </si>
  <si>
    <t xml:space="preserve">  assign i16_add3_de  = (instr_de_i[15:9]  == 7'b0001100);</t>
  </si>
  <si>
    <t xml:space="preserve">  assign i16_add4_de  = ((instr_de_i[15:8] == 8'b01000100) &amp;</t>
  </si>
  <si>
    <t xml:space="preserve">                         ({instr_de_i[7],instr_de_i[2:0]} != 4'b1111));</t>
  </si>
  <si>
    <t xml:space="preserve">  assign i16_addpc_de = ((instr_de_i[15:8] == 8'b01000100) &amp;</t>
  </si>
  <si>
    <t xml:space="preserve">                         ({instr_de_i[7],instr_de_i[2:0]} == 4'b1111));</t>
  </si>
  <si>
    <t xml:space="preserve">  assign i16_add5_de  = (instr_de_i[15:11] == 5'b10100);</t>
  </si>
  <si>
    <t xml:space="preserve">  assign i16_add6_de  = (instr_de_i[15:11] == 5'b10101);</t>
  </si>
  <si>
    <t xml:space="preserve">  assign i16_add7_de  = (instr_de_i[15:7]  == 9'b101100000);</t>
  </si>
  <si>
    <t xml:space="preserve">  assign i16_and_de   = (instr_de_i[15:6]  == 10'b0100000000);</t>
  </si>
  <si>
    <t xml:space="preserve">  assign i16_asr1_de  = (instr_de_i[15:11] == 5'b00010);</t>
  </si>
  <si>
    <t xml:space="preserve">  assign i16_asr2_de  = (instr_de_i[15:6]  == 10'b0100000100);</t>
  </si>
  <si>
    <t xml:space="preserve">  assign i16_b1_de    = ((instr_de_i[15:12] == 4'b1101) &amp;</t>
  </si>
  <si>
    <t xml:space="preserve">                         (instr_de_i[11:9] != 3'b111));</t>
  </si>
  <si>
    <t xml:space="preserve">  assign i16_b2_de    = (instr_de_i[15:11] == 5'b11100);</t>
  </si>
  <si>
    <t xml:space="preserve">  assign i16_bic_de   = (instr_de_i[15:6]  == 10'b0100001110);</t>
  </si>
  <si>
    <t xml:space="preserve">  assign i16_bkpt_de  = (instr_de_i[15:8]  == 8'b10111110);</t>
  </si>
  <si>
    <t xml:space="preserve">  assign i16_blx_de   = (instr_de_i[15:8]  == 8'b01000111);</t>
  </si>
  <si>
    <t xml:space="preserve">  assign i16_cmn_de   = (instr_de_i[15:6]  == 10'b0100001011);</t>
  </si>
  <si>
    <t xml:space="preserve">  assign i16_cmp1_de  = (instr_de_i[15:11] == 5'b00101);</t>
  </si>
  <si>
    <t xml:space="preserve">  assign i16_cmp2_de  = (instr_de_i[15:6]  == 10'b0100001010);</t>
  </si>
  <si>
    <t xml:space="preserve">  assign i16_cmp3_de  = (instr_de_i[15:8]  == 8'b01000101);</t>
  </si>
  <si>
    <t xml:space="preserve">  assign i16_eor_de   = (instr_de_i[15:6]  == 10'b0100000001);</t>
  </si>
  <si>
    <t xml:space="preserve">  assign i16_ldmia_de = (instr_de_i[15:11] == 5'b11001);</t>
  </si>
  <si>
    <t xml:space="preserve">  assign i16_ldr1_de  = (instr_de_i[15:11] == 5'b01101);</t>
  </si>
  <si>
    <t xml:space="preserve">  assign i16_ldr2_de  = (instr_de_i[15:9]  == 7'b0101100);</t>
  </si>
  <si>
    <t xml:space="preserve">  assign i16_ldr3_de  = (instr_de_i[15:11] == 5'b01001);</t>
  </si>
  <si>
    <t xml:space="preserve">  assign i16_ldr4_de  = (instr_de_i[15:11] == 5'b10011);</t>
  </si>
  <si>
    <t xml:space="preserve">  assign i16_ldrb1_de = (instr_de_i[15:11] == 5'b01111);</t>
  </si>
  <si>
    <t xml:space="preserve">  assign i16_ldrb2_de = (instr_de_i[15:9]  == 7'b0101110);</t>
  </si>
  <si>
    <t xml:space="preserve">  assign i16_ldrh1_de = (instr_de_i[15:11] == 5'b10001);</t>
  </si>
  <si>
    <t xml:space="preserve">  assign i16_ldrh2_de = (instr_de_i[15:9]  == 7'b0101101);</t>
  </si>
  <si>
    <t xml:space="preserve">  assign i16_ldrsb_de = (instr_de_i[15:9]  == 7'b0101011);</t>
  </si>
  <si>
    <t xml:space="preserve">  assign i16_ldrsh_de = (instr_de_i[15:9]  == 7'b0101111);</t>
  </si>
  <si>
    <t xml:space="preserve">  assign i16_lsl1_de  = (instr_de_i[15:11] == 5'b00000) &amp; ~instr_size_de_i;</t>
  </si>
  <si>
    <t xml:space="preserve">  assign i16_lsl2_de  = (instr_de_i[15:6]  == 10'b0100000010);</t>
  </si>
  <si>
    <t xml:space="preserve">  assign i16_lsr1_de  = (instr_de_i[15:11] == 5'b00001);</t>
  </si>
  <si>
    <t xml:space="preserve">  assign i16_lsr2_de  = (instr_de_i[15:6]  == 10'b0100000011);</t>
  </si>
  <si>
    <t xml:space="preserve">  assign i16_mov1_de  = (instr_de_i[15:11] == 5'b00100);</t>
  </si>
  <si>
    <t xml:space="preserve">  assign i16_mov2_de  = (instr_de_i[15:6]  == 10'b0001110000);</t>
  </si>
  <si>
    <t xml:space="preserve">  assign i16_mov3_de  = (instr_de_i[15:8]  == 8'b01000110);</t>
  </si>
  <si>
    <t xml:space="preserve">  assign i16_mul_de   = (instr_de_i[15:6]  == 10'b0100001101) &amp; ~opt_ext_en;</t>
  </si>
  <si>
    <t xml:space="preserve">  assign i16_mvn_de   = (instr_de_i[15:6]  == 10'b0100001111);</t>
  </si>
  <si>
    <t xml:space="preserve">  assign i16_neg_de   = (instr_de_i[15:6]  == 10'b0100001001);</t>
  </si>
  <si>
    <t xml:space="preserve">  assign i16_orr_de   = (instr_de_i[15:6]  == 10'b0100001100);</t>
  </si>
  <si>
    <t xml:space="preserve">  assign i16_pop_de   = (instr_de_i[15:9]  == 7'b1011110);</t>
  </si>
  <si>
    <t xml:space="preserve">  assign i16_push_de  = (instr_de_i[15:9]  == 7'b1011010);</t>
  </si>
  <si>
    <t xml:space="preserve">  assign i16_rev_de   = (instr_de_i[15:6]  == 10'b1011101000);</t>
  </si>
  <si>
    <t xml:space="preserve">  assign i16_revsh_de = (instr_de_i[15:6]  == 10'b1011101011);</t>
  </si>
  <si>
    <t xml:space="preserve">  assign i16_rev16_de = (instr_de_i[15:6]  == 10'b1011101001);</t>
  </si>
  <si>
    <t xml:space="preserve">  assign i16_ror_de   = (instr_de_i[15:6]  == 10'b0100000111);</t>
  </si>
  <si>
    <t xml:space="preserve">  assign i16_sbc_de   = (instr_de_i[15:6]  == 10'b0100000110);</t>
  </si>
  <si>
    <t xml:space="preserve">  assign i16_stmia_de = (instr_de_i[15:11] == 5'b11000);</t>
  </si>
  <si>
    <t xml:space="preserve">  assign i16_str1_de  = (instr_de_i[15:11] == 5'b01100);</t>
  </si>
  <si>
    <t xml:space="preserve">  assign i16_str2_de  = (instr_de_i[15:9]  == 7'b0101000);</t>
  </si>
  <si>
    <t xml:space="preserve">  assign i16_str3_de  = (instr_de_i[15:11] == 5'b10010);</t>
  </si>
  <si>
    <t xml:space="preserve">  assign i16_strb1_de = (instr_de_i[15:11] == 5'b01110);</t>
  </si>
  <si>
    <t xml:space="preserve">  assign i16_strb2_de = (instr_de_i[15:9]  == 7'b0101010);</t>
  </si>
  <si>
    <t xml:space="preserve">  assign i16_strh1_de = (instr_de_i[15:11] == 5'b10000);</t>
  </si>
  <si>
    <t xml:space="preserve">  assign i16_strh2_de = (instr_de_i[15:9]  == 7'b0101001);</t>
  </si>
  <si>
    <t xml:space="preserve">  assign i16_sub1_de  = (instr_de_i[15:9]  == 7'b0001111);</t>
  </si>
  <si>
    <t xml:space="preserve">  assign i16_sub2_de  = (instr_de_i[15:11] == 5'b00111);</t>
  </si>
  <si>
    <t xml:space="preserve">  assign i16_sub3_de  = (instr_de_i[15:9]  == 7'b0001101);</t>
  </si>
  <si>
    <t xml:space="preserve">  assign i16_sub4_de  = (instr_de_i[15:7]  == 9'b101100001);</t>
  </si>
  <si>
    <t xml:space="preserve">  assign i16_sxth_de  = (instr_de_i[15:6]  == 10'b1011001000);</t>
  </si>
  <si>
    <t xml:space="preserve">  assign i16_sxtb_de  = (instr_de_i[15:6]  == 10'b1011001001);</t>
  </si>
  <si>
    <t xml:space="preserve">  assign i16_svc_de   = (instr_de_i[15:8]  == 8'b11011111);</t>
  </si>
  <si>
    <t xml:space="preserve">  assign i16_tst_de   = (instr_de_i[15:6]  == 10'b0100001000);</t>
  </si>
  <si>
    <t xml:space="preserve">  assign i16_uxth_de  = (instr_de_i[15:6]  == 10'b1011001010);</t>
  </si>
  <si>
    <t xml:space="preserve">  assign i16_uxtb_de  = (instr_de_i[15:6]  == 10'b1011001011);</t>
  </si>
  <si>
    <t xml:space="preserve">  assign i16_cps_de   = (instr_de_i[15:5]  == 11'b10110110011);</t>
  </si>
  <si>
    <t xml:space="preserve">  assign i16_czb_de   = ((instr_de_i[15:12] == 4'b1011) &amp;</t>
  </si>
  <si>
    <t xml:space="preserve">                         ~instr_de_i[10] &amp; instr_de_i[8]);</t>
  </si>
  <si>
    <t xml:space="preserve">  assign i16_it_de    = ((instr_de_i[15:8] == 8'b10111111) &amp;</t>
  </si>
  <si>
    <t xml:space="preserve">                         (instr_de_i[3:0] != 4'b0000));</t>
  </si>
  <si>
    <t xml:space="preserve">  assign i16_wfe_de   = ((instr_de_i[15:8] == 8'b10111111) &amp;</t>
  </si>
  <si>
    <t xml:space="preserve">                         (instr_de_i[7:4] == 4'b0010)  &amp;</t>
  </si>
  <si>
    <t xml:space="preserve">                         (instr_de_i[3:0] == 4'b0000));</t>
  </si>
  <si>
    <t xml:space="preserve">  assign i16_wfi_de   = ((instr_de_i[15:8] == 8'b10111111) &amp;</t>
  </si>
  <si>
    <t xml:space="preserve">                         (instr_de_i[7:4] == 4'b0011) &amp;</t>
  </si>
  <si>
    <t xml:space="preserve">  assign i16_sev_de   = ((instr_de_i[15:8] == 8'b10111111) &amp;</t>
  </si>
  <si>
    <t xml:space="preserve">                         (instr_de_i[7:4] == 4'b0100)  &amp;</t>
  </si>
  <si>
    <t xml:space="preserve">  assign i16_nop_de   = ((instr_de_i[15:8] == 8'b10111111) &amp;</t>
  </si>
  <si>
    <t xml:space="preserve">                         ~(i16_wfe_de | i16_wfi_de | i16_sev_de) &amp;</t>
  </si>
  <si>
    <t>16-bit decoder</t>
  </si>
  <si>
    <t xml:space="preserve">  wire           opt_ext_en;                  // Optimisation of extensions</t>
  </si>
  <si>
    <t xml:space="preserve">  wire           i32_spec_de;                 // Special case</t>
  </si>
  <si>
    <t xml:space="preserve">  wire           i32_sp_wr_de;                // SP write</t>
  </si>
  <si>
    <t xml:space="preserve">  wire           i32_pc_wr_de;                // PC write</t>
  </si>
  <si>
    <t xml:space="preserve">  wire           i32_pc_op_de;                // Op1 = 0xF</t>
  </si>
  <si>
    <t xml:space="preserve">  wire           i32_fmt_0_de;                // Format 0</t>
  </si>
  <si>
    <t xml:space="preserve">  wire           i32_adc1_de;                 // ADC (1)</t>
  </si>
  <si>
    <t xml:space="preserve">  wire           i32_add1_de;                 // ADD (1)</t>
  </si>
  <si>
    <t xml:space="preserve">  wire           i32_and1_de;                 // AND (1)</t>
  </si>
  <si>
    <t xml:space="preserve">  wire           i32_bic1_de;                 // BIC (1)</t>
  </si>
  <si>
    <t xml:space="preserve">  wire           i32_cmn1_de;                 // CMN (1)</t>
  </si>
  <si>
    <t xml:space="preserve">  wire           i32_cmp1_de;                 // CMP (1)</t>
  </si>
  <si>
    <t xml:space="preserve">  wire           i32_eor1_de;                 // EOR (1)</t>
  </si>
  <si>
    <t xml:space="preserve">  wire           i32_mov1_de;                 // MOV (1)</t>
  </si>
  <si>
    <t xml:space="preserve">  wire           i32_mvn1_de;                 // MVN (1)</t>
  </si>
  <si>
    <t xml:space="preserve">  wire           i32_orn1_de;                 // ORN (1)</t>
  </si>
  <si>
    <t xml:space="preserve">  wire           i32_orr1_de;                 // ORR (1)</t>
  </si>
  <si>
    <t xml:space="preserve">  wire           i32_rsb1_de;                 // RSB (1)</t>
  </si>
  <si>
    <t xml:space="preserve">  wire           i32_sbc1_de;                 // SBC (1)</t>
  </si>
  <si>
    <t xml:space="preserve">  wire           i32_sub1_de;                 // SUB (1)</t>
  </si>
  <si>
    <t xml:space="preserve">  wire           i32_teq1_de;                 // TEQ (1)</t>
  </si>
  <si>
    <t xml:space="preserve">  wire           i32_tst1_de;                 // TST (1)</t>
  </si>
  <si>
    <t xml:space="preserve">  wire           i32_fmt_1_de;                // Format 1</t>
  </si>
  <si>
    <t xml:space="preserve">  wire           i32_addw_de;                 // ADDW</t>
  </si>
  <si>
    <t xml:space="preserve">  wire           i32_subw_de;                 // SUBW</t>
  </si>
  <si>
    <t xml:space="preserve">  wire           i32_fmt_2_de;                // Format 2</t>
  </si>
  <si>
    <t xml:space="preserve">  wire           i32_movw_de;                 // MOVW</t>
  </si>
  <si>
    <t xml:space="preserve">  wire           i32_movt_de;                 // MOVT</t>
  </si>
  <si>
    <t xml:space="preserve">  wire           i32_fmt_3_de;                // Format 3</t>
  </si>
  <si>
    <t xml:space="preserve">  wire           i32_ubfx_de;                 // UBFX</t>
  </si>
  <si>
    <t xml:space="preserve">  wire           i32_sbfx_de;                 // SBFX</t>
  </si>
  <si>
    <t xml:space="preserve">  wire           i32_bfc_de;                  // BFC</t>
  </si>
  <si>
    <t xml:space="preserve">  wire           i32_bfi_de;                  // BFI</t>
  </si>
  <si>
    <t xml:space="preserve">  wire           i32_usat_de;                 // USAT</t>
  </si>
  <si>
    <t xml:space="preserve">  wire           i32_ssat_de;                 // SSAT</t>
  </si>
  <si>
    <t xml:space="preserve">  wire           i32_sat16_de;                // SAT16</t>
  </si>
  <si>
    <t xml:space="preserve">  wire           i32_fmt_t0_de;               // Format T0</t>
  </si>
  <si>
    <t xml:space="preserve">  wire           i32_adc2_de;                 // ADC (2)</t>
  </si>
  <si>
    <t xml:space="preserve">  wire           i32_add2_de;                 // ADD (2)</t>
  </si>
  <si>
    <t xml:space="preserve">  wire           i32_and2_de;                 // AND (2)</t>
  </si>
  <si>
    <t xml:space="preserve">  wire           i32_bic2_de;                 // BIC (2)</t>
  </si>
  <si>
    <t xml:space="preserve">  wire           i32_cmn2_de;                 // CMN (2)</t>
  </si>
  <si>
    <t xml:space="preserve">  wire           i32_cmp2_de;                 // CMP (2)</t>
  </si>
  <si>
    <t xml:space="preserve">  wire           i32_eor2_de;                 // EOR (2)</t>
  </si>
  <si>
    <t xml:space="preserve">  wire           i32_mov2_de;                 // MOV (2)</t>
  </si>
  <si>
    <t xml:space="preserve">  wire           i32_lsl1_de;                 // LSL (1)</t>
  </si>
  <si>
    <t xml:space="preserve">  wire           i32_lsr1_de;                 // LSR (1)</t>
  </si>
  <si>
    <t xml:space="preserve">  wire           i32_asr1_de;                 // ASR (1)</t>
  </si>
  <si>
    <t xml:space="preserve">  wire           i32_ror1_de;                 // ROR (1)</t>
  </si>
  <si>
    <t xml:space="preserve">  wire           i32_mvn2_de;                 // MVN (2)</t>
  </si>
  <si>
    <t xml:space="preserve">  wire           i32_orn2_de;                 // ORN (2)</t>
  </si>
  <si>
    <t xml:space="preserve">  wire           i32_orr2_de;                 // ORR (2)</t>
  </si>
  <si>
    <t xml:space="preserve">  wire           i32_rsb2_de;                 // RSB (2)</t>
  </si>
  <si>
    <t xml:space="preserve">  wire           i32_sbc2_de;                 // SBC (2)</t>
  </si>
  <si>
    <t xml:space="preserve">  wire           i32_sub2_de;                 // SUB (2)</t>
  </si>
  <si>
    <t xml:space="preserve">  wire           i32_teq2_de;                 // TEQ (2)</t>
  </si>
  <si>
    <t xml:space="preserve">  wire           i32_tst2_de;                 // TST (2)</t>
  </si>
  <si>
    <t xml:space="preserve">  wire           i32_fmt_t1_de;               // Format T1</t>
  </si>
  <si>
    <t xml:space="preserve">  wire           i32_lsl2_de;                 // LSL (2)</t>
  </si>
  <si>
    <t xml:space="preserve">  wire           i32_lsr2_de;                 // LSR (2)</t>
  </si>
  <si>
    <t xml:space="preserve">  wire           i32_asr2_de;                 // ASR (2)</t>
  </si>
  <si>
    <t xml:space="preserve">  wire           i32_ror2_de;                 // ROR (2)</t>
  </si>
  <si>
    <t xml:space="preserve">  wire           i32_fmt_t2_de;               // Format T2</t>
  </si>
  <si>
    <t xml:space="preserve">  wire           i32_sxth_de;                 // SXTH</t>
  </si>
  <si>
    <t xml:space="preserve">  wire           i32_sxtb_de;                 // SXTB</t>
  </si>
  <si>
    <t xml:space="preserve">  wire           i32_uxth_de;                 // UXTH</t>
  </si>
  <si>
    <t xml:space="preserve">  wire           i32_uxtb_de;                 // UXTB</t>
  </si>
  <si>
    <t xml:space="preserve">  wire           i32_fmt_t4_de;               // Format T4</t>
  </si>
  <si>
    <t xml:space="preserve">  wire           i32_rbit_de;                 // RBIT</t>
  </si>
  <si>
    <t xml:space="preserve">  wire           i32_rev_de;                  // REV</t>
  </si>
  <si>
    <t xml:space="preserve">  wire           i32_rev16_de;                // REV16</t>
  </si>
  <si>
    <t xml:space="preserve">  wire           i32_revsh_de;                // REVSH</t>
  </si>
  <si>
    <t xml:space="preserve">  wire           i32_clz_de;                  // CLZ</t>
  </si>
  <si>
    <t xml:space="preserve">  wire           i32_fmt_f0_de;               // Format F0</t>
  </si>
  <si>
    <t xml:space="preserve">  wire           i32_mul_de;                  // MUL</t>
  </si>
  <si>
    <t xml:space="preserve">  wire           i32_mla_de;                  // MLA</t>
  </si>
  <si>
    <t xml:space="preserve">  wire           i32_mls_de;                  // MLS</t>
  </si>
  <si>
    <t xml:space="preserve">  wire           i32_fmt_f1_de;               // Format F1</t>
  </si>
  <si>
    <t xml:space="preserve">  wire           i32_umull_de;                // UMULL</t>
  </si>
  <si>
    <t xml:space="preserve">  wire           i32_smull_de;                // SMULL</t>
  </si>
  <si>
    <t xml:space="preserve">  wire           i32_fmt_f2_de;               // Format F2</t>
  </si>
  <si>
    <t xml:space="preserve">  wire           i32_umlal_de;                // UMLAL</t>
  </si>
  <si>
    <t xml:space="preserve">  wire           i32_smlal_de;                // SMLAL</t>
  </si>
  <si>
    <t xml:space="preserve">  wire           i32_div_de;                  // SDIV/UDIV</t>
  </si>
  <si>
    <t xml:space="preserve">  wire           i32_udiv_de;                 // UDIV</t>
  </si>
  <si>
    <t xml:space="preserve">  wire           i32_sdiv_de;                 // SDIV</t>
  </si>
  <si>
    <t xml:space="preserve">  wire           i32_bl_de;                   // Unconditional B/BL</t>
  </si>
  <si>
    <t xml:space="preserve">  wire           i32_b0_de;                   // Conditional B</t>
  </si>
  <si>
    <t xml:space="preserve">  wire [3:0]     i32_ls_sls_de;               // Load/store single (Size Load Sign)</t>
  </si>
  <si>
    <t xml:space="preserve">  wire           i32_hint_de;                 // HINT/PLD</t>
  </si>
  <si>
    <t xml:space="preserve">  wire           i32_ldrsb_de;                // LDRSB</t>
  </si>
  <si>
    <t xml:space="preserve">  wire           i32_ls_fmt0_de;              // Load/store format 0</t>
  </si>
  <si>
    <t xml:space="preserve">  wire           i32_ls_fmt1_de;              // Load/store format 1</t>
  </si>
  <si>
    <t xml:space="preserve">  wire           i32_ls_fmt2_de;              // Load/store format 2</t>
  </si>
  <si>
    <t xml:space="preserve">  wire           i32_ls_fmt3_de;              // Load/store format 3</t>
  </si>
  <si>
    <t xml:space="preserve">  wire           i32_ldrsh_de;                // LDRSH</t>
  </si>
  <si>
    <t xml:space="preserve">  wire           i32_ls_single_de;            // Load/store single</t>
  </si>
  <si>
    <t xml:space="preserve">  wire           i32_ls_iadj_de;              // Load/store index adjust</t>
  </si>
  <si>
    <t xml:space="preserve">  wire           i32_ls_pc_base_de;           // Base = 0xF</t>
  </si>
  <si>
    <t xml:space="preserve">  wire           i32_ls_double_de;            // Load/store double</t>
  </si>
  <si>
    <t xml:space="preserve">  wire           i32_ls_multiple_de;          // Load/store multiple</t>
  </si>
  <si>
    <t xml:space="preserve">  wire           i32_tb_de;                   // Table branch (TBB/TBH)</t>
  </si>
  <si>
    <t xml:space="preserve">  wire           i32_clrex_de;                // CLREX</t>
  </si>
  <si>
    <t xml:space="preserve">  wire           i32_ls_excl_de;              // Load/store exclusive</t>
  </si>
  <si>
    <t xml:space="preserve">  wire           i32_ls_excl_b_de;            // LDREXB/STREXB</t>
  </si>
  <si>
    <t xml:space="preserve">  wire           i32_ls_excl_h_de;            // LDREXH/STREXH</t>
  </si>
  <si>
    <t xml:space="preserve">  wire           i32_ls_excl_w_de;            // LDREX/STREX</t>
  </si>
  <si>
    <t xml:space="preserve">  wire           i32_copro_de;                // Coprocessor instruction</t>
  </si>
  <si>
    <t xml:space="preserve">  wire           i32_wfe_de;                  // WFE</t>
  </si>
  <si>
    <t xml:space="preserve">  wire           i32_wfi_de;                  // WFI</t>
  </si>
  <si>
    <t xml:space="preserve">  wire           i32_sev_de;                  // SEV</t>
  </si>
  <si>
    <t xml:space="preserve">  wire           i32_nop_de;                  // NOP</t>
  </si>
  <si>
    <t xml:space="preserve">  wire           i32_mxx_de;                  // MSR/MRS</t>
  </si>
  <si>
    <t xml:space="preserve">  wire           i32_msr_de;                  // MSR</t>
  </si>
  <si>
    <t xml:space="preserve">  wire           i32_mrs_de;                  // MRS</t>
  </si>
  <si>
    <t xml:space="preserve">  wire           i32_xxb_de;                  // ISB/DSB/DMB</t>
  </si>
  <si>
    <t xml:space="preserve">  wire           i32_dmb_de;                  // DMB</t>
  </si>
  <si>
    <t xml:space="preserve">  wire           i32_dsb_de;                  // DSB</t>
  </si>
  <si>
    <t xml:space="preserve">  wire           i32_isb_de;                  // ISB</t>
  </si>
  <si>
    <t xml:space="preserve">  wire           i32_div_mask_de;             // DIV unpredictable mask</t>
  </si>
  <si>
    <t xml:space="preserve">  wire           i32_mul_mask_de;             // MUL unpredictable mask</t>
  </si>
  <si>
    <t xml:space="preserve">  wire           instr_32_mla_de;             // MLA</t>
  </si>
  <si>
    <t xml:space="preserve">  wire           i32_alu_bfx_de;              // ALU BFX</t>
  </si>
  <si>
    <t xml:space="preserve">  wire           i32_alu_bf_de;               // ALU bitfield op</t>
  </si>
  <si>
    <t xml:space="preserve">  wire           i32_alu_sat_de;              // ALU saturation op</t>
  </si>
  <si>
    <t xml:space="preserve">  wire           i32_alu_clz_de;              // ALU CLZ</t>
  </si>
  <si>
    <t xml:space="preserve">  wire           i32_alu_bw_and_de;           // ALU bitwise AND</t>
  </si>
  <si>
    <t xml:space="preserve">  wire           i32_alu_bw_or_de;            // ALU bitwise OR</t>
  </si>
  <si>
    <t xml:space="preserve">  wire           i32_alu_bw_eor_de;           // ALU bitwise EOR</t>
  </si>
  <si>
    <t xml:space="preserve">  wire           i32_alu_shft_de;             // ALU op requires shift</t>
  </si>
  <si>
    <t xml:space="preserve">  wire           i32_alu_msr_flag_de;         // ALU MSR flag write</t>
  </si>
  <si>
    <t xml:space="preserve">  wire           i32_alu_mrs_de;              // ALU predictable MRS</t>
  </si>
  <si>
    <t xml:space="preserve">  wire           i32_alu_mrs_ctl_de;          // ALU MRS control</t>
  </si>
  <si>
    <t xml:space="preserve">  wire           i32_alu_mrs_pri_de;          // ALU MRS to PRIMASK</t>
  </si>
  <si>
    <t xml:space="preserve">  wire           i32_alu_mrs_fault_de;        // ALU MRS to FAULTMASK</t>
  </si>
  <si>
    <t xml:space="preserve">  wire           i32_alu_mrs_base_de;         // ALU MRS to BASEPRI</t>
  </si>
  <si>
    <t xml:space="preserve">  wire           i32_alu_mrs_flg1_de;         // ALU MRS flag write (1)</t>
  </si>
  <si>
    <t xml:space="preserve">  wire           i32_alu_mrs_flg2_de;         // ALU MRS flag write (2)</t>
  </si>
  <si>
    <t xml:space="preserve">  wire           i32_alu_mrs_sp_de;           // ALU MRS to SP</t>
  </si>
  <si>
    <t xml:space="preserve">  wire           i32_alu_mrs_unpred_de;       // ALU MRS unpredictable</t>
  </si>
  <si>
    <t xml:space="preserve">  wire           i32_alu_mov_norm_de;         // ALU move</t>
  </si>
  <si>
    <t xml:space="preserve">  wire           i32_alu_mov_rbit_de;         // ALU RBIT</t>
  </si>
  <si>
    <t xml:space="preserve">  wire           i32_alu_mov_rev_de;          // ALU REV</t>
  </si>
  <si>
    <t xml:space="preserve">  wire           i32_alu_mov_movt_de;         // ALU MOVT</t>
  </si>
  <si>
    <t xml:space="preserve">  wire           i32_alu_div_de;              // ALU SDIV/UDIV</t>
  </si>
  <si>
    <t xml:space="preserve">  wire           i32_alu_mlal_de;             // ALU SMLAL/UMLAL</t>
  </si>
  <si>
    <t xml:space="preserve">  wire           i32_alu_mull_de;             // ALU SMULL/UMULL</t>
  </si>
  <si>
    <t xml:space="preserve">  wire           i32_alu_mul_de;              // ALU MUL</t>
  </si>
  <si>
    <t xml:space="preserve">  wire           i32_alu_mla_de;              // ALU MLA</t>
  </si>
  <si>
    <t xml:space="preserve">  wire           i32_alu_mls_de;              // ALU MLS</t>
  </si>
  <si>
    <t xml:space="preserve">  wire [4:0]     i32_alu_type;                // ALU operation type</t>
  </si>
  <si>
    <t xml:space="preserve">  wire           i32_flag_wr_all_de;          // ALU op writes to all of NZCV</t>
  </si>
  <si>
    <t xml:space="preserve">  wire [1:0]     i32_flag_wr_de;              // ALU flag write control</t>
  </si>
  <si>
    <t xml:space="preserve">  wire           i32_alu_invert_in1;          // ALU invert input 1</t>
  </si>
  <si>
    <t xml:space="preserve">  wire           i32_alu_invert_in2;          // ALU invert input 2</t>
  </si>
  <si>
    <t xml:space="preserve">  wire           i32_use_adder1;              // ALU use adder input 1</t>
  </si>
  <si>
    <t xml:space="preserve">  wire           i32_use_adder2;              // ALU use adder input 2</t>
  </si>
  <si>
    <t xml:space="preserve">  wire [1:0]     i32_shft_ctl;                // ALU shifter control</t>
  </si>
  <si>
    <t xml:space="preserve">  wire [1:0]     i32_shiftin1_sel;            // ALU shifter input 1 select</t>
  </si>
  <si>
    <t xml:space="preserve">  wire [1:0]     i32_shiftin2_sel;            // ALU shifter input 2 select</t>
  </si>
  <si>
    <t xml:space="preserve">  wire [1:0]     i32_shft_inlinec_de;         // ALU shift has in line carry</t>
  </si>
  <si>
    <t xml:space="preserve">  wire           i32_shft_rrx_de;             // ALU shift is of the form RRX</t>
  </si>
  <si>
    <t xml:space="preserve">  wire           i32_use_carry_de;            // ALU use carry in</t>
  </si>
  <si>
    <t xml:space="preserve">  wire [20:0]    instr_32_alu_ctl_de;         // ALU control</t>
  </si>
  <si>
    <t xml:space="preserve">  wire           i32_lsu_lss_de;              // LSU load/store single</t>
  </si>
  <si>
    <t xml:space="preserve">  wire           i32_lsu_lsd_de;              // LSU load/store double</t>
  </si>
  <si>
    <t xml:space="preserve">  wire           i32_lsu_lsm_de;              // LSU load/store multiple</t>
  </si>
  <si>
    <t xml:space="preserve">  wire           i32_lsu_valid_de;            // LSU operation valid</t>
  </si>
  <si>
    <t xml:space="preserve">  wire           i32_lsu_isld_de;             // LSU operation is a load</t>
  </si>
  <si>
    <t xml:space="preserve">  wire [1:0]     i32_lsu_immshft_de;          // LSU 2 bit immediate shift</t>
  </si>
  <si>
    <t xml:space="preserve">  wire [2:0]     i32_lsu_wb_ctl_de;           // LSU write back control</t>
  </si>
  <si>
    <t xml:space="preserve">  wire           i32_lsu_translate_de;        // LSU translate privilege to user</t>
  </si>
  <si>
    <t xml:space="preserve">  wire           i32_lsu_excl_de;             // LSU op is an exclusive</t>
  </si>
  <si>
    <t xml:space="preserve">  wire [14:0]    instr_32_lsu_ctl_de;         // LSU control</t>
  </si>
  <si>
    <t xml:space="preserve">  wire           instr_32_ls_single_wb_de;    // LSS has writeback</t>
  </si>
  <si>
    <t xml:space="preserve">  wire [1:0]     instr_32_ls_allow_skid_de;   // LS pipeline/advance controls</t>
  </si>
  <si>
    <t xml:space="preserve">  wire           instr_32_mul_ilock_de;       // Multiply interlock</t>
  </si>
  <si>
    <t xml:space="preserve">  wire [7:0]     i32_ror_immed_l_de;          // ROR immediate (LSL version)</t>
  </si>
  <si>
    <t xml:space="preserve">  wire [7:0]     i32_ror_immed_r_de;          // ROR immediate (LSR version)</t>
  </si>
  <si>
    <t xml:space="preserve">  wire [31:0]    i32_shft_ror_immed_de;       // ROR immediate</t>
  </si>
  <si>
    <t xml:space="preserve">  wire           i32_shft_ror_cimmed_de;      // ROR has carry in</t>
  </si>
  <si>
    <t xml:space="preserve">  wire           instr_32_has_shft_imm_de;    // Instruction has immediate shift</t>
  </si>
  <si>
    <t xml:space="preserve">  wire           instr_32_copro_de;           // Coprocessor instruction</t>
  </si>
  <si>
    <t xml:space="preserve">  wire           instr_32_wfe_de;             // Instruction is WFE</t>
  </si>
  <si>
    <t xml:space="preserve">  wire           instr_32_wfi_de;             // Instruction is WFI</t>
  </si>
  <si>
    <t xml:space="preserve">  wire           instr_32_isb_de;             // Instruction is ISB</t>
  </si>
  <si>
    <t xml:space="preserve">  wire           instr_32_undef_de;           // Instruction is an UNDEF</t>
  </si>
  <si>
    <t xml:space="preserve">  wire           instr_32_txev_de;            // Instruction is SEV</t>
  </si>
  <si>
    <t xml:space="preserve">  wire [1:0]     instr_32_pc_lr_de;           // Link LR into PC</t>
  </si>
  <si>
    <t xml:space="preserve">  wire           instr_32_br_t_changer_de;    // Branch changes T bit</t>
  </si>
  <si>
    <t xml:space="preserve">  wire           instr_32_alu_1_cyc_de;       // ALU operation will take 1 cycle</t>
  </si>
  <si>
    <t xml:space="preserve">  wire           instr_32_flg_set_de;         // Can set flags in IT</t>
  </si>
  <si>
    <t xml:space="preserve">  wire [1:0]     instr_32_sp_rd_de;           // SP read control</t>
  </si>
  <si>
    <t xml:space="preserve">  wire [1:0]     instr_32_sp_wr_de;           // SP write control</t>
  </si>
  <si>
    <t xml:space="preserve">  wire [4:0]     instr_32_msr_ctl_de;         // MSR control</t>
  </si>
  <si>
    <t xml:space="preserve">  wire [1:0]     instr_32_data_size_de;       // Data size</t>
  </si>
  <si>
    <t xml:space="preserve">  wire           instr_32_sign_de;            // Signed operation or sign extend</t>
  </si>
  <si>
    <t xml:space="preserve">  wire           instr_32_exit_op_de;         // Valid exit instruction</t>
  </si>
  <si>
    <t xml:space="preserve">  wire           instr_32_algn_de;            // Align data</t>
  </si>
  <si>
    <t xml:space="preserve">  wire [1:0]     instr_32_barrier_de;         // Barrier control</t>
  </si>
  <si>
    <t xml:space="preserve">  wire           instr_32_lsd_baseinlist_de;  // LSD has base in list</t>
  </si>
  <si>
    <t xml:space="preserve">  wire [3:0]     instr_32_cond_code_de;       // Condition code</t>
  </si>
  <si>
    <t xml:space="preserve">  wire           instr_32_noncc_br_de;        // Non-conditional branch</t>
  </si>
  <si>
    <t xml:space="preserve">  wire           instr_32_rd_a_en_de;         // RF A port read enable</t>
  </si>
  <si>
    <t xml:space="preserve">  wire           instr_32_rd_b_en_de;         // RF B port read enable</t>
  </si>
  <si>
    <t xml:space="preserve">  wire           instr_32_wr_d_en_de;         // RF D port write enable</t>
  </si>
  <si>
    <t xml:space="preserve">  wire [12:0]    reg_addr_sel_de;             // RF address mux select</t>
  </si>
  <si>
    <t xml:space="preserve">  wire [3:0]     instr_32_lsu_rd_a_addr_de;   // RF A port read address</t>
  </si>
  <si>
    <t xml:space="preserve">  wire [3:0]     instr_32_lsu_rd_b_addr_de;   // RF B port read address</t>
  </si>
  <si>
    <t xml:space="preserve">  wire [3:0]     instr_32_lsu_rd_c_addr_de;   // RF secondary read address</t>
  </si>
  <si>
    <t xml:space="preserve">  wire [3:0]     instr_32_lsu_wr_d_addr_de;   // RF D port write address</t>
  </si>
  <si>
    <t xml:space="preserve">  wire [3:0]     instr_32_rd_a_addr_de;       // RF A port read address</t>
  </si>
  <si>
    <t xml:space="preserve">  wire [3:0]     instr_32_rd_b_addr_de;       // RF B port read address</t>
  </si>
  <si>
    <t xml:space="preserve">  wire [3:0]     instr_32_rd_c_addr_de;       // RF secondary read address</t>
  </si>
  <si>
    <t xml:space="preserve">  wire [3:0]     instr_32_wr_d_addr_de;       // RF D port write address</t>
  </si>
  <si>
    <t xml:space="preserve">  wire           instr_32_imm_valid_de;       // Immediate valid</t>
  </si>
  <si>
    <t xml:space="preserve">  wire [18:0]    reg_immed_sel_de;            // Immediate term mux select</t>
  </si>
  <si>
    <t xml:space="preserve">  wire [31:0]    instr_32_immed_de;           // Immediate value</t>
  </si>
  <si>
    <t xml:space="preserve">  wire [31:0]    instr_32_lsm_immed_de;       // LSM immediate value</t>
  </si>
  <si>
    <t>32-bit decoder</t>
  </si>
  <si>
    <t xml:space="preserve">  wire           i16_b1_de;                 // 16 bit B (1)</t>
  </si>
  <si>
    <t xml:space="preserve">  wire           i16_b2_de;                 // 16 bit B (2)</t>
  </si>
  <si>
    <t xml:space="preserve">  wire           i16_mov3_de;               // 16 bit MOV</t>
  </si>
  <si>
    <t xml:space="preserve">  wire           i32_bl_de;                 // 32 bit BL</t>
  </si>
  <si>
    <t xml:space="preserve">  wire           i32_b0_de;                 // 32 bit B (0)</t>
  </si>
  <si>
    <t xml:space="preserve">  wire           instr_br_de_valid_de;      // Branch decode enable</t>
  </si>
  <si>
    <t xml:space="preserve">  wire           instr_de_br_b0_de;         // Accepted B (0)</t>
  </si>
  <si>
    <t xml:space="preserve">  wire           instr_de_br_b1_de;         // Accepted B (1)</t>
  </si>
  <si>
    <t xml:space="preserve">  wire           instr_de_br_blx_de;        // Accepted BLX</t>
  </si>
  <si>
    <t xml:space="preserve">  wire           instr_de_br_mov_de;        // Accepted MOV</t>
  </si>
  <si>
    <t xml:space="preserve">  wire           instr_de_br_de;            // Decode time branch</t>
  </si>
  <si>
    <t xml:space="preserve">  wire           instr_de_br_det_de;        // Branch detected</t>
  </si>
  <si>
    <t xml:space="preserve">  wire [3:0]     instr_br_cond_de;          // Branch condition code</t>
  </si>
  <si>
    <t xml:space="preserve">  wire           instr_br_lr_sel_de;        // Select LR for branch</t>
  </si>
  <si>
    <t xml:space="preserve">  wire           instr_det_erly_br_trk_set; // Set track branch speculation</t>
  </si>
  <si>
    <t xml:space="preserve">  wire           instr_det_erly_br_trk_we;  // Track B write enable</t>
  </si>
  <si>
    <t xml:space="preserve">  wire           instr_det_erly_br_trk_clr; // Track B write clear</t>
  </si>
  <si>
    <t xml:space="preserve">  reg            instr_det_erly_br_trk;     // Early branch detected</t>
  </si>
  <si>
    <t xml:space="preserve">  wire           instr_det_erly_br_trk_v;   // Validated early branch detected</t>
  </si>
  <si>
    <t xml:space="preserve">  wire           instr_br_ilock_de;         // Branch interlock in decode</t>
  </si>
  <si>
    <t xml:space="preserve">  wire           instr_br_ilock_we;         // Branch interlock write enable</t>
  </si>
  <si>
    <t xml:space="preserve">  reg            instr_br_ilock_ex;         // Branch interlock in execute</t>
  </si>
  <si>
    <t xml:space="preserve">  wire           instr_br_ccpass_de;        // Branch condition code passed</t>
  </si>
  <si>
    <t xml:space="preserve">  wire           instr_ex_br_blx_de;        // Execute time BLX decoded</t>
  </si>
  <si>
    <t xml:space="preserve">  wire           instr_ex_br_czb_de;        // Execute time CZB decoded</t>
  </si>
  <si>
    <t xml:space="preserve">  wire           instr_ex_br_isb_de;        // Execute time ISB decoded</t>
  </si>
  <si>
    <t xml:space="preserve">  wire           instr_ex_br_mov_de;        // Execute time MOV decoded</t>
  </si>
  <si>
    <t xml:space="preserve">  wire [2:0]     instr_ex_br_det_de;        // Execute time branch decoded</t>
  </si>
  <si>
    <t xml:space="preserve">  wire           instr_ex_br_det_we;        // Execute time branch write enable</t>
  </si>
  <si>
    <t xml:space="preserve">  reg  [2:0]     instr_ex_br_det_ex;        // Execute time branch in execute</t>
  </si>
  <si>
    <t xml:space="preserve">  wire [6:0]     instr_ex_br_imm_a_de;      // Execute time branch immediate A</t>
  </si>
  <si>
    <t xml:space="preserve">  wire [6:0]     instr_ex_br_imm_b_de;      // Execute time branch immediate B</t>
  </si>
  <si>
    <t xml:space="preserve">  wire [6:0]     instr_ex_br_imm_de;        // Execute time branch immediate</t>
  </si>
  <si>
    <t xml:space="preserve">  wire           instr_ex_br_imm_we;        // Execute time imm write enable</t>
  </si>
  <si>
    <t xml:space="preserve">  reg  [6:0]     instr_ex_br_imm_ex;        // Execute time branch immediate</t>
  </si>
  <si>
    <t xml:space="preserve">  wire           instr_ex_br_add_de;        // Execute time LSU ADD PC decoded</t>
  </si>
  <si>
    <t xml:space="preserve">  wire           instr_ex_br_pop_de;        // Execute time LSU POP decoded</t>
  </si>
  <si>
    <t xml:space="preserve">  wire           instr_ex_br_ldr_de;        // Execute time LSU LDR decoded</t>
  </si>
  <si>
    <t xml:space="preserve">  wire           instr_ex_br_ldm_de;        // Execute time LSU LDM decoded</t>
  </si>
  <si>
    <t xml:space="preserve">  wire           instr_ex_br_tbl_de;        // Execute time LSU TB decoded</t>
  </si>
  <si>
    <t xml:space="preserve">  wire           instr_lsu_br_det_de;       // LSU branch dectected in decode</t>
  </si>
  <si>
    <t xml:space="preserve">  wire           instr_lsu_br_det_we;       // LSU branch write enable</t>
  </si>
  <si>
    <t xml:space="preserve">  reg            instr_lsu_br_det_ex;       // LSU branch dectected in execute</t>
  </si>
  <si>
    <t xml:space="preserve">  wire [31:0]    instr_br_imm_de;           // Branch immediate offset</t>
  </si>
  <si>
    <t xml:space="preserve">  wire [5:0]     instr_br_type_de;          // Branch type</t>
  </si>
  <si>
    <t xml:space="preserve">  wire [4:0]     instr_br_ccinfo_de;        // Branch condition code info</t>
  </si>
  <si>
    <t xml:space="preserve">  wire           nxt_instr_br_ccpass_ex;    // Next instr_br_ccpass_ex</t>
  </si>
  <si>
    <t xml:space="preserve">  reg            instr_br_ccpass_ex;        // Branch condition code passed</t>
  </si>
  <si>
    <t xml:space="preserve">  wire [3:0]     instr_brchstat_de;         // Branch info and status</t>
  </si>
  <si>
    <t xml:space="preserve">  wire [31:0]    instr_br_imm_ex;           // Branch immediate offset</t>
  </si>
  <si>
    <t xml:space="preserve">  wire [1:0]     instr_br_type_ex;          // Branch type</t>
  </si>
  <si>
    <t xml:space="preserve">  wire           instr_br_req_de;           // Branch request</t>
  </si>
  <si>
    <t xml:space="preserve">  wire           instr_alu_pflush_de;       // ALU pipeline flush in decode</t>
  </si>
  <si>
    <t xml:space="preserve">  wire           instr_alu_pflush_we;       // ALU pipeline flush write enable</t>
  </si>
  <si>
    <t xml:space="preserve">  reg            instr_alu_pflush_ex;       // ALU pipeline flush in execute</t>
  </si>
  <si>
    <t xml:space="preserve">  wire           instr_lsu_pflush_de;       // LSU pipeline flush in decode</t>
  </si>
  <si>
    <t xml:space="preserve">  wire           instr_lsu_pflush_we;       // LSU pipeline flush write enable</t>
  </si>
  <si>
    <t xml:space="preserve">  reg            instr_lsu_pflush_ex;       // LSU pipeline flush in execute</t>
  </si>
  <si>
    <t xml:space="preserve">  wire           instr_pflush_ex;           // Pipeline flush due to instr</t>
  </si>
  <si>
    <t xml:space="preserve">  wire           instr_halt_pflush_de;      // Debug halt pipeline flush (De)</t>
  </si>
  <si>
    <t xml:space="preserve">  wire           instr_halt_pflush_we;      // Debug pipeline flush write enable</t>
  </si>
  <si>
    <t xml:space="preserve">  reg            instr_halt_pflush_ex;      // Debug halt pipeline flush (Ex)</t>
  </si>
  <si>
    <t xml:space="preserve">  wire [1:0]     instr_br_pflush_fast_de;   // Branch pipeline flush (fast)</t>
  </si>
  <si>
    <t xml:space="preserve">  wire [1:0]     instr_br_pflush_de;        // Branch pipeline flush</t>
  </si>
  <si>
    <t xml:space="preserve">  wire [31:1]    rf_pc_wr_data_de;          // PC write data</t>
  </si>
  <si>
    <t>br decoder</t>
  </si>
  <si>
    <t>cm4_dpu_e.cm4_dpu_e_dec</t>
  </si>
  <si>
    <t>cm4_dpu_e.cm4_dpu_e_ctl</t>
  </si>
  <si>
    <t>E extension decode unit (SIMD &amp; MAC)</t>
  </si>
  <si>
    <t>Logic decoding legal E-extention opcodes</t>
  </si>
  <si>
    <t>All executed E extention instructions, result of which is explicitly tested.</t>
  </si>
  <si>
    <t xml:space="preserve">  // SIMD instruction formats</t>
  </si>
  <si>
    <t xml:space="preserve">  wire           i32_fmt3_de;              // SIMD format 3</t>
  </si>
  <si>
    <t xml:space="preserve">  wire           i32_xsat16_de;            // SIMD format 3 SAT</t>
  </si>
  <si>
    <t xml:space="preserve">  wire           i32_fmt_t0_de;            // SIMD format T0</t>
  </si>
  <si>
    <t xml:space="preserve">  wire           i32_fmt_t2_de;            // SIMD format T2</t>
  </si>
  <si>
    <t xml:space="preserve">  wire           i32_fmt_t2_0_de;          // SIMD format 2, part 0</t>
  </si>
  <si>
    <t xml:space="preserve">  wire           i32_fmt_t2_1_de;          // SIMD format 2, part 1</t>
  </si>
  <si>
    <t xml:space="preserve">  wire           i32_fmt_t2_1_0_de;        // SIMD format 2, part 1.0</t>
  </si>
  <si>
    <t xml:space="preserve">  wire           i32_fmt_t2_1_1_de;        // SIMD format 2, part 1.1</t>
  </si>
  <si>
    <t xml:space="preserve">  wire           i32_fmt_t2_1_2_de;        // SIMD format 2, part 1.2</t>
  </si>
  <si>
    <t xml:space="preserve">  wire           i32_fmt_t2_2_de;          // SIMD format 2, part 2</t>
  </si>
  <si>
    <t xml:space="preserve">  wire           i32_fmt_t2_2_0_de;        // SIMD format 2, part 2.0</t>
  </si>
  <si>
    <t xml:space="preserve">  wire           i32_fmt_t2_2_1_de;        // SIMD format 2, part 2.1</t>
  </si>
  <si>
    <t xml:space="preserve">  wire           i32_fmt_t2_2_2_de;        // SIMD format 2, part 2.2</t>
  </si>
  <si>
    <t xml:space="preserve">  wire           i32_fmt_t4_de;            // SIMD format 4</t>
  </si>
  <si>
    <t xml:space="preserve">  wire           i32_fmt_t4_0_de;          // SIMD format 4, part 0</t>
  </si>
  <si>
    <t xml:space="preserve">  // SIMD instructions</t>
  </si>
  <si>
    <t xml:space="preserve">  wire           i32_pkh_de;               // PKHTB/PKHBT</t>
  </si>
  <si>
    <t xml:space="preserve">  wire           i32_qadd_de;              // QADD</t>
  </si>
  <si>
    <t xml:space="preserve">  wire           i32_qadd16_de;            // QADD16</t>
  </si>
  <si>
    <t xml:space="preserve">  wire           i32_qadd8_de;             // QADD8</t>
  </si>
  <si>
    <t xml:space="preserve">  wire           i32_qasx_de;              // QASX</t>
  </si>
  <si>
    <t xml:space="preserve">  wire           i32_qdadd_de;             // QDADD</t>
  </si>
  <si>
    <t xml:space="preserve">  wire           i32_qdsub_de;             // QDSUB</t>
  </si>
  <si>
    <t xml:space="preserve">  wire           i32_qsax_de;              // QSAX</t>
  </si>
  <si>
    <t xml:space="preserve">  wire           i32_qsub_de;              // QSUB</t>
  </si>
  <si>
    <t xml:space="preserve">  wire           i32_qsub16_de;            // QSUB16</t>
  </si>
  <si>
    <t xml:space="preserve">  wire           i32_qsub8_de;             // QSUB8</t>
  </si>
  <si>
    <t xml:space="preserve">  wire           i32_sadd16_de;            // SADD16</t>
  </si>
  <si>
    <t xml:space="preserve">  wire           i32_sadd8_de;             // SADD8</t>
  </si>
  <si>
    <t xml:space="preserve">  wire           i32_sasx_de;              // SASX</t>
  </si>
  <si>
    <t xml:space="preserve">  wire           i32_sel_de;               // SEL</t>
  </si>
  <si>
    <t xml:space="preserve">  wire           i32_shadd16_de;           // SHADD16</t>
  </si>
  <si>
    <t xml:space="preserve">  wire           i32_shadd8_de;            // SHADD8</t>
  </si>
  <si>
    <t xml:space="preserve">  wire           i32_shasx_de;             // SHASX</t>
  </si>
  <si>
    <t xml:space="preserve">  wire           i32_shsax_de;             // SHSAX</t>
  </si>
  <si>
    <t xml:space="preserve">  wire           i32_shsub16_de;           // SHSUB16</t>
  </si>
  <si>
    <t xml:space="preserve">  wire           i32_shsub8_de;            // SHSUB8</t>
  </si>
  <si>
    <t xml:space="preserve">  wire           i32_ssat16_de;            // SSAT16</t>
  </si>
  <si>
    <t xml:space="preserve">  wire           i32_ssax_de;              // SSAX</t>
  </si>
  <si>
    <t xml:space="preserve">  wire           i32_ssub16_de;            // SSUB16</t>
  </si>
  <si>
    <t xml:space="preserve">  wire           i32_ssub8_de;             // SSUB8</t>
  </si>
  <si>
    <t xml:space="preserve">  wire           i32_sxtab_de;             // SXTAB</t>
  </si>
  <si>
    <t xml:space="preserve">  wire           i32_sxtab16_de;           // SXTAB16</t>
  </si>
  <si>
    <t xml:space="preserve">  wire           i32_sxtah_de;             // SXTAH</t>
  </si>
  <si>
    <t xml:space="preserve">  wire           i32_sxtb16_de;            // SXTB16</t>
  </si>
  <si>
    <t xml:space="preserve">  wire           i32_uadd16_de;            // UADD16</t>
  </si>
  <si>
    <t xml:space="preserve">  wire           i32_uadd8_de;             // UADD8</t>
  </si>
  <si>
    <t xml:space="preserve">  wire           i32_uasx_de;              // UASX</t>
  </si>
  <si>
    <t xml:space="preserve">  wire           i32_uhadd16_de;           // UHADD16</t>
  </si>
  <si>
    <t xml:space="preserve">  wire           i32_uhadd8_de;            // UHADD8</t>
  </si>
  <si>
    <t xml:space="preserve">  wire           i32_uhasx_de;             // UHASX</t>
  </si>
  <si>
    <t xml:space="preserve">  wire           i32_uhsax_de;             // UHSAX</t>
  </si>
  <si>
    <t xml:space="preserve">  wire           i32_uhsub16_de;           // UHSUB16</t>
  </si>
  <si>
    <t xml:space="preserve">  wire           i32_uhsub8_de;            // UHSUB8</t>
  </si>
  <si>
    <t xml:space="preserve">  wire           i32_uqadd16_de;           // UQADD16</t>
  </si>
  <si>
    <t xml:space="preserve">  wire           i32_uqadd8_de;            // UQADD8</t>
  </si>
  <si>
    <t xml:space="preserve">  wire           i32_uqasx_de;             // UQASX</t>
  </si>
  <si>
    <t xml:space="preserve">  wire           i32_uqsax_de;             // UQSAX</t>
  </si>
  <si>
    <t xml:space="preserve">  wire           i32_uqsub16_de;           // UQSUB16</t>
  </si>
  <si>
    <t xml:space="preserve">  wire           i32_uqsub8_de;            // UQSUB8</t>
  </si>
  <si>
    <t xml:space="preserve">  wire           i32_usat16_de;            // USAT16</t>
  </si>
  <si>
    <t xml:space="preserve">  wire           i32_usax_de;              // USAX</t>
  </si>
  <si>
    <t xml:space="preserve">  wire           i32_usub16_de;            // USUB16</t>
  </si>
  <si>
    <t xml:space="preserve">  wire           i32_usub8_de;             // USUB8</t>
  </si>
  <si>
    <t xml:space="preserve">  wire           i32_uxtab_de;             // UXTAB</t>
  </si>
  <si>
    <t xml:space="preserve">  wire           i32_uxtab16_de;           // UXTAB16</t>
  </si>
  <si>
    <t xml:space="preserve">  wire           i32_uxtah_de;             // UXTAH</t>
  </si>
  <si>
    <t xml:space="preserve">  wire           i32_uxtb16_de;            // UXTB16</t>
  </si>
  <si>
    <t xml:space="preserve">  // MAC instruction formats</t>
  </si>
  <si>
    <t xml:space="preserve">  wire           i32_fmt_f0_de;            // MAC format F0</t>
  </si>
  <si>
    <t xml:space="preserve">  wire           i32_fmt_f0_0_de;          // MAC format F0, part 0</t>
  </si>
  <si>
    <t xml:space="preserve">  wire           i32_fmt_f0_1_de;          // MAC format F0, part 1</t>
  </si>
  <si>
    <t xml:space="preserve">  wire           i32_fmt_f0_2_de;          // MAC format F0, part 2</t>
  </si>
  <si>
    <t xml:space="preserve">  wire           i32_fmt_f0_3_de;          // MAC format F0, part 3</t>
  </si>
  <si>
    <t xml:space="preserve">  wire           i32_fmt_f0_4_de;          // MAC format F0, part 4</t>
  </si>
  <si>
    <t xml:space="preserve">  wire           i32_fmt_f0_5_de;          // MAC format F0, part 5</t>
  </si>
  <si>
    <t xml:space="preserve">  wire           i32_fmt_f0_6_de;          // MAC format F0, part 6</t>
  </si>
  <si>
    <t xml:space="preserve">  wire           i32_fmt_f0_7_de;          // MAC format F0, part 7</t>
  </si>
  <si>
    <t xml:space="preserve">  wire           i32_fmt_f1_de;            // MAC format F1</t>
  </si>
  <si>
    <t xml:space="preserve">  wire           i32_fmt_f1_4_de;          // MAC format F1, part 4</t>
  </si>
  <si>
    <t xml:space="preserve">  wire           i32_fmt_f1_6_de;          // MAC format F1, part 6</t>
  </si>
  <si>
    <t xml:space="preserve">  // MAC instructions</t>
  </si>
  <si>
    <t xml:space="preserve">  wire           i32_mla_de;               // MLA</t>
  </si>
  <si>
    <t xml:space="preserve">  wire           i32_mls_de;               // MLS</t>
  </si>
  <si>
    <t xml:space="preserve">  wire           i16_mul_de;               // MUL (T1)</t>
  </si>
  <si>
    <t xml:space="preserve">  wire           i32_mul_de;               // MUL (T2)</t>
  </si>
  <si>
    <t xml:space="preserve">  wire           i32_smlaxy_de;            // SMLABB, SMLABT, SMLATB, SMLATT</t>
  </si>
  <si>
    <t xml:space="preserve">  wire           i32_smlady_de;            // SMLAD, SMLADX</t>
  </si>
  <si>
    <t xml:space="preserve">  wire           i32_smlal_de;             // SMLAL</t>
  </si>
  <si>
    <t xml:space="preserve">  wire           i32_smlalxy_de;           // SMLALBB, SMLALBT, SMLALTB, SMLALTT</t>
  </si>
  <si>
    <t xml:space="preserve">  wire           i32_smlaldy_de;           // SMLALD, SMLALDX</t>
  </si>
  <si>
    <t xml:space="preserve">  wire           i32_smlawy_de;            // SMLAWB, SMLAWT</t>
  </si>
  <si>
    <t xml:space="preserve">  wire           i32_smlsdy_de;            // SMLSD, SMLSDX</t>
  </si>
  <si>
    <t xml:space="preserve">  wire           i32_smlsldy_de;           // SMLSLD, SMLSLDX</t>
  </si>
  <si>
    <t xml:space="preserve">  wire           i32_smmlar_de;            // SMMLA, SMMLAR</t>
  </si>
  <si>
    <t xml:space="preserve">  wire           i32_smmlsr_de;            // SMMLS, SMMLSR</t>
  </si>
  <si>
    <t xml:space="preserve">  wire           i32_smmulr_de;            // SMMUL, SMMULR</t>
  </si>
  <si>
    <t xml:space="preserve">  wire           i32_smuady_de;            // SMUAD, SMUADX</t>
  </si>
  <si>
    <t xml:space="preserve">  wire           i32_smulxy_de;            // SMULBB, SMULBT, SMULTB, SMULTT</t>
  </si>
  <si>
    <t xml:space="preserve">  wire           i32_smull_de;             // SMULL</t>
  </si>
  <si>
    <t xml:space="preserve">  wire           i32_smulwy_de;            // SMULWB, SMULWT</t>
  </si>
  <si>
    <t xml:space="preserve">  wire           i32_smusdy_de;            // SMUSD, SMUSDX</t>
  </si>
  <si>
    <t xml:space="preserve">  wire           i32_umaal_de;             // UMAAL</t>
  </si>
  <si>
    <t xml:space="preserve">  wire           i32_umlal_de;             // UMLAL</t>
  </si>
  <si>
    <t xml:space="preserve">  wire           i32_umull_de;             // UMULL</t>
  </si>
  <si>
    <t xml:space="preserve">  wire           i32_usad8_de;             // USAD8</t>
  </si>
  <si>
    <t xml:space="preserve">  wire           i32_usada8_de;            // USADA8</t>
  </si>
  <si>
    <t>E instruction decoder</t>
  </si>
  <si>
    <t>Control logic for E extensions (SIMD &amp; MAC)</t>
  </si>
  <si>
    <t>Logic which provides the SIMD addition and saturation</t>
  </si>
  <si>
    <t>simdsat signals</t>
  </si>
  <si>
    <t xml:space="preserve">  wire           true_simd_valid_ex;       // Multiple data operation</t>
  </si>
  <si>
    <t xml:space="preserve">  wire [31:0]    simd_op_a_ex;             // SIMD unit operand A</t>
  </si>
  <si>
    <t xml:space="preserve">  wire [31:0]    simd_op_b_ex;             // SIMD unit operand B</t>
  </si>
  <si>
    <t xml:space="preserve">  wire           normal_op_b_ex;           // Select unmodified operand B</t>
  </si>
  <si>
    <t xml:space="preserve">  wire           sign_op_b_ex;             // Sign bit of operand B</t>
  </si>
  <si>
    <t xml:space="preserve">  wire [31:0]    data_b_op_ex;             // B data before possible inversion</t>
  </si>
  <si>
    <t xml:space="preserve">  wire [31:0]    fmt_data_a_ex;            // Formatted A data</t>
  </si>
  <si>
    <t xml:space="preserve">  wire [31:0]    fmt_data_b_ex;            // Formatted B data</t>
  </si>
  <si>
    <t xml:space="preserve">  wire [3:0]     sign_data_a_ex;           // Sign bits extracted from A data</t>
  </si>
  <si>
    <t xml:space="preserve">  wire [3:0]     sign_data_b_ex;           // Sign bits extracted from B data</t>
  </si>
  <si>
    <t xml:space="preserve">  wire           data_size16_ex;           // 1 = 16 bits, 0 = 8 bits</t>
  </si>
  <si>
    <t xml:space="preserve">  wire           signed_arith_ex;          // Signed arithmetic operation</t>
  </si>
  <si>
    <t xml:space="preserve">  wire           halving_valid_ex;         // Halving operation required</t>
  </si>
  <si>
    <t xml:space="preserve">  wire           invert_b_ex;              // Invert B port data</t>
  </si>
  <si>
    <t xml:space="preserve">  wire           invert_b_high_ex;         // Invert upper half of B port data</t>
  </si>
  <si>
    <t xml:space="preserve">  wire           invert_b_low_ex;          // Invert lower half of B port data</t>
  </si>
  <si>
    <t xml:space="preserve">  wire           addsub_op_ex;             // ADDSUB, 0 = SUB/ADD, 1 = ADD/SUB</t>
  </si>
  <si>
    <t xml:space="preserve">  wire           sub_op_ex;                // Subtract operation</t>
  </si>
  <si>
    <t xml:space="preserve">  wire           addsub_valid_ex;          // ADDSUB operation valid</t>
  </si>
  <si>
    <t xml:space="preserve">  wire           subadd_valid_ex;          // SUBADD operation valid</t>
  </si>
  <si>
    <t xml:space="preserve">  wire           sub_valid_ex;             // Non ADDSUB op subtract</t>
  </si>
  <si>
    <t xml:space="preserve">  wire           sat_path_valid_ex;        // Path via saturation logic valid</t>
  </si>
  <si>
    <t xml:space="preserve">  wire           sat_valid_ex;             // Saturation operation valid</t>
  </si>
  <si>
    <t xml:space="preserve">  wire [1:0]     sat_size_ex;              // Saturation size</t>
  </si>
  <si>
    <t xml:space="preserve">  wire           sat_sign_ex;              // Saturation sign</t>
  </si>
  <si>
    <t xml:space="preserve">  wire [1:0]     ror_size_ex;              // ROR size (none, byte, hword, word)</t>
  </si>
  <si>
    <t xml:space="preserve">  wire [31:0]    ror_res_ex;               // ROR result</t>
  </si>
  <si>
    <t xml:space="preserve">  wire [31:0]    ror_sign_res_ex;          // Sign extended ROR result</t>
  </si>
  <si>
    <t xml:space="preserve">  wire           sel_valid_ex;             // SEL instruction valid</t>
  </si>
  <si>
    <t xml:space="preserve">  wire [31:0]    sel_res_ex;               // SEL result</t>
  </si>
  <si>
    <t xml:space="preserve">  wire           sat16_valid_ex;           // SSAT16/USAT16 instruction valid</t>
  </si>
  <si>
    <t xml:space="preserve">  wire           pkh_valid_ex;             // PKH instruction valid</t>
  </si>
  <si>
    <t xml:space="preserve">  wire           pkh_tb_ex;                // 0 = PKHBT, 1 = PKHTB</t>
  </si>
  <si>
    <t xml:space="preserve">  wire [31:0]    pkh_res_ex;               // PKH* result</t>
  </si>
  <si>
    <t xml:space="preserve">  wire           sign_noext_ex;            // Do not sign extend shifter res</t>
  </si>
  <si>
    <t xml:space="preserve">  wire           sign_8to32_ex;            // Sign extend shifter res  8 -&gt; 32</t>
  </si>
  <si>
    <t xml:space="preserve">  wire           sign_16to32_ex;           // Sign extend shifter res 16 -&gt; 32</t>
  </si>
  <si>
    <t xml:space="preserve">  wire           sign_dual_ex;             // Sign extend dual bytes   8 -&gt; 16</t>
  </si>
  <si>
    <t xml:space="preserve">  wire           sign_ext_value_ex;        // Sign extension value</t>
  </si>
  <si>
    <t xml:space="preserve">  wire           a_not_req_ex;             // A data not required for *XTB16</t>
  </si>
  <si>
    <t xml:space="preserve">  wire [1:0]     sat_byte3_indicate_ex;    // Byte 3 saturation indicator</t>
  </si>
  <si>
    <t xml:space="preserve">  wire [1:0]     sat_byte2_indicate_ex;    // Byte 2 saturation indicator</t>
  </si>
  <si>
    <t xml:space="preserve">  wire [1:0]     sat_byte1_indicate_ex;    // Byte 1 saturation indicator</t>
  </si>
  <si>
    <t xml:space="preserve">  wire [1:0]     sat_byte0_indicate_ex;    // Byte 0 saturation indicator</t>
  </si>
  <si>
    <t xml:space="preserve">  reg [7:0]      sat_8bit_byte3_ex;        // 8 bit saturation result byte 3</t>
  </si>
  <si>
    <t xml:space="preserve">  reg [7:0]      sat_8bit_byte2_ex;        // 8 bit saturation result byte 2</t>
  </si>
  <si>
    <t xml:space="preserve">  reg [7:0]      sat_8bit_byte1_ex;        // 8 bit saturation result byte 1</t>
  </si>
  <si>
    <t xml:space="preserve">  reg [7:0]      sat_8bit_byte0_ex;        // 8 bit saturation result byte 0</t>
  </si>
  <si>
    <t xml:space="preserve">  wire [31:0]    sat_size8_res_ex;         // 8-bit signed/unsigned sat result</t>
  </si>
  <si>
    <t xml:space="preserve">  reg [15:0]     sat_16bit_hw1_ex;         // 16 bit saturation result hword 1</t>
  </si>
  <si>
    <t xml:space="preserve">  reg [15:0]     sat_16bit_hw0_ex;         // 16 bit saturation result hword 0</t>
  </si>
  <si>
    <t xml:space="preserve">  wire [31:0]    sat_size16_res_ex;        // 16-bit signed/unsigned sat result</t>
  </si>
  <si>
    <t xml:space="preserve">  reg [31:0]     sat_size32_res_ex;        // 32-bit signed/unsigned sat result</t>
  </si>
  <si>
    <t xml:space="preserve">  reg [31:0]     sat_res_ex;               // Saturated result</t>
  </si>
  <si>
    <t xml:space="preserve">  wire           sat_q_res_ex;             // Saturation Q flag result</t>
  </si>
  <si>
    <t xml:space="preserve">  reg [15:0]     sat16_mask_ex;            // *SAT16 mask based on immediate</t>
  </si>
  <si>
    <t xml:space="preserve">  wire           sat16_hi_sign_ex;         // Upper half-word sign bit</t>
  </si>
  <si>
    <t xml:space="preserve">  wire           sat16_lo_sign_ex;         // Lower half-word sign bit</t>
  </si>
  <si>
    <t xml:space="preserve">  wire           sat16_hi_mask_ex;         // *SAT16 higher half-word mask</t>
  </si>
  <si>
    <t xml:space="preserve">  wire           sat16_lo_mask_ex;         // *SAT16 lower half-word mask</t>
  </si>
  <si>
    <t xml:space="preserve">  wire           sat16_hi_oflow_ex;        // Upper half-word result overflow</t>
  </si>
  <si>
    <t xml:space="preserve">  wire           sat16_lo_oflow_ex;        // Lower half-word result overflow</t>
  </si>
  <si>
    <t xml:space="preserve">  wire           sat16_hi_a_valid_ex;      // Upper half-word data A valid</t>
  </si>
  <si>
    <t xml:space="preserve">  wire           sat16_hi_msk_valid_ex;    // Upper half-word sat mask valid</t>
  </si>
  <si>
    <t xml:space="preserve">  wire           sat16_hi_neg_valid_ex;    // Upper half-word neg sat mask valid</t>
  </si>
  <si>
    <t xml:space="preserve">  wire           sat16_lo_a_valid_ex;      // Lower half-word data A valid</t>
  </si>
  <si>
    <t xml:space="preserve">  wire           sat16_lo_msk_valid_ex;    // Lower half-word sat mask valid</t>
  </si>
  <si>
    <t xml:space="preserve">  wire           sat16_lo_neg_valid_ex;    // Lower half-word neg sat mask valid</t>
  </si>
  <si>
    <t xml:space="preserve">  wire [31:0]    sat16_res_ex;             // *SAT16 result</t>
  </si>
  <si>
    <t xml:space="preserve">  wire           sat16_q_res_ex;           // *SAT16 Q flag result</t>
  </si>
  <si>
    <t xml:space="preserve">  wire           non_simd_valid_ex;        // Not true SIMD &amp; not halving either</t>
  </si>
  <si>
    <t xml:space="preserve">  wire           dbl_valid_ex;             // Saturating double operation</t>
  </si>
  <si>
    <t xml:space="preserve">  wire           dbl_oflow_pos_ex;         // Doubling gave +ve dir overflow</t>
  </si>
  <si>
    <t xml:space="preserve">  wire           dbl_oflow_neg_ex;         // Doubling gave -ve dir overflow</t>
  </si>
  <si>
    <t xml:space="preserve">  wire           dbl_no_oflow_ex;          // Doubling gave no overflow</t>
  </si>
  <si>
    <t xml:space="preserve">  wire [31:0]    dbl_op_b_ex;              // Data B doubled</t>
  </si>
  <si>
    <t xml:space="preserve">  wire           dbl_sign_ex;              // Sign of doubled result</t>
  </si>
  <si>
    <t xml:space="preserve">  wire [31:0]    dbl_res_ex;               // Doubled saturation result</t>
  </si>
  <si>
    <t xml:space="preserve">  wire           dbl_q_res_ex;             // Doubled saturation Q flag result</t>
  </si>
  <si>
    <t xml:space="preserve">  wire           adder_cin1_b0_ex;         // Forced carry in: input 1, byte 0</t>
  </si>
  <si>
    <t xml:space="preserve">  wire           adder_cin1_b1_ex;         // Forced carry in: input 1, byte 1</t>
  </si>
  <si>
    <t xml:space="preserve">  wire           adder_cin1_b2_ex;         // Forced carry in: input 1, byte 2</t>
  </si>
  <si>
    <t xml:space="preserve">  wire           adder_cin2_b0_ex;         // Forced carry in: input 2, byte 0</t>
  </si>
  <si>
    <t xml:space="preserve">  wire           adder_cin2_b1_ex;         // Forced carry in: input 2, byte 1</t>
  </si>
  <si>
    <t xml:space="preserve">  wire           adder_cin2_b2_ex;         // Forced carry in: input 2, byte 2</t>
  </si>
  <si>
    <t xml:space="preserve">  wire           simd_16bit_valid_ex;      // True 16 bit SIMD operation</t>
  </si>
  <si>
    <t xml:space="preserve">  wire           simd_8bit_valid_ex;       // True  8 bit SIMD operation</t>
  </si>
  <si>
    <t xml:space="preserve">  wire [1:0]     sign_oflow_b0_ex;         // Overflow required for byte 0</t>
  </si>
  <si>
    <t xml:space="preserve">  wire [1:0]     sign_oflow_b1_ex;         // Overflow required for byte 1</t>
  </si>
  <si>
    <t xml:space="preserve">  wire [1:0]     sign_oflow_b2_ex;         // Overflow required for byte 2</t>
  </si>
  <si>
    <t xml:space="preserve">  wire [1:0]     sign_oflow_b3_ex;         // Overflow required for byte 3</t>
  </si>
  <si>
    <t xml:space="preserve">  wire [3:0]     sub_mask_ex;              // Sub mask for unsigned MSB creation</t>
  </si>
  <si>
    <t xml:space="preserve">  wire [34:0]    adder_in1_ex;             // Adder input 1 based on fmt A data</t>
  </si>
  <si>
    <t xml:space="preserve">  wire [34:0]    adder_in2_ex;             // Adder input 2 based on fmt B data</t>
  </si>
  <si>
    <t xml:space="preserve">  wire           adder_cin_ex;             // Adder carry in</t>
  </si>
  <si>
    <t xml:space="preserve">  wire [35:0]    adder_res_ex;             // Result direct from adder</t>
  </si>
  <si>
    <t xml:space="preserve">  wire [31:0]    adder_ext_res_ex;         // Result extracted from adder result</t>
  </si>
  <si>
    <t xml:space="preserve">  wire [3:0]     adder_cout_ex;            // Carry extracted from adder result</t>
  </si>
  <si>
    <t xml:space="preserve">  wire [3:0]     adder_sign_ex;            // Sign extracted from adder result</t>
  </si>
  <si>
    <t xml:space="preserve">  wire [31:0]    non_sat_res_ex;           // Non-saturated result</t>
  </si>
  <si>
    <t xml:space="preserve">  wire [3:0]     uhalv_cin_ex;             // Carry into unsigned halving result</t>
  </si>
  <si>
    <t xml:space="preserve">  wire [3:0]     shalv_new_sign_ex;        // Signed halving result sign bits</t>
  </si>
  <si>
    <t xml:space="preserve">  wire           shalv16_valid_ex;         // 16-bit   signed halving valid</t>
  </si>
  <si>
    <t xml:space="preserve">  wire [31:0]    shalv16_res_ex;           // 16-bit   signed halving result</t>
  </si>
  <si>
    <t xml:space="preserve">  wire           shalv8_valid_ex;          //  8-bit   signed halving valid</t>
  </si>
  <si>
    <t xml:space="preserve">  wire [31:0]    shalv8_res_ex;            //  8-bit   signed halving result</t>
  </si>
  <si>
    <t xml:space="preserve">  wire           uhalv16_valid_ex;         // 16-bit unsigned halving valid</t>
  </si>
  <si>
    <t xml:space="preserve">  wire [31:0]    uhalv16_res_ex;           // 16-bit unsigned halving result</t>
  </si>
  <si>
    <t xml:space="preserve">  wire           uhalv8_valid_ex;          //  8-bit unsigned halving valid</t>
  </si>
  <si>
    <t xml:space="preserve">  wire [31:0]    uhalv8_res_ex;            //  8-bit unsigned halving result</t>
  </si>
  <si>
    <t xml:space="preserve">  wire [3:0]     sat_signed_neg_ex;        // Negative signed saturation</t>
  </si>
  <si>
    <t xml:space="preserve">  wire [3:0]     sat_signed_pos_ex;        // Positive signed saturation</t>
  </si>
  <si>
    <t xml:space="preserve">  wire [3:0]     sat_unsigned_neg_ex;      // Negative unsigned saturation</t>
  </si>
  <si>
    <t xml:space="preserve">  wire [3:0]     sat_unsigned_pos_ex;      // Positive unsigned saturation</t>
  </si>
  <si>
    <t xml:space="preserve">  wire [3:0]     sat_neg_res_ex;           // Negative saturation result</t>
  </si>
  <si>
    <t xml:space="preserve">  wire [3:0]     sat_pos_res_ex;           // Negative saturation result</t>
  </si>
  <si>
    <t xml:space="preserve">  wire [3:0]     sign_pos_res_ex;          // Adder/carry out result is positive</t>
  </si>
  <si>
    <t xml:space="preserve">  wire [3:0]     ge_8bit_res_ex;           // 8 bit GE flag result</t>
  </si>
  <si>
    <t xml:space="preserve">  wire [3:0]     ge_16bit_res_ex;          // 16 bit GE flag result</t>
  </si>
  <si>
    <t xml:space="preserve">  wire [3:0]     ge_res_ex;                // SIMD GE bits result</t>
  </si>
  <si>
    <t xml:space="preserve">  wire [31:0]    e_simd_res_ex;            // Final SIMD unit result</t>
  </si>
  <si>
    <t xml:space="preserve">  wire           e_simd_q_set_ex;          // Final SIMD q bit set</t>
  </si>
  <si>
    <t xml:space="preserve">  wire [3:0]     e_simd_ge_res_ex;         // Final SIMD GE bits result</t>
  </si>
  <si>
    <t>All bits in input and output operands are forced to '0' and '1'.
Every operation realized within simdsat sub-module and listed in column D on INSTR_SET sheet is explicitly executed.
Multiple data patterns are used with every simdsat operation.
Application of every possible mask value used for SSAT16 and USAT16 commands is explicitly checked.
Explicit toggling of wires listed in column E on INSTR_SET sheet and checking the impact is explicitly performed by executing the corresponding simdsat instruction.</t>
  </si>
  <si>
    <t xml:space="preserve">Logic implementing the following operations according to ALU control bus:
 - use carry
 - flag write control
 - ALU operation type (see below)
 - shift operation is of the form RRX
 - shifter input 2 valid/select
 - shifter input 1 valid/select
 - shifter control
 - inline shift carry control
 - adder input 2 valid
 - adder input 1 valid
 - invert ALU input 2
 - invert ALU input 1
ALU operation type:
- Bitwise AND
- Bitwise OR
- BitWise EOR
- Shift (regular) - separate ctrl for immediate vs reg for timing
- Shift (BFX) - use sign info to distinguish
- Shift (BFI/BFC)
- Shift (saturation) - use sign info to distinguish
- MOV (MSR flag/GE write depending on size register)
- MOV (MRS unpred)
- MOV (MRS control)
- MOV (MRS nvic_basepri_i)
- MOV (MRS no nvic_pmask_i or nvic_fmask_i)
- MOV (MRS nvic_pmask_i)
- MOV (MRS nvic_fmask_i)
- MOV (MRS nvic_pmask_i &amp; nvic_fmask_i)
- MOV (MRS none)
- MOV (MRS PSR)
- MOV (MRS control)
- MOV (MRS both)
- MOV (normal)
- MOV (RBIT)
- MOV (REV)
- MOV (MOVT)
- DIV - use sign info to distinguish
- MUL (*MLAL) - use sign info to distinguish
- MUL (*MULL) - use sign info to distinguish
- MUL (MUL)
- MUL (MLA)
- MUL (MLS)
- CLZ
</t>
  </si>
  <si>
    <t>'Inputs of the AND gate:</t>
  </si>
  <si>
    <t>'(correct values) --&gt; (result of a "short" fault)</t>
  </si>
  <si>
    <t>'(0,1)--&gt;(1,1) : dangerous, detection status is determined by a status of stuck-at-1 at port 1</t>
  </si>
  <si>
    <t>'(1,0)--&gt;(1,1) : dangerous, detection status is determined by a status of stuck-at-1 at port 2</t>
  </si>
  <si>
    <t>'(1,0)--&gt;(0,0) : safe</t>
  </si>
  <si>
    <t>'(0,1)--&gt;(0,0) : safe</t>
  </si>
  <si>
    <t>'Inputs of the OR gate:</t>
  </si>
  <si>
    <t>'(1,0)--&gt;(1,1) : safe</t>
  </si>
  <si>
    <t>'(0,1)--&gt;(1,1) : safe</t>
  </si>
  <si>
    <t>'(1,0)--&gt;(0,0) : dangerous, detection status is determined by a status of stuck-at-0 at port 1</t>
  </si>
  <si>
    <t>'(0,1)--&gt;(0,0) : dangerous, detection status is determined by a status of stuck-at-0 at port 2</t>
  </si>
  <si>
    <t>'Port 1 being an input of NOT (having output to the AND gate) and port 2 being another input of AND:</t>
  </si>
  <si>
    <t>'(0,1)--&gt;(0,0) : dangerous, detection status is determined by a status of stuck-at-1 at input of NOT</t>
  </si>
  <si>
    <t>'(0,1)--&gt;(1,1) : dangerous, detection status is determined by a status of stuck-at-1 at input of NOT</t>
  </si>
  <si>
    <t>Scenario 1:</t>
  </si>
  <si>
    <t>Scenario 2:</t>
  </si>
  <si>
    <t>"short"-fault ocures between any two wires within the sub-module logic</t>
  </si>
  <si>
    <t>'A "short" fault between given wires is considered as detected, if within the _same_ test pattern</t>
  </si>
  <si>
    <t>'either stuck-at-0 on wire 1 is detected and stuck-at-1 on wire 2 is detected, or vise-versa.</t>
  </si>
  <si>
    <t>Relative number of tested instructions:</t>
  </si>
  <si>
    <t>"short"-fault coverage estimation for "cm4_dpu_dec" sub-module:</t>
  </si>
  <si>
    <t>Portion of short-faults constituted according to scenario 1:</t>
  </si>
  <si>
    <t>Portion of short-faults constituted according to scenario 2:</t>
  </si>
  <si>
    <t>Probability of fault (race-condition) detection by a single test pattern in case 2:</t>
  </si>
  <si>
    <t>0.5*0.5=0.25</t>
  </si>
  <si>
    <t>1-0.25=0.75</t>
  </si>
  <si>
    <t>probability of detection a race-condition in combination with an open fault by 1x test pattern</t>
  </si>
  <si>
    <t>probability of not detection a race-condition in combination with an open fault by 1x test pattern</t>
  </si>
  <si>
    <t>Hints to "open" fault coverage estimation for "cm4_dpu_dec" sub-module:</t>
  </si>
  <si>
    <t>the same as in row above but as formula</t>
  </si>
  <si>
    <t>Case 2:</t>
  </si>
  <si>
    <t>Case 1:</t>
  </si>
  <si>
    <t>(1)</t>
  </si>
  <si>
    <t>(2)</t>
  </si>
  <si>
    <t>"short"-fault scenarios:</t>
  </si>
  <si>
    <t>Estimated number of detected short fault achieved by all applied short-fault test pattern in scenario 1:</t>
  </si>
  <si>
    <t>Estimated number of detected short fault achieved by all applied short-fault test pattern in scenario 2:</t>
  </si>
  <si>
    <t>(1) + (2)</t>
  </si>
  <si>
    <t>All bits in input and output operands are forced to '0' and '1'.
Every operation realized within ALU sub-module and listed in column C is explicitly executed.
Multiple data patterns are applied to every ALU sub-module.</t>
  </si>
  <si>
    <t>Portion of faults leading to case 1 (no race condition):</t>
  </si>
  <si>
    <t>Portion of faults leading to case 2 (race condition possible):</t>
  </si>
  <si>
    <t>Probabilities are sum-up-ed as for indpendent events</t>
  </si>
  <si>
    <t>TP#</t>
  </si>
  <si>
    <t>It is estimated 300x test patterns are applied for detecting short-faults.
Assumption: probability of constitution of "short"-fault according to scenario 1 (sheet "short"-fault estimation) is 50%, and probability of constitution of "short"-fault according to scenario 2 (sheet "short"-fault estimation) is 50%.</t>
  </si>
  <si>
    <t>Hints to "stuck-open" fault coverage estimation for "cm4_dpu_dec" sub-module:</t>
  </si>
  <si>
    <t>TP1</t>
  </si>
  <si>
    <t>TP2</t>
  </si>
  <si>
    <t>TP3</t>
  </si>
  <si>
    <t>TP4</t>
  </si>
  <si>
    <t>possible combinations.</t>
  </si>
  <si>
    <t>In this case, stuck-open fault coverage is:</t>
  </si>
  <si>
    <t>Probabilities are sum-up-ed as for mutually-exclusive events</t>
  </si>
  <si>
    <t>"short"-fault coverage estimation for "cm4_dpu_e.cm4_dpu_e_dec" sub-module:</t>
  </si>
  <si>
    <t>Hints to "open" fault coverage estimation for "cm4_dpu_e.cm4_dpu_e_dec" sub-module:</t>
  </si>
  <si>
    <t>Hints to "stuck-open" fault coverage estimation for "cm4_dpu_e.cm4_dpu_e_dec" sub-module:</t>
  </si>
  <si>
    <t>Logic of the simdsat module is covered completely:
 - All bits in input and output operands are forced to '0' and '1'.
 - Every operation realized within this sub-module and listed in column D on INSTR_SET sheet is explicitly executed and checked for multiple sets of operands.
In total, 100x test patterns are applied for detecting stuck-at faults within different areas of the simdsat logic.
It is estimated, a single test pattern achieves 5% of the overall simdsat stuck-at fault coverage (according to the experience gained during fault-graded core self test development for other cores of comparable complexity).
Probability of fault detection by multiple test patterns are calculated as for independent events (in contrast to mutually-exclusive).</t>
  </si>
  <si>
    <t>All executed E extention instructions with multiple sets of operands, result of which is explicitly tested.
See argument description for cm4_dpu_e.cm4_dpu_e_dec, cm4_dpu_e.cm4_dpu_e_mac, and cm4_dpu_e.cm4_dpu_e_simdsat modules.</t>
  </si>
  <si>
    <t>Coverage for this module is estimated concervatively: a minimal achived coverage of two modules - E extention decode unit (cm4_dpu_e.cm4_dpu_e_dec) and E extention execution unit (cm4_dpu_e.cm4_dpu_e_mac and cm4_dpu_e.cm4_dpu_e_simdsat) - is taken for the current one.</t>
  </si>
  <si>
    <t>It is estimated, 100% (97) of all valid instructions are executed in total.
Assumption: probability of constitution of "short"-fault according to scenario 1 (sheet "short"-fault estimation) is 50%, and probability of constitution of "short"-fault according to scenario 2 (sheet "short"-fault estimation) is 50%.</t>
  </si>
  <si>
    <t>cm4_dpu_regfile consists of two parts:
1) Register file for Cortex-M4. 4 read ports, 2 write ports,16x32-bit registers and a dedicated PC register, and
2) 2x write port register multiplexers and 4x read port register multiplexers.
It is estimated, these two parts are of equal size.</t>
  </si>
  <si>
    <t>Logic of the decoder is completely initialized by a single opcode of a decoded instruction meaning that not only the group of gates recognizing the given instruction as valid are initialized, but also all other groups of gates are initialized as well. The related to the decoded instruction dangerous short faults can be claimed as detected in the same manner as stuck-at faults. This claim is possible mainly due to a gate structure of the decoder logic allowing claiming detected by each instruction faults as mutually exclusive sets.</t>
  </si>
  <si>
    <t>Logic related to part 1) ( (see logic description in column C)): input arguments and the generated result deterministically defined for detecting most of the possible stuck-at faults on write ports D and Z, and read ports A, B, X, and Y, as well as within registers themselves. Scaling factor is applied to take into account only 99% of explicitly tested registers (all registers are read / written explicitely, PC and LR are tested by means of branch commands to two different areas of address space).
Logic related to part 2): test patterns for detecting stuck-at faults in register multiplexors are defined and applied according the same approach as used within "proxy-fault-simulation" method for multiplexors, showing high coverage. Scaling factor is applied to take into account only 99% of explicitly tested registers.</t>
  </si>
  <si>
    <t>It is assumed, probability of constitution of "short"-fault according to scenario 1 (sheet d.c. fault estimation) is 50%, and probability of constitution of "short"-fault according to scenario 2 is remaining 50%.
It is estimated, 1x test pattern can challange 1 / 36 of the sub-module area. Challenged areas by multiple test patterns can be summup-ed as for mutually-exclusive sets (in contrast to independent). Despite the fact that the biggest portion of teh sub-module is tested (acording to stuck-at fault coverage estimation), on average only one set of value combinations is used for detection of short-faults. Scenario 2 of short fault constitution assumes detection of a short fault be assumed only in the case when the same test pattern / set of value combinations detectc two stuck-at faults at the same time.</t>
  </si>
  <si>
    <t xml:space="preserve"> wire           instr_excl_ex;            // Instruction is an exclusive</t>
  </si>
  <si>
    <t xml:space="preserve">  wire [15:0]    instr_lsu_ctl_ex;         // LSU unit control (Ex)</t>
  </si>
  <si>
    <t xml:space="preserve">  wire           instr_lsm_baseinlist_ex;  // LSM has base in list</t>
  </si>
  <si>
    <t xml:space="preserve">  wire           lsu_valid_ex;             // LSU op is valid</t>
  </si>
  <si>
    <t xml:space="preserve">  wire [5:0]     lsu_state_ex;             // LSU state</t>
  </si>
  <si>
    <t xml:space="preserve">  wire           lsu_active_ex;            // LSU is active</t>
  </si>
  <si>
    <t xml:space="preserve">  wire           lsu_sp_wb_ex;             // LSU SP WB</t>
  </si>
  <si>
    <t xml:space="preserve">  wire           lsu_stall_ex;             // LSU stall pipe</t>
  </si>
  <si>
    <t xml:space="preserve">  wire           lsu_stall_late_ex;        // LSU very late stall</t>
  </si>
  <si>
    <t xml:space="preserve">  wire [1:0]     lsu_lsm_base_status_ex;   // LSM base in list status</t>
  </si>
  <si>
    <t xml:space="preserve">  wire           lsm_fpu_brestore_ex;      // Restore base for FP LSM</t>
  </si>
  <si>
    <t xml:space="preserve">  wire [4:0]     lsu_nxt_lsm_fpu_ex;       // Next LSM register number for FPU</t>
  </si>
  <si>
    <t xml:space="preserve">  wire [4:0]     lsu_lsm_reg_ex;           // Current LSM register number</t>
  </si>
  <si>
    <t xml:space="preserve">  wire           lsu_lsm_last_ex;          // Last register in LSM list</t>
  </si>
  <si>
    <t xml:space="preserve">  wire [4:0]     lsm_list_length_de;       // LSM register list length (De)</t>
  </si>
  <si>
    <t xml:space="preserve">  wire [5:0]     lsm_list_length_ex;       // LSM register list length (Ex)</t>
  </si>
  <si>
    <t xml:space="preserve">  wire [5:0]     lsm_ici_remaining_ex;     // ICI LSM number of remaining reg</t>
  </si>
  <si>
    <t xml:space="preserve">  wire           lsu_ld_excl_ex;           // LDREX in execute</t>
  </si>
  <si>
    <t xml:space="preserve">  wire [1:0]     lsu_st_excl_ex;           // STREX in execute</t>
  </si>
  <si>
    <t xml:space="preserve">  wire           lsu_pline_valid_de;       // Allow LSS to overlap</t>
  </si>
  <si>
    <t xml:space="preserve">  wire           lsu_st_imm_nonbuf_ex;     // Non bufferable store immediate</t>
  </si>
  <si>
    <t xml:space="preserve">  wire           lsu_excl_mon_ex;          // Exclusive monitor status</t>
  </si>
  <si>
    <t xml:space="preserve">  wire           lsu_stack_algn_64_ex;     // Align stack at 8-byte boundary</t>
  </si>
  <si>
    <t xml:space="preserve">  wire           lsu_unalgn_ex;            // Access is unaligned</t>
  </si>
  <si>
    <t xml:space="preserve">  wire           lsu_flag_wr_ex;           // LSU flag result write enable</t>
  </si>
  <si>
    <t xml:space="preserve">  wire [31:0]    lsu_psr_ex;               // LSU PSR value</t>
  </si>
  <si>
    <t xml:space="preserve">  wire           lsu_it_valid_ex;          // LSU write to IT is valid</t>
  </si>
  <si>
    <t xml:space="preserve">  wire [7:0]     lsu_it_ex;                // LSU IT bits to write</t>
  </si>
  <si>
    <t xml:space="preserve">  wire           lsu_lsm_list_valid_ex;    // LSM list non-empty</t>
  </si>
  <si>
    <t xml:space="preserve">  wire           lsu_stackpush_rdy_ex;     // LSU ready for pushing stack</t>
  </si>
  <si>
    <t xml:space="preserve">  wire [4:0]     lsu_exit_code_ex;         // LSU ISR exit code</t>
  </si>
  <si>
    <t xml:space="preserve">  wire           lsu_exit_valid_ex;        // LSU operation is an ISR exit</t>
  </si>
  <si>
    <t xml:space="preserve">  wire [31:0]    lsu_nxt_fpcar;            // Next FPCAR</t>
  </si>
  <si>
    <t xml:space="preserve">  wire           lsu_pflush_ex;            // LSU pipe flush</t>
  </si>
  <si>
    <t xml:space="preserve">  wire           lsu_fix_pc_ex;            // LSU requires PC fix</t>
  </si>
  <si>
    <t xml:space="preserve">  wire           lsu_mcyc_invk_msk_ex;     // Mask intinvoke for multi-cycle op</t>
  </si>
  <si>
    <t xml:space="preserve">  wire           lsu_ahb_invk_msk;         // Mask interrupts for const AHB</t>
  </si>
  <si>
    <t xml:space="preserve">  wire           lsu_mcyc_ilock_ex;        // Multi-cycle op interlock</t>
  </si>
  <si>
    <t xml:space="preserve">  wire           lsu_dbl_fault_ex;         // LSU double fault detected</t>
  </si>
  <si>
    <t xml:space="preserve">  wire [4:0]     lsu_fp_ls_rf_addr_ex;     // FPU RF address</t>
  </si>
  <si>
    <t xml:space="preserve">  wire [31:0]    lsu_fpu_rd_data_ex;       // Data to FPU</t>
  </si>
  <si>
    <t xml:space="preserve">  wire           lsu_will_wr_rf_ex;        // LSU will write to RF imminently</t>
  </si>
  <si>
    <t xml:space="preserve">  wire           lsu_rf_rd_a_en_ex;        // LSU RF A port read enable</t>
  </si>
  <si>
    <t xml:space="preserve">  wire           lsu_rf_rd_a_en_fast_ex;   // LSU RF A port read enable (fast)</t>
  </si>
  <si>
    <t xml:space="preserve">  wire [3:0]     lsu_rf_rd_a_addr_ex;      // LSU RF A port read address</t>
  </si>
  <si>
    <t xml:space="preserve">  wire           lsu_rf_wr_d_en_ex;        // LSU RF D port write enable</t>
  </si>
  <si>
    <t xml:space="preserve">  wire           lsu_rf_wr_d_en_fast_ex;   // LSU RF D port write enable (fast)</t>
  </si>
  <si>
    <t xml:space="preserve">  wire [3:0]     lsu_rf_wr_d_addr_ex;      // LSU RF D port write address</t>
  </si>
  <si>
    <t xml:space="preserve">  wire [31:0]    lsu_rf_wr_d_data_ex;      // LSU RF D port write data</t>
  </si>
  <si>
    <t xml:space="preserve">  wire [3:0]     lsu_rf_wr_z_addr_ex;      // LSU RF Z port write address</t>
  </si>
  <si>
    <t xml:space="preserve">  wire           lsu_rf_wr_z_en_ex;        // LSU RF Z port write enable</t>
  </si>
  <si>
    <t xml:space="preserve">  wire [31:0]    lsu_rf_wr_z_data_ex;      // LSU RF Z port write data</t>
  </si>
  <si>
    <t xml:space="preserve">  wire [3:0]     rf_rd_a_addr_ex;          // RF A port read address</t>
  </si>
  <si>
    <t xml:space="preserve">  wire [3:0]     rf_rd_b_addr_ex;          // RF B port read address</t>
  </si>
  <si>
    <t xml:space="preserve">  wire [3:0]     instr_rf_rd_c_addr_ex;    // RF secondary read address</t>
  </si>
  <si>
    <t xml:space="preserve">  wire [3:0]     rf_wr_d_addr_ex;          // RF D port write address</t>
  </si>
  <si>
    <t xml:space="preserve">  wire           lsu_main_sp_en;           // Force r13 to be main SP</t>
  </si>
  <si>
    <t xml:space="preserve">  wire           lsu_real_sp_rd;           // Force r13 read to be real SP</t>
  </si>
  <si>
    <t xml:space="preserve">  wire [3:0]     lsu_ici_cont;             // ICI bits from stack</t>
  </si>
  <si>
    <t xml:space="preserve">  wire           lsu_stack_start;          // LSU stack op start</t>
  </si>
  <si>
    <t xml:space="preserve">  wire           lsu_stack_end;            // LSU stack op complete</t>
  </si>
  <si>
    <t xml:space="preserve">  wire           lsu_addrd_non_buf;        // AHB D-side address non-bufferable</t>
  </si>
  <si>
    <t xml:space="preserve">  wire           lsu_addracc_wait_reg;     // Waiting for address acceptance</t>
  </si>
  <si>
    <t xml:space="preserve">  wire           str_buf_imm_ex;           // Store status is an immediate</t>
  </si>
  <si>
    <t xml:space="preserve">  wire           ahb_const_unstk;          // Keep trans for unstack</t>
  </si>
  <si>
    <t xml:space="preserve">  wire [1:0]     ahb_htransd;              // AHB D-side HTRANS</t>
  </si>
  <si>
    <t xml:space="preserve">  wire           ahb_hwrited;              // AHB D-side HWRITE</t>
  </si>
  <si>
    <t xml:space="preserve">  wire [1:0]     ahb_hsized;               // AHB D-side HSIZE</t>
  </si>
  <si>
    <t xml:space="preserve">  wire [31:0]    ahb_haddrd;               // AHB D-side HADDR</t>
  </si>
  <si>
    <t xml:space="preserve">  wire [31:0]    ahb_hwdatad;              // AHB D-side HWDATA</t>
  </si>
  <si>
    <t xml:space="preserve">  wire [1:0]     ahb_hprotd;               // AHB D-side HPROT</t>
  </si>
  <si>
    <t xml:space="preserve">  wire           ahb_exreqd;               // AHB D-side EXREQ</t>
  </si>
  <si>
    <t xml:space="preserve">  wire           dpu_addrd_valid;          // Address valid for FAR use</t>
  </si>
  <si>
    <t xml:space="preserve">  wire           int_stack_op;             // LSU is stacking/unstacking</t>
  </si>
  <si>
    <t xml:space="preserve">  wire           int_unstacking;           // LSU is unstacking</t>
  </si>
  <si>
    <t xml:space="preserve">  wire           int_entry;                // ISR entry</t>
  </si>
  <si>
    <t xml:space="preserve">  wire           int_exit;                 // ISR exit</t>
  </si>
  <si>
    <t xml:space="preserve">  wire           int_return;               // Unstacking complete</t>
  </si>
  <si>
    <t xml:space="preserve">  wire [8:0]     int_retisr;               // Returned to ISR number</t>
  </si>
  <si>
    <t xml:space="preserve">  wire [1:0]     fault_lsu_local_ex;       // LSU detection of faults</t>
  </si>
  <si>
    <t xml:space="preserve">  wire           fault_lsu_precise_ex;     // Precise LSU fault</t>
  </si>
  <si>
    <t xml:space="preserve">  wire [10:0]    fault_lsu_ex;             // Collection of LSU faults</t>
  </si>
  <si>
    <t xml:space="preserve">  wire           dbg_ctrl_wr_ex;           // Debug write to special control</t>
  </si>
  <si>
    <t xml:space="preserve">  wire           dbg_wr_isr;               // Debug write to ISR number</t>
  </si>
  <si>
    <t xml:space="preserve">  wire           dbg_ready;                // Debug register transfer ready</t>
  </si>
  <si>
    <t>LSU internal wires</t>
  </si>
  <si>
    <t>Checked explicitly?</t>
  </si>
  <si>
    <t>Safety-irrelevant</t>
  </si>
  <si>
    <t>n/a</t>
  </si>
  <si>
    <t>Input and output ports the corresponding wire is connected to, might be considered.</t>
  </si>
  <si>
    <t xml:space="preserve">  wire           instr_word_present_fe;     // Word present in fetch buffer</t>
  </si>
  <si>
    <t xml:space="preserve">  wire           instr_stop_adv_fe;         // Stop decode time advance</t>
  </si>
  <si>
    <t xml:space="preserve">  wire [1:0]     instr_fault_fe;            // Instruction in fetch has faulted</t>
  </si>
  <si>
    <t xml:space="preserve">  wire           instr_ext_pflush_fe;       // External event caused pipe flush</t>
  </si>
  <si>
    <t xml:space="preserve">  wire [31:0]    instr_de;                  // Instruction in decode</t>
  </si>
  <si>
    <t xml:space="preserve">  wire           int_vector_err_fe;         // Vector fetch error</t>
  </si>
  <si>
    <t xml:space="preserve">  wire           int_vector_fault;          // Vector fetch fault</t>
  </si>
  <si>
    <t xml:space="preserve">  wire           int_first_instr_valid;     // 1st instr ready for entry/return</t>
  </si>
  <si>
    <t xml:space="preserve">  wire           rf_wr_d_en_fe;             // Fetch RF D port write enable</t>
  </si>
  <si>
    <t xml:space="preserve">  wire [3:0]     rf_wr_d_addr_fe;           // Fetch RF D port write address</t>
  </si>
  <si>
    <t xml:space="preserve">  wire [31:0]    rf_wr_d_data_fe;           // Fetch RF D port write data</t>
  </si>
  <si>
    <t xml:space="preserve">  wire [1:0]     ahb_htransi;               // AHB I-side HTRANS</t>
  </si>
  <si>
    <t xml:space="preserve">  wire [1:0]     ahb_hsizei;                // AHB I-side HSIZE</t>
  </si>
  <si>
    <t xml:space="preserve">  wire [31:0]    ahb_haddri;                // AHB I-side HADDR</t>
  </si>
  <si>
    <t xml:space="preserve">  wire [1:0]     ahb_hproti;                // AHB I-side HPROT</t>
  </si>
  <si>
    <t xml:space="preserve">  wire           ahb_htransi_track;         // Track I-side AHB transactions</t>
  </si>
  <si>
    <t xml:space="preserve">  wire [3:0]     state_fe;                  // Fetch state</t>
  </si>
  <si>
    <t xml:space="preserve">  wire [31:1]    fe_address_add_res;        // Fetch address adder result</t>
  </si>
  <si>
    <t xml:space="preserve">  wire           fe_buf_has_valid_instr;    // Fetch buffer has valid instr</t>
  </si>
  <si>
    <t xml:space="preserve">  wire           fe_haddracci;              // Fetch version of HADDRACCI</t>
  </si>
  <si>
    <t xml:space="preserve">  wire           instr_valid_fe;            // Instruction in fetch is valid</t>
  </si>
  <si>
    <t>Coverage of stuck-at faults is estimated for 1/3 of the logic size based on analysis of the wires coverage, listed on sheet "NVIC_DPU", remaining 2/3 is estimated based on coverage estimation done for  "decode" and E-extension decode modules.
Detected sets of faults (corresponding to each of the analysed wire) by multiple test patterns are calculated as for mutually exclusive sets (in contrast to independent).</t>
  </si>
  <si>
    <t xml:space="preserve">  wire           full_hreset_n;            // Always reset signal</t>
  </si>
  <si>
    <t xml:space="preserve">  wire [31:0]    opt_instr_ex;             // Optimised instruction in execute</t>
  </si>
  <si>
    <t xml:space="preserve">  wire           opt_ext_en;               // Ext logic removal</t>
  </si>
  <si>
    <t xml:space="preserve">  wire           opt_fpu_en;               // FPU logic removal</t>
  </si>
  <si>
    <t xml:space="preserve">  wire           opt_obs_en;               // Observation logic removal</t>
  </si>
  <si>
    <t xml:space="preserve">  wire [2:0]     instr_br_pflush_ex;       // Branch pipeline flush</t>
  </si>
  <si>
    <t xml:space="preserve">  wire           instr_dp_pflush_ex;       // DP op pipeline flush</t>
  </si>
  <si>
    <t xml:space="preserve">  wire           rst_pc_valid_ex_we;       // PC reset vector fetch write enable</t>
  </si>
  <si>
    <t xml:space="preserve">  reg            rst_pc_valid_ex;          // PC reset vector fetch completed</t>
  </si>
  <si>
    <t xml:space="preserve">  reg            instr_algn_ex;            // Align data</t>
  </si>
  <si>
    <t xml:space="preserve">  reg  [1:0]     instr_barrier_ex;         // Instruction is a barrier</t>
  </si>
  <si>
    <t xml:space="preserve">  reg            instr_br_t_changer_ex;    // Branch changes T bit</t>
  </si>
  <si>
    <t xml:space="preserve">  reg            instr_czb_ex;             // Instruction is CZB</t>
  </si>
  <si>
    <t xml:space="preserve">  reg            instr_itfold_ex;          // IT folded</t>
  </si>
  <si>
    <t xml:space="preserve">  reg            instr_excl_reg;           // Instruction is an exclusive (reg)</t>
  </si>
  <si>
    <t xml:space="preserve">  reg  [1:0]     instr_pc_lr_ex;           // Link LR into PC</t>
  </si>
  <si>
    <t xml:space="preserve">  reg            instr_immed_valid_ex;     // Immediate valid</t>
  </si>
  <si>
    <t xml:space="preserve">  reg            instr_sign_ex;            // Signed operation or sign extend</t>
  </si>
  <si>
    <t xml:space="preserve">  reg            instr_exit_op_ex;         // Valid exit instruction in execute</t>
  </si>
  <si>
    <t xml:space="preserve">  reg  [1:0]     instr_sp_wr_ex;           // SP write control</t>
  </si>
  <si>
    <t xml:space="preserve">  reg  [4:0]     instr_msr_ctl_ex;         // MSR control</t>
  </si>
  <si>
    <t xml:space="preserve">  reg  [2:0]     instr_cps_ctl_ex;         // CPS control</t>
  </si>
  <si>
    <t xml:space="preserve">  reg  [1:0]     instr_data_size_ex;       // Data size</t>
  </si>
  <si>
    <t xml:space="preserve">  reg            instr_16_mul_ex;          // Instruction is a T1 MUL</t>
  </si>
  <si>
    <t xml:space="preserve">  wire           instr_immed_we;           // Immediate value write enable</t>
  </si>
  <si>
    <t xml:space="preserve">  reg  [31:0]    instr_immed_ex;           // Immediate value</t>
  </si>
  <si>
    <t xml:space="preserve">  reg  [31:0]    instr_ex;                 // Instruction in execute</t>
  </si>
  <si>
    <t xml:space="preserve">  wire           user_thread_we;           // Next thread is user write enable</t>
  </si>
  <si>
    <t xml:space="preserve">  wire           nxt_user_thread_ex;       // Next thread is user mode</t>
  </si>
  <si>
    <t xml:space="preserve">  reg            user_thread_ex;           // Thread is (or will be) user mode</t>
  </si>
  <si>
    <t xml:space="preserve">  wire           privileged;               // Privileged (vs user) mode</t>
  </si>
  <si>
    <t xml:space="preserve">  wire           nxt_instr_valid_ex;       // Next instr in execute is valid</t>
  </si>
  <si>
    <t xml:space="preserve">  reg            instr_valid_ex;           // Instruction in execute is valid</t>
  </si>
  <si>
    <t xml:space="preserve">  wire           instr_not_bkpt_we;        // Instr not a BKPT write enable</t>
  </si>
  <si>
    <t xml:space="preserve">  reg            instr_not_bkpt_ex;        // Instruction is not a BKPT</t>
  </si>
  <si>
    <t xml:space="preserve">  wire           instr_bkpt_we;            // BKPT instruction write enable</t>
  </si>
  <si>
    <t xml:space="preserve">  reg            instr_bkpt_ex;            // Instruction is BKPT</t>
  </si>
  <si>
    <t xml:space="preserve">  wire           instr_copro_we;           // Coprocessor instr write enable</t>
  </si>
  <si>
    <t xml:space="preserve">  reg            instr_copro_ex;           // Instruction is a coprocessor instr</t>
  </si>
  <si>
    <t xml:space="preserve">  wire           instr_svc_we;             // SVC instruction write enable</t>
  </si>
  <si>
    <t xml:space="preserve">  reg            instr_svc_ex;             // Instruction is SVC</t>
  </si>
  <si>
    <t xml:space="preserve">  wire           instr_undef_we;           // UNDEF instruction write enable</t>
  </si>
  <si>
    <t xml:space="preserve">  reg            instr_undef_ex;           // Instruction is an UNDEF</t>
  </si>
  <si>
    <t xml:space="preserve">  wire           instr_txev_ex_we;         // SEV instruction write enable</t>
  </si>
  <si>
    <t xml:space="preserve">  reg            instr_txev_ex;            // Instruction is SEV</t>
  </si>
  <si>
    <t xml:space="preserve">  wire           dpu_slp_txev_ex;          // SEV transmit event</t>
  </si>
  <si>
    <t xml:space="preserve">  wire           instr_wfe_we;             // WFE instruction write enable</t>
  </si>
  <si>
    <t xml:space="preserve">  reg            instr_wfe_ex;             // Instruction is WFE</t>
  </si>
  <si>
    <t xml:space="preserve">  wire           instr_wfi_we;             // WFI instruction write enable</t>
  </si>
  <si>
    <t xml:space="preserve">  reg            instr_wfi_ex;             // Instruction is WFI</t>
  </si>
  <si>
    <t xml:space="preserve">  wire           instr_slp_valid_ex;       // Sleep instruction is valid</t>
  </si>
  <si>
    <t xml:space="preserve">  wire           proc_active_ex;           // lsu, dpu or fpu is active</t>
  </si>
  <si>
    <t xml:space="preserve">  wire           instr_slp_ctl_valid_ex;   // Sleep control signals are valid</t>
  </si>
  <si>
    <t xml:space="preserve">  wire [1:0]     dpu_slp_ctl_ex;           // Sleep control signals</t>
  </si>
  <si>
    <t xml:space="preserve">  wire [2:0]     instr_raisepri_ex;        // Instruction will raise priority</t>
  </si>
  <si>
    <t xml:space="preserve">  wire           dpu_raisepri_ex;          // Operation will raise priority</t>
  </si>
  <si>
    <t xml:space="preserve">  wire           dpu_basepri_we;           // BASEPRI write enable</t>
  </si>
  <si>
    <t xml:space="preserve">  wire [7:0]     dpu_basepri_ex;           // Next BASEPRI value</t>
  </si>
  <si>
    <t xml:space="preserve">  wire           dpu_fmask_clr_ex;         // FAULTMASK clear</t>
  </si>
  <si>
    <t xml:space="preserve">  wire           dpu_fmask_we;             // FAULTMASK write enable</t>
  </si>
  <si>
    <t xml:space="preserve">  wire           dpu_fmask_ex;             // Next FAULTMASK value</t>
  </si>
  <si>
    <t xml:space="preserve">  wire           dpu_pmask_we;             // PRIMASK write enable</t>
  </si>
  <si>
    <t xml:space="preserve">  wire           dpu_pmask_ex;             // Next PRIMASK value</t>
  </si>
  <si>
    <t xml:space="preserve">  wire           instr_detect_exit_ex;     // ISR exit detected</t>
  </si>
  <si>
    <t xml:space="preserve">  wire [8:0]     int_isr_ex;               // Current ISR number</t>
  </si>
  <si>
    <t xml:space="preserve">  wire           int_isr_exit_ex;          // Detect handler exit versus thread</t>
  </si>
  <si>
    <t xml:space="preserve">  wire [4:0]     int_exit_code_ex;         // Exit codes from LSU and ALU</t>
  </si>
  <si>
    <t xml:space="preserve">  wire           instr_atbase_we;          // Core in thread write enable</t>
  </si>
  <si>
    <t xml:space="preserve">  wire           nxt_instr_atbase_ex;      // Next core in thread or handler</t>
  </si>
  <si>
    <t xml:space="preserve">  reg            instr_atbase_ex;          // Core in thread</t>
  </si>
  <si>
    <t xml:space="preserve">  wire           int_lr_exit_code_we;      // Exit code for LR write enable</t>
  </si>
  <si>
    <t xml:space="preserve">  wire [4:0]     nxt_int_lr_exit_code_ex;  // Next exit code for LR</t>
  </si>
  <si>
    <t xml:space="preserve">  reg  [4:0]     int_lr_exit_code_ex;      // Generated exit code for LR</t>
  </si>
  <si>
    <t xml:space="preserve">  reg            int_sp_used;              // SP used for stacking</t>
  </si>
  <si>
    <t xml:space="preserve">  reg            instr_advance_ex;         // Advance instruction</t>
  </si>
  <si>
    <t xml:space="preserve">  wire           instr_complete_ex;        // Instruction has completed</t>
  </si>
  <si>
    <t xml:space="preserve">  wire           instr_retire_ex;          // Instruction has retired</t>
  </si>
  <si>
    <t xml:space="preserve">  wire [1:0]     instr_link_ex;            // Link LR to PC</t>
  </si>
  <si>
    <t xml:space="preserve">  wire           iflush_pflush_ex;         // Pipline flush due to IFLUSH</t>
  </si>
  <si>
    <t xml:space="preserve">  wire           clr_rf_pc_ctl0_ex;        // Clear PC inc [0]</t>
  </si>
  <si>
    <t xml:space="preserve">  wire           rf_pc_ctl0_we;            // PC inc [0] write enable</t>
  </si>
  <si>
    <t xml:space="preserve">  reg            rf_pc_ctl0_ex;            // PC inc [0]</t>
  </si>
  <si>
    <t xml:space="preserve">  wire [1:0]     nxt_rf_pc_ctl1_ex;        // Next PC inc [1]</t>
  </si>
  <si>
    <t xml:space="preserve">  reg  [1:0]     rf_pc_ctl1_ex;            // PC inc [1]</t>
  </si>
  <si>
    <t xml:space="preserve">  wire [1:0]     rf_pc_ctl_ex;             // PC control</t>
  </si>
  <si>
    <t xml:space="preserve">  wire           rf_inc_pc_ex;             // Increment PC</t>
  </si>
  <si>
    <t xml:space="preserve">  wire           rf_rd_a_en_de;            // RF A port read enable</t>
  </si>
  <si>
    <t xml:space="preserve">  wire [3:0]     rf_rd_a_addr_de;          // RF A port read address</t>
  </si>
  <si>
    <t xml:space="preserve">  wire           rf_rd_b_en_de;            // RF B port read enable</t>
  </si>
  <si>
    <t xml:space="preserve">  wire [3:0]     rf_rd_b_addr_de;          // RF B port read address</t>
  </si>
  <si>
    <t xml:space="preserve">  wire           rf_wr_d_en_ex;            // RF D port write enable</t>
  </si>
  <si>
    <t xml:space="preserve">  wire [31:0]    rf_wr_d_data_erly_ex;     // RF D port write data (early)</t>
  </si>
  <si>
    <t xml:space="preserve">  wire [31:0]    rf_wr_d_data_ex;          // RF D port write data</t>
  </si>
  <si>
    <t xml:space="preserve">  wire [3:0]     nxt_rf_wr_d_addr_erly_ex; // Next D port write address (early)</t>
  </si>
  <si>
    <t xml:space="preserve">  reg  [3:0]     rf_wr_d_addr_erly_ex;     // RF D port write address (early)</t>
  </si>
  <si>
    <t xml:space="preserve">  wire           rf_wr_z_en_ex;            // RF Z port write enable</t>
  </si>
  <si>
    <t xml:space="preserve">  wire [3:0]     rf_wr_z_addr_ex;          // RF Z port write address</t>
  </si>
  <si>
    <t xml:space="preserve">  wire [31:0]    rf_wr_z_data_ex;          // RF Z port write data</t>
  </si>
  <si>
    <t xml:space="preserve">  wire [1:0]     rf_sp_rd_de;              // SP read control</t>
  </si>
  <si>
    <t xml:space="preserve">  wire [1:0]     rf_sp_wr_ex;              // SP write control</t>
  </si>
  <si>
    <t xml:space="preserve">  wire           process_sp_we;            // SP main vs process write enable</t>
  </si>
  <si>
    <t xml:space="preserve">  wire           nxt_process_sp_ex;        // Next SP process vs main select</t>
  </si>
  <si>
    <t xml:space="preserve">  reg            process_sp_ex;            // SP process vs main select</t>
  </si>
  <si>
    <t xml:space="preserve">  wire [1:0]     rf_sp_sel_ex;             // SP selection</t>
  </si>
  <si>
    <t xml:space="preserve">  wire           dbg_halt_set;             // Core halt set</t>
  </si>
  <si>
    <t xml:space="preserve">  wire           dbg_halt_clr;             // Core halt clear</t>
  </si>
  <si>
    <t xml:space="preserve">  wire           dbg_halt_we;              // Core halt write enable</t>
  </si>
  <si>
    <t xml:space="preserve">  reg            dbg_halted;               // Core halted</t>
  </si>
  <si>
    <t xml:space="preserve">  wire           dbg_halted_reg_we;        // Registered dbg_halted write enable</t>
  </si>
  <si>
    <t xml:space="preserve">  reg            dbg_halted_reg;           // Core halted (registered)</t>
  </si>
  <si>
    <t xml:space="preserve">  wire           instr_lr_ilock_we;        // LR interlock write enable</t>
  </si>
  <si>
    <t xml:space="preserve">  reg            instr_lr_ilock_ex;        // LR interlock</t>
  </si>
  <si>
    <t xml:space="preserve">  wire           bkpt_stall_set;           // BKPT stall set</t>
  </si>
  <si>
    <t xml:space="preserve">  wire           bkpt_stall_clr;           // BKPT stall clear</t>
  </si>
  <si>
    <t xml:space="preserve">  wire           bkpt_stall_we;            // BKPT stall write enable</t>
  </si>
  <si>
    <t xml:space="preserve">  reg            bkpt_stall_ex;            // BKPT stall</t>
  </si>
  <si>
    <t xml:space="preserve">  wire           nxt_svc_stall_ex;         // Next SVC stall</t>
  </si>
  <si>
    <t xml:space="preserve">  wire           svc_stall_we;             // SVC stall write enable</t>
  </si>
  <si>
    <t xml:space="preserve">  reg            svc_stall_ex;             // SVC stall</t>
  </si>
  <si>
    <t xml:space="preserve">  reg            svc_stall_reg;            // SVC stall registered</t>
  </si>
  <si>
    <t xml:space="preserve">  wire           barrier_stall_ex;         // Barrier stall</t>
  </si>
  <si>
    <t xml:space="preserve">  wire           msr_stall_reg_we;         // MSR stall write enable</t>
  </si>
  <si>
    <t xml:space="preserve">  wire           nxt_msr_stall_reg;        // Next MSR stall</t>
  </si>
  <si>
    <t xml:space="preserve">  reg            msr_stall_reg;            // MSR stall</t>
  </si>
  <si>
    <t xml:space="preserve">  wire           msr_stall_ex;             // MSR stall</t>
  </si>
  <si>
    <t xml:space="preserve">  wire           sleep_stall_ex;           // Sleep stall</t>
  </si>
  <si>
    <t xml:space="preserve">  wire           dbg_stall;                // Debug stall</t>
  </si>
  <si>
    <t xml:space="preserve">  wire           fault_stall_ex;           // Fault stall</t>
  </si>
  <si>
    <t xml:space="preserve">  wire           non_instr_stall;          // Non instruction based stall</t>
  </si>
  <si>
    <t xml:space="preserve">  wire [3:0]     instr_stall_ex;           // Instruction based stall</t>
  </si>
  <si>
    <t xml:space="preserve">  wire           instr_mcyc_ilock_ex;      // Multicycle operation interlock</t>
  </si>
  <si>
    <t xml:space="preserve">  wire           dpu_mcyc_invk_msk;        // Multi-cycle interrupt mask to NVIC</t>
  </si>
  <si>
    <t xml:space="preserve">  wire           fault_undef_ex;           // Undefined instruction fault</t>
  </si>
  <si>
    <t xml:space="preserve">  wire           fault_nocopro_ex;         // Coprocessor instruction fault</t>
  </si>
  <si>
    <t xml:space="preserve">  wire           fault_svc_ex;             // SVC fault</t>
  </si>
  <si>
    <t xml:space="preserve">  wire           fault_state_we;           // T bit fault write enable</t>
  </si>
  <si>
    <t xml:space="preserve">  reg            fault_state_ex;           // T bit fault</t>
  </si>
  <si>
    <t xml:space="preserve">  wire           fault_fetch_we;           // Fetch fault write enable</t>
  </si>
  <si>
    <t xml:space="preserve">  reg  [1:0]     fault_fetch_ex;           // Fetch fault</t>
  </si>
  <si>
    <t xml:space="preserve">  wire           fault_ici_we;             // ICI fault write enable</t>
  </si>
  <si>
    <t xml:space="preserve">  reg            fault_ici_ex;             // ICI fault</t>
  </si>
  <si>
    <t xml:space="preserve">  wire           nxt_int_exit_err_ex;      // Next ISR exit error</t>
  </si>
  <si>
    <t xml:space="preserve">  wire           int_exit_err_we;          // ISR exit error write enable</t>
  </si>
  <si>
    <t xml:space="preserve">  reg            int_exit_err_ex;          // ISR exit error</t>
  </si>
  <si>
    <t xml:space="preserve">  reg            int_exit_err_reg;         // ISR exit error (registered)</t>
  </si>
  <si>
    <t xml:space="preserve">  wire [1:0]     fault_exit_ex;            // ISR exit fault</t>
  </si>
  <si>
    <t xml:space="preserve">  wire           fault_dblfault_ex;        // Double fault</t>
  </si>
  <si>
    <t xml:space="preserve">  wire [1:0]     nxt_fault_detected_ex;    // Next fault detected</t>
  </si>
  <si>
    <t xml:space="preserve">  wire           fault_detected_we;        // Fault detected write enable</t>
  </si>
  <si>
    <t xml:space="preserve">  reg  [1:0]     fault_detected_ex;        // Fault detected</t>
  </si>
  <si>
    <t xml:space="preserve">  wire           set_instr_redo_ex;        // Set instr_redo_ex</t>
  </si>
  <si>
    <t xml:space="preserve">  wire           instr_redo_we;            // instr_redo_ex write enable</t>
  </si>
  <si>
    <t xml:space="preserve">  reg            instr_redo_ex;            // Instruction will be redone</t>
  </si>
  <si>
    <t xml:space="preserve">  wire [5:0]     dpu_nxt_bfsr;             // Next BFSR value</t>
  </si>
  <si>
    <t xml:space="preserve">  wire [4:0]     dpu_nxt_mfsr;             // Next MFSR value</t>
  </si>
  <si>
    <t xml:space="preserve">  wire [9:0]     dpu_nxt_ufsr;             // Next UFSR value</t>
  </si>
  <si>
    <t xml:space="preserve">  wire           dpu_nxt_hfsr;             // Next HFSR value</t>
  </si>
  <si>
    <t xml:space="preserve">  wire           fpu_ctrl_we;              // update_ctrl with CC info</t>
  </si>
  <si>
    <t xml:space="preserve">  wire           fpu_active_ex;            // CONTROL[2] - FPU active</t>
  </si>
  <si>
    <t xml:space="preserve">  wire           fpu_active_we;            // CONTROL[2] write enable</t>
  </si>
  <si>
    <t xml:space="preserve">  wire           nxt_fpu_active_ex;        // Next value for CONTROL[2]</t>
  </si>
  <si>
    <t xml:space="preserve">  reg            fpu_active_int;           // FPU context valid</t>
  </si>
  <si>
    <t xml:space="preserve">  wire           frc_context_we;           // frc_context_ex write enable</t>
  </si>
  <si>
    <t xml:space="preserve">  reg            frc_context_ex;           // Force valid FPU context</t>
  </si>
  <si>
    <t>"Fetch" module internal wires</t>
  </si>
  <si>
    <t>"Exec" module internal wires</t>
  </si>
  <si>
    <t>1) Based on the analysis of the Exec module logic, as well as NVIC_DPU interface signals, it is estimated 30% of the Exec logic relates to processing of interrupts and exceptions. This 1 / 3 of the logic coverage can be estimated based on detection status of the ports listed on NVIC_PDU sheet.
2) Coverage of remaining 2 / 3 of the Exec module can be done based on the coverage estimated for "decode" and E-extension decode modules, also taking into consideration wires listed on sheet "exec_estimation".</t>
  </si>
  <si>
    <t xml:space="preserve">  wire           opt_ext_en;               // Logic removal for extensions</t>
  </si>
  <si>
    <t xml:space="preserve">  wire           opt_fpu_en;               // Logic removal for FPU</t>
  </si>
  <si>
    <t xml:space="preserve">  wire           instr_it_de;              // IT in decode</t>
  </si>
  <si>
    <t xml:space="preserve">  wire           instr_it_valid_de;        // IT decoded</t>
  </si>
  <si>
    <t xml:space="preserve">  reg            instr_itflgscc_ex;        // Flag setting cc pass in IT block</t>
  </si>
  <si>
    <t xml:space="preserve">  reg  [3:0]     instr_cond_code_ex;       // Instruction condition code</t>
  </si>
  <si>
    <t xml:space="preserve">  reg            instr_itfccpass_ex;       // IT folded onto CC passing instr</t>
  </si>
  <si>
    <t xml:space="preserve">  reg            instr_itfnonit_ex;        // IT folded onto non IT block</t>
  </si>
  <si>
    <t xml:space="preserve">  wire           instr_it_valid_we;        // IT valid write enable</t>
  </si>
  <si>
    <t xml:space="preserve">  wire           nxt_instr_it_valid_ex;    // Next IT valid</t>
  </si>
  <si>
    <t xml:space="preserve">  reg            instr_it_valid_ex;        // IT in execute</t>
  </si>
  <si>
    <t xml:space="preserve">  wire           t_bit_br_ex;              // Branch T bit write enable</t>
  </si>
  <si>
    <t xml:space="preserve">  wire           psr_t_we;                 // T bit write enable</t>
  </si>
  <si>
    <t xml:space="preserve">  wire           nxt_psr_t_ex;             // Next T bit</t>
  </si>
  <si>
    <t xml:space="preserve">  reg            psr_t_ex;                 // T bit</t>
  </si>
  <si>
    <t xml:space="preserve">  wire           instr_it_advance_de;      // Advance IT reg</t>
  </si>
  <si>
    <t xml:space="preserve">  wire [4:0]     it_reg_sel_ex;            // IT next value selector</t>
  </si>
  <si>
    <t xml:space="preserve">  wire           lsu_it_reg_valid_ex;      // LSU IT value is valid</t>
  </si>
  <si>
    <t xml:space="preserve">  wire [7:0]     lsu_it_reg_ex;            // LSU IT value</t>
  </si>
  <si>
    <t xml:space="preserve">  wire [7:0]     advance_it_reg_ex;        // IT register advanced</t>
  </si>
  <si>
    <t xml:space="preserve">  wire [7:0]     rewind_it_reg_ex;         // IT register rewound</t>
  </si>
  <si>
    <t xml:space="preserve">  wire [7:0]     nxt_it_reg_ex;            // Next IT register value</t>
  </si>
  <si>
    <t xml:space="preserve">  wire           it_reg_we;                // IT register write enable</t>
  </si>
  <si>
    <t xml:space="preserve">  wire           it_skid_we;               // IT skidn reg write enable</t>
  </si>
  <si>
    <t xml:space="preserve">  reg  [7:0]     it_reg_ex;                // IT register</t>
  </si>
  <si>
    <t xml:space="preserve">  wire [5:0]     nxt_it_skid_ex;           // Next IT register skid info</t>
  </si>
  <si>
    <t xml:space="preserve">  reg  [5:0]     it_skid_ex;               // IT register skid info</t>
  </si>
  <si>
    <t xml:space="preserve">  wire           instr_itfnonit_de;        // IT folded onto non IT block</t>
  </si>
  <si>
    <t xml:space="preserve">  wire           instr_itblock_de;         // In IT block (De)</t>
  </si>
  <si>
    <t xml:space="preserve">  wire           instr_itblock_ex;         // In IT block (Ex)</t>
  </si>
  <si>
    <t xml:space="preserve">  wire           instr_itccfail_de;        // Condition code fail IT</t>
  </si>
  <si>
    <t xml:space="preserve">  wire [4:0]     flags_sel_ex;             // Flags next value selector</t>
  </si>
  <si>
    <t xml:space="preserve">  wire           flags_we;                 // Flags write enable</t>
  </si>
  <si>
    <t xml:space="preserve">  wire [4:0]     alu_flags_ex;             // ALU flags result</t>
  </si>
  <si>
    <t xml:space="preserve">  wire [4:0]     e_mac_flags_ex;           // MAC flags result</t>
  </si>
  <si>
    <t xml:space="preserve">  wire [4:0]     simd_flags_ex;            // SIMD flags result</t>
  </si>
  <si>
    <t xml:space="preserve">  wire [4:0]     nxt_flags_ex;             // Next flags value</t>
  </si>
  <si>
    <t xml:space="preserve">  reg  [4:0]     flags_ex;                 // Flags {N,Z,C,V,Q}</t>
  </si>
  <si>
    <t xml:space="preserve">  wire [4:0]     psr_flags_ex;             // PSR flags value (inc Q skid)</t>
  </si>
  <si>
    <t xml:space="preserve">  wire           psr_ge_we;                // GE bits write enable</t>
  </si>
  <si>
    <t xml:space="preserve">  wire [3:0]     nxt_psr_ge_ex;            // Next GE bits</t>
  </si>
  <si>
    <t xml:space="preserve">  reg  [3:0]     ipsr_ge_ex;               // GE bits</t>
  </si>
  <si>
    <t xml:space="preserve">  wire [3:0]     psr_ge_ex;                // GE bits</t>
  </si>
  <si>
    <t xml:space="preserve">  wire           sel_adv_it_ex;            // Select advanced IT reg value</t>
  </si>
  <si>
    <t xml:space="preserve">  wire           sel_rew_it_ex;            // Select rewound IT reg value</t>
  </si>
  <si>
    <t xml:space="preserve">  wire           sel_cur_it_ex;            // Select current IT reg value</t>
  </si>
  <si>
    <t xml:space="preserve">  wire [7:0]     psr_it_reg_ex;            // IT reg to be used in PSR</t>
  </si>
  <si>
    <t xml:space="preserve">  wire [31:0]    psr_ex;                   // PSR</t>
  </si>
  <si>
    <t xml:space="preserve">  wire           sel_n_alu_ex;             // Select ALU N flag</t>
  </si>
  <si>
    <t xml:space="preserve">  wire           sel_n_mac_ex;             // Select MAC N flag</t>
  </si>
  <si>
    <t xml:space="preserve">  wire           sel_n_mul_ex;             // Select mul N flag</t>
  </si>
  <si>
    <t xml:space="preserve">  wire           sel_n_fpu_ex;             // Select FPU N flag</t>
  </si>
  <si>
    <t xml:space="preserve">  wire           sel_n_cur_ex;             // Select current N flag</t>
  </si>
  <si>
    <t xml:space="preserve">  wire           alu_nflag_ex;             // ALU N flag result</t>
  </si>
  <si>
    <t xml:space="preserve">  wire           sel_z_alu_ex;             // Select ALU Z flag</t>
  </si>
  <si>
    <t xml:space="preserve">  wire           sel_z_mac_ex;             // Select MAC Z flag</t>
  </si>
  <si>
    <t xml:space="preserve">  wire           sel_z_mul_ex;             // Select mul Z flag</t>
  </si>
  <si>
    <t xml:space="preserve">  wire           sel_z_fpu_ex;             // Select FPU Z flag</t>
  </si>
  <si>
    <t xml:space="preserve">  wire           sel_z_cur_ex;             // Select current Z flag</t>
  </si>
  <si>
    <t xml:space="preserve">  wire           alu_zflag_ex;             // ALU Z flag result</t>
  </si>
  <si>
    <t xml:space="preserve">  wire           sel_c_fpu_ex;             // Select FPU C flag</t>
  </si>
  <si>
    <t xml:space="preserve">  wire           sel_c_cur_ex;             // Select current C flag</t>
  </si>
  <si>
    <t xml:space="preserve">  wire           alu_cflag_ex;             // ALU C flag result</t>
  </si>
  <si>
    <t xml:space="preserve">  wire           sel_v_fpu_ex;             // Select FPU V flag</t>
  </si>
  <si>
    <t xml:space="preserve">  wire           sel_v_cur_ex;             // Select current V flag</t>
  </si>
  <si>
    <t xml:space="preserve">  wire           alu_vflag_ex;             // ALU V flag result</t>
  </si>
  <si>
    <t xml:space="preserve">  wire           redo_it_ex;               // Will redo IT</t>
  </si>
  <si>
    <t xml:space="preserve">  wire           use_it_reg_ex;            // Use unadvanced IT in cc</t>
  </si>
  <si>
    <t xml:space="preserve">  wire           use_it_adv_ex;            // Use   advanced IT in cc</t>
  </si>
  <si>
    <t xml:space="preserve">  wire           use_it_br_de;             // Use branch CC</t>
  </si>
  <si>
    <t xml:space="preserve">  wire [3:0]     instr_cc_sel_de;          // Condition code mux select (De)</t>
  </si>
  <si>
    <t xml:space="preserve">  wire           instr_ccpass_de;          // Condition code pass (De)</t>
  </si>
  <si>
    <t xml:space="preserve">  wire [3:0]     instr_cc_sel_ex;          // Condition code mux select (Ex)</t>
  </si>
  <si>
    <t xml:space="preserve">  wire           instr_cc_c_ex;            // Condition code (Ex)</t>
  </si>
  <si>
    <t xml:space="preserve">  wire           instr_cc_res_ex;          // CC mux selection/IT fold result</t>
  </si>
  <si>
    <t xml:space="preserve">  wire           instr_ccpass_ex;          // Condition code pass (Ex)</t>
  </si>
  <si>
    <t>"Status" module internal wires</t>
  </si>
  <si>
    <t>1) Based on the analysis of the Fetch module logic, as well as NVIC_DPU interface signals, it is estimated 30% of the Fetch logic relates to processing of interrupts and exceptions. This 1 / 3 of the logic coverage can be estimated based on detection status of the ports listed on NVIC_PDU sheet.
2) Coverage of remaining 2 / 3 of the Fetch module can be done based on the coverage estimated for "decode" and E-extension decode modules also taking into consideration wires listed on sheet "fetch_estimation".</t>
  </si>
  <si>
    <t>Logic of the decoder is completely initialized by a single opcode of a decoded instruction meaning that not only the group of gates recognizing the given instruction as valid are initialized, but also all other groups of gates are initialized as well. The related to the decoded instruction dangerous short faults can be claimed as detected in the same manner as stuck-at faults. This claim is possible mainly due to a gate structure of the decoder logic allowing claiming a detected by each instruction set of faults as mutually exclusive sets.</t>
  </si>
  <si>
    <t>As detected sets of faults (corresponding to each of the analysed wire) by multiple test patterns are calculated as for mutually exclusive sets (in contrast to independent), the all related to each test pattern dengerous short faults can be estimated as detected, so the same coverage can be claimed as for stuck-at faults, multiplied by the relative size of the area challenged by the test patterns targeting stuck-at faults.</t>
  </si>
  <si>
    <t>Coverage of the "status" module can be done based on the coverage estimated of the wires listed on sheet "status_estimation" according to the overall number of applied test patters within the included core tests.</t>
  </si>
  <si>
    <t>1.0-D02</t>
  </si>
  <si>
    <t>Reviewed intermediate version.
Handed-over to Roman Chovanec and Martin Vlk.</t>
  </si>
  <si>
    <t>No</t>
  </si>
  <si>
    <t>Yes</t>
  </si>
  <si>
    <t>Load / store unit
- LSU AHB interface and associated control
- Main LSU control</t>
  </si>
  <si>
    <t>Debug</t>
  </si>
  <si>
    <t>See, RTL "LSU pipe flush for double faults"</t>
  </si>
  <si>
    <t>See, RTL "Signals to deal with disabling interrupt multi-cycle operations"</t>
  </si>
  <si>
    <t>See, RTL "LSU request for PC adjustment"</t>
  </si>
  <si>
    <t>coverage estimation</t>
  </si>
  <si>
    <t>Non testable</t>
  </si>
  <si>
    <t>LSU - covered by tests</t>
  </si>
  <si>
    <t xml:space="preserve"> </t>
  </si>
  <si>
    <t>LSU - all</t>
  </si>
  <si>
    <t>Fetch - covered by tests</t>
  </si>
  <si>
    <t>Fetch - all</t>
  </si>
  <si>
    <t>the same as in row above, but taking into account 50% portion of faults in case 2 and 98% of tested instructions</t>
  </si>
  <si>
    <t>m4_scst_exception_test_hard_fault</t>
  </si>
  <si>
    <t>Exec - covered by tests</t>
  </si>
  <si>
    <t>Exec - all</t>
  </si>
  <si>
    <t>Status - covered by tests</t>
  </si>
  <si>
    <t>Status - all</t>
  </si>
  <si>
    <t>probability of detection an open fault by 6x test patterns</t>
  </si>
  <si>
    <t>probability of not detection an open fault by 6x test patterns</t>
  </si>
  <si>
    <t>probability of not detection a race-condition in combination with an open fault by 6x test patterns</t>
  </si>
  <si>
    <t>probability of detection a race-condition in combination with an open fault by 6x test patterns</t>
  </si>
  <si>
    <t>Probability of detecting one "open" fault with a single test pattern is 0.5. In average, 6x test patterns are applied across cm4_dpu_e_simdsat sub-modules. Result of application of every pattern is explicitly checked.</t>
  </si>
  <si>
    <t xml:space="preserve">Status coverage estimation: </t>
  </si>
  <si>
    <r>
      <rPr>
        <b/>
        <sz val="10"/>
        <rFont val="Arial"/>
        <family val="2"/>
      </rPr>
      <t>Exec coverage estimation:</t>
    </r>
    <r>
      <rPr>
        <sz val="10"/>
        <rFont val="Arial"/>
        <family val="2"/>
      </rPr>
      <t xml:space="preserve"> </t>
    </r>
  </si>
  <si>
    <t xml:space="preserve">NVIC_DPU - Status coverage: </t>
  </si>
  <si>
    <t>NVIC_DPU - Exec coverage:</t>
  </si>
  <si>
    <t xml:space="preserve">NVIC_DPU - Fetch coverage:  </t>
  </si>
  <si>
    <t xml:space="preserve">NVIC_DPU - LSU coverage: </t>
  </si>
  <si>
    <t>All executed instructions across all core tests, result of which is explicitly tested.
Only very limited number of illegal opcodes are tested, mainly within testing illegal opcode exception and not the logic decoding illegal opcodes themselves.</t>
  </si>
  <si>
    <t>m4_scst_alu_test1
m4_scst_alu_test2
m4_scst_alu_test3
m4_scst_alu_test4
m4_scst_alu_test5
m4_scst_alu_test6
m4_scst_alu_test7</t>
  </si>
  <si>
    <t>POWER(0.5,6)</t>
  </si>
  <si>
    <t>1-POWER(0.5,6)</t>
  </si>
  <si>
    <t>0.999*0.5*(1-POWER(0.5,6))</t>
  </si>
  <si>
    <t>1-POWER(0.75,6)</t>
  </si>
  <si>
    <t>POWER(0.75,6)</t>
  </si>
  <si>
    <t>Fetch unit with 3 entry prefetcher and branch forwarding behaviour. Vector table load in parallel to the ISR stacking
- Fetch unit AHB interface &amp; fetch buffer
- Fetch unit state machine &amp; RF control</t>
  </si>
  <si>
    <t>Fetch coverage estimation:</t>
  </si>
  <si>
    <t>m4_scst_exception_test_svc
m4_scst_exception_test_hard_fault</t>
  </si>
  <si>
    <t xml:space="preserve">UMLAL/SMLAL instruction takes input from 4 read ports and writes result to 2 write ports. It is assured that the operands are propagated to the MAC module from the regbank output ports and not from the forwarding logic by executing e.g. ISB instruction before every MAC command (non-forwarded read).  Besides this, the following conditions created for testing:
 - every register is used as input register on read port A (ex stage)
 - every register is used as input register on read port B (ex stage)
 - every register is used as input register on read port X (ex stage)
 - every register is used as input register on read port Y (ex stage)
 - every register is used as output register on write port D
 - every register is used as output register on write port Z
 PC and LR are tested by means of branch commands to two different areas of address space.
</t>
  </si>
  <si>
    <t>Short fault coverage within part 1) can be estimated proportionally to the number of tested wires (as for mutually exclusive sets of faults).
Short fault coverage for part 2) is done as for independed sets of faults detected by multiple test patterns. It is estimated a probability of constitution of "short"-fault according to scenario 1 (sheet d.c. fault estimation) is 50%, and probability of constitution of "short"-fault according to scenario 2 is remaining 50%.
Coverage is dettermined based on the estimated number of applied test patterns and corresponding values are taken from columns J and K on "lookup" sheet.</t>
  </si>
  <si>
    <t>Stuck-at fault in the decoder may lead either to: 1) an instruction is not decoded as valid and intended instruction, or 2) decoder signals decoding of multiple instructions (including the intended one) simultaneously resulting in multiple execution units to produce a result that is to be stored to target registers creating a race-condition. In both cases, coverage estimated proportionally to the number of tested instructions. In 2nd case, number of testing of each instruction in avarage is taken into account in addition.
It is estimated, case 1 occures in 50% of all possible faulty cases, and case 2 - in the remaining 50%. It is estimated, probability of detecting a race-condition in 2nd case with a one-time executed instruction is 50%.
Decoder logic supports decoding of 97 instructions and instruction related data.
It is estimated, a single test pattern (a single executed instruction, result of which is explicitly verified) achieves 1.03% (1 / 97) of the overall decoder stuck-at fault coverage.
It is estimated, 100% (97) of all valid instructions are executed in total. It is estimated, every instruction is executed 6x times in avarage.
Probability of fault detection by multiple test patterns are calculated as for mutually-exclusive events (in contrast to independent).</t>
  </si>
  <si>
    <t>Probability of detecting one "open" fault with a single test pattern is 0.5. It is estimated that every instruction is executed 6x times on avarage.</t>
  </si>
  <si>
    <t>It is assumed, every location of stuck-open fault is set in accordance to application of 6x test patterns (it is estimated , every instruction is executed 4x times).</t>
  </si>
  <si>
    <t>With 6x test patterns, it is possible to</t>
  </si>
  <si>
    <t>get 11x 0 -&gt; 1 -&gt; 0 transitions out of 16</t>
  </si>
  <si>
    <t>TP5</t>
  </si>
  <si>
    <t>TP6</t>
  </si>
  <si>
    <t>Coverage of stuck-open faults is not done separately for case 1 and case 2 for making the estimation simpler. On one side, possible race-condition in case 2 may lead to decreased coverage of these faults because some expected value and some time is not set as expected within 0 -&gt; 1 - &gt; 0 transition. On the other side, possible race condition may cause more than currently accounted 11x 0 -&gt; 1 - &gt; 0 transisions leading to higher coverage.</t>
  </si>
  <si>
    <t>We assume that at least 6x test patterns are applied, then estimation can be done probabilistically as shown in cells H12:M28 on "d.c. fault estimation sheet.  And then multiply by the relative size of the area challenged by the test patterns targeting stuck-at faults.</t>
  </si>
  <si>
    <t>It is estimated that 6x test patterns are applied to corresponding possible faulty location on avarage. Probability of causing at least one 0 -&gt; 1 -&gt; 0 transition is calculated on "d.c. fault estimation" sheet.</t>
  </si>
  <si>
    <t>Similarly to "open" faults, estimation should be done for the probability of causing a 0 -1 - 0 transition for each of the wire. If at least 3x test patterns are applied, then estimation can be done probabilistically as shown in cells H12:M28 on "d.c. fault estimation sheet.  And then multiply by the relative size of the area challenged by the test patterns targeting stuck-at faults.</t>
  </si>
  <si>
    <t>It is estimated. the applied patterns cause 0-1-0 signal value transition within the 50%  portion of logic for which corresponding stuck-at faults are estimated to be detected.</t>
  </si>
  <si>
    <t>Similarly to "open" faults, estimation should be done for the probability of causing a 0 -1 - 0 transition for each of the wire separately for each of the part. If at least 6x test patterns are applied, then estimation can be done probabilistically as shown in cells H12:M28 on "d.c. fault estimation sheet.  And then multiply by the relative size of the area challenged by the test patterns targeting stuck-at faults.</t>
  </si>
  <si>
    <t>Roman Chovanec</t>
  </si>
  <si>
    <t>Cortex-M4 Structural Core Self Test Library</t>
  </si>
  <si>
    <t>Fault Coverage Estimation Report</t>
  </si>
  <si>
    <t>The document was prepared using best effort.  The authors make no warranty of any kind and shall not be liable in any event for incidental or consequential damages in connection with the application of the document.</t>
  </si>
  <si>
    <t>In-scope of SCST except of FPU unit</t>
  </si>
  <si>
    <t>m4_scst_exception_test_bus_fault
m4_scst_exception_test_handler_thread
m4_scst_exception_test_hard_fault
m4_scst_exception_test_masking
m4_scst_exception_test_mem_fault
m4_scst_exception_test_nmihf
m4_scst_exception_test_pendsv
m4_scst_exception_test_svc
m4_scst_exception_test_systick
m4_scst_exception_test_tail_chain
m4_scst_exception_test_usage_fault</t>
  </si>
  <si>
    <t>It is estimated 300x test patterns are applied for detecting short-faults.
Assumption: probability of constitution of "short"-fault according to scenario 1 (sheet d.c. fault estimation) is 50%, and probability of constitution of "short"-fault according to scenario 2 is remaining 50%.</t>
  </si>
  <si>
    <t>1) Based on the analysis of the LSU module logic, as well as NVIC_DPU interface signals, it is estimated 1/3 of the LSU logic relates to processing of interrupts and exceptions. This 1 / 3 of the logic coverage can be estimated based on detection status of the ports listed on NVIC_PDU sheet.
2) Coverage of remaining 2 / 3 of the LSU module logic can be based on estimation of the wires coverage, listed on the "lsu_estimation" sheet. This includes load / store of different data patterns of different size to at least 2x different target locations using all implemented load / store instructions, including conditional execution of instructions.</t>
  </si>
  <si>
    <t>Probability of detecting one "open" fault with a single test pattern is 0.5. In average, 6x test patters are applied across ALU sub-modules. Result of application of every pattern is explicitly checked.</t>
  </si>
  <si>
    <t>m4_scst_loadstore_test1
m4_scst_loadstore_test2
m4_scst_loadstore_test3
m4_scst_loadstore_test4
m4_scst_loadstore_test5
m4_scst_loadstore_test6
m4_scst_mac_test1
m4_scst_mac_test2
m4_scst_alu_test1
m4_scst_alu_test2
m4_scst_alu_test3
m4_scst_alu_test4
m4_scst_alu_test5
m4_scst_alu_test6
m4_scst_alu_test7
m4_scst_simdsat_test1
m4_scst_simdsat_test2
m4_scst_simdsat_test3
m4_scst_simdsat_test4
m4_scst_branch_test1
m4_scst_branch_test2
m4_scst_branch_test3
m4_scst_status_test1
m4_scst_status_test2
m4_scst_status_test3</t>
  </si>
  <si>
    <t>m4_scst_simdsat_test1
m4_scst_simdsat_test2
m4_scst_simdsat_test3
m4_scst_simdsat_test4</t>
  </si>
  <si>
    <t xml:space="preserve">Logic related part 1) (see logic description in column C) is challenged by 3x different test patterns in average, targeting detection of short-faults. It is estimated, 99% registers are explicitly tested.
It is assumed, in part 1) probability of constitution of "short"-fault according to scenario 1 (sheet d.c. fault estimation) is 50%, and probability of constitution of "short"-fault according to scenario 2 is remaining 50%.
Test patterns for detecting stuck-at faults in register multiplexors (short-fault coverage is estimated based on stuck-at fault detection status according to the multiple scenarious of short-fault constitution) are defined and applied according the same approach as used within "proxy-fault-simulation" method for multiplexors, showing 55% coverage in case all registers tested. Scaling factor is applied to take into account only 99% of explicitly tested registers.
Probability of fault detection by multiple test patterns are calculated as for mutually-exclusive events (in contrast to independent).
</t>
  </si>
  <si>
    <t>Probability of detecting one "open" fault with a single test pattern is 0.5. We estimated that 6 test patterns in avarage are applied to each of the wire which is claimed as tested within stuck-at fault coverage estimation for the 1 / 3 of the part related to exception logic, and for the remaining 2/3 of the logic (in this case coverage is estimates based on the coverage for for "decode" and E-extension decode modules). And then multiply by the relative size of the area challenged by the test patterns targeting stuck-at faults.</t>
  </si>
  <si>
    <r>
      <t>Probability of detecting one "open" fault with a single test pattern is 0.5. In avarage</t>
    </r>
    <r>
      <rPr>
        <sz val="10"/>
        <color theme="1"/>
        <rFont val="Arial"/>
        <family val="2"/>
      </rPr>
      <t>, 6x test patters are applied to every register and port</t>
    </r>
    <r>
      <rPr>
        <sz val="10"/>
        <rFont val="Arial"/>
        <family val="2"/>
      </rPr>
      <t>. Result of application of every pattern is explicitly checked.</t>
    </r>
  </si>
  <si>
    <t xml:space="preserve">Similarly to "open" faults, estimation should be done for the probability of causing a 0 -1 - 0 transition for each of the wire. If at least 3x test patterns are applied, then estimation can be done probabilistically as shown in cells H12:M28 on "d.c. fault estimation sheet.  And then multiply by the relative size of the area challenged by the test patterns targeting stuck-at faults.
</t>
  </si>
  <si>
    <t>Thumb 16bit instruction decode unit
Thumb 32bit instruction decode unit
Branch decode unit</t>
  </si>
  <si>
    <t>m4_scst_status_test1
m4_scst_status_test2
m4_scst_status_test3</t>
  </si>
  <si>
    <t>m4_scst_loadstore_test1
m4_scst_loadstore_test2
m4_scst_loadstore_test3
m4_scst_loadstore_test4
m4_scst_loadstore_test5
m4_scst_loadstore_test6</t>
  </si>
  <si>
    <t>m4_scst_branch_test1
m4_scst_branch_test2
m4_scst_branch_test3
m4_scst_fetch_test</t>
  </si>
  <si>
    <t>Covered mainly by the exception tests.</t>
  </si>
  <si>
    <t xml:space="preserve">m4_scst_simdsat_test1
m4_scst_simdsat_test2
m4_scst_simdsat_test3
m4_scst_simdsat_test4
</t>
  </si>
  <si>
    <t>m4_scst_regbank_test1
m4_scst_regbank_test2
m4_scst_regbank_test3
m4_scst_mac_test1
m4_scst_mac_test2</t>
  </si>
  <si>
    <t>Propbability of Stuck-Open fault detection is very high because at least 9 tests vectors with inverted values were applied. We can claim the same coverage as for stuck-at faults.</t>
  </si>
  <si>
    <t>Coverage of stuck-at faults is estimated for 1/3 of the logic size based on analysis of the wires coverage, listed on sheet "NVIC_DPU", remaining 2/3 is estimated based on coverage estimation done for  "fetch" module.</t>
  </si>
  <si>
    <t>Coverage of stuck-at faults is estimated for 1/3 of the logic size based on analysis of the wires coverage, listed on sheet "NVIC_DPU", remaining 2/3 is estimated based on coverage estimation done for  "LSU" module.</t>
  </si>
  <si>
    <t>It is assumed, every location of stuck-open fault is set in accordance to application of 6x test patterns (it is estimated , every instruction is executed 6x times).</t>
  </si>
  <si>
    <r>
      <t xml:space="preserve">Logic of the ALU module is covered completely:
 - All bits in input and output operands are forced to '0' and '1'.
 - Every operation realized within ALU sub-module and listed in column C is explicitly executed and checked for multiple sets of operands.
 - 5x test patterns are taken for divider array based on "proxy-fault-simulation" method.
</t>
    </r>
    <r>
      <rPr>
        <sz val="10"/>
        <rFont val="Arial"/>
        <family val="2"/>
      </rPr>
      <t xml:space="preserve">
 - For shift operation: all possible number of shift count, shift of '0' and '1' bit from every source position to every target position.</t>
    </r>
    <r>
      <rPr>
        <i/>
        <sz val="10"/>
        <color rgb="FFFF0000"/>
        <rFont val="Arial"/>
        <family val="2"/>
      </rPr>
      <t xml:space="preserve">
</t>
    </r>
    <r>
      <rPr>
        <sz val="10"/>
        <rFont val="Arial"/>
        <family val="2"/>
      </rPr>
      <t xml:space="preserve"> - All possible number of leading zero-value bits for "count leading zero" command is tested.
In total, 100x test patterns are applied for detecting stuck-at faults within different areas of the ALU logic.
It is estimated, a single test pattern achieves 5% of the overall ALU stuck-at fault coverage (according to the experience gained during fault-graded core self test development for other cores of comparable complexity).
Probability of fault detection by multiple test patterns are calculated as for independent events (in contrast to mutually-exclusive).</t>
    </r>
  </si>
  <si>
    <t>Stuck-at fault in the decoder may lead either to: 1) an instruction is not decoded as valid and intended instruction, or 2) decoder signals decoding of multiple instructions (including the intended one) simultaneously resulting in multiple execution units to produce a result that is to be stored to target registers creating a race-condition, or different results to multiple registers. In both cases, coverage estimated proportionally to the number of tested instructions. In 2nd case, number of testing of each instruction in avarage is taken into account in addition.
It is estimated, case 1 occures in 50% of all possible faulty cases, and case 2 - in the remaining 50%. It is estimated, probability of detecting a race-condition in 2nd case with a one-time executed instruction is 50%.
Decoder logic supports decoding of 357 instructions and instruction related data.
It is estimated, a single test pattern (a single executed instruction, result of which is explicitly verified) achieves 0.28% (1 / 357) of the overall decoder stuck-at fault coverage.
It is estimated, 99% of all valid instructions are executed in total. It is estimated, every instruction is executed 6x times in avarage.
Probability of fault detection by multiple test patterns are calculated as for mutually-exclusive events (in contrast to independent).</t>
  </si>
  <si>
    <t>0.99*0.5*(1-POWER(0.5,6))</t>
  </si>
  <si>
    <t>0.99*0.5*(1-POWER(0.75,6))</t>
  </si>
  <si>
    <t>"short"-fault coverage estimation for "cm4_dpu_alu" and "cm4_dpu_e.cm4_dpu_e_simdsat" sub-modules:</t>
  </si>
  <si>
    <t>the same as in row above, but taking into account 50% portion of faults in case 1 and 99% of tested instructions</t>
  </si>
  <si>
    <t>Probability of detecting one "open" fault with a single test pattern is 0.5. It is estimated that 6x test patterns are applied to corresponding possible faulty location on avarage.</t>
  </si>
  <si>
    <t>0.999*0.5*(1-POWER(0.75,6))</t>
  </si>
  <si>
    <t>the same as in row above, but taking into account 50% portion of faults in case 2 and 99% of tested instructions</t>
  </si>
  <si>
    <t>Probability of detecting one "open" fault with a single test pattern is 0.5. We estimated that 6 test patterns in avarage are applied to each of the wire which is claimed as tested within stuck-at fault coverage estimation. And then multiply by the relative size of the area challenged by the test patterns targeting stuck-at faults.</t>
  </si>
  <si>
    <t>Coverage of stuck-at faults is estimated for 1/3 of the logic size based on analysis of the wires coverage, listed on sheet "NVIC_DPU", remaining 2/3 is estimated based on coverage estimation done for  "status" module.
Detected sets of faults (corresponding to each of the analysed wire) by multiple test patterns are calculated as for mutually exclusive sets (in contrast to independent).</t>
  </si>
  <si>
    <t>Added core sub-modules relative sizes for the final final fault coverage computation.</t>
  </si>
  <si>
    <t>Confidential Proprietary</t>
  </si>
  <si>
    <t>Date: 12-Oct-2016</t>
  </si>
  <si>
    <t>© 2016 Freescale Semiconductor, Inc., NXP Semiconductors. All rights reserved. Presence of a copyright notice is not an acknowledgement of publication.</t>
  </si>
  <si>
    <t>Updated logo and copyright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</si>
</sst>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409]d\-mmm\-yy;@"/>
    <numFmt numFmtId="165" formatCode="0.0"/>
    <numFmt numFmtId="166" formatCode="0.000"/>
    <numFmt numFmtId="167" formatCode="0.00000"/>
    <numFmt numFmtId="168" formatCode="0.0000"/>
    <numFmt numFmtId="169" formatCode="0.0%"/>
    <numFmt numFmtId="170" formatCode="0.000000%"/>
  </numFmts>
  <fonts count="27" x14ac:knownFonts="1">
    <font>
      <sz val="10"/>
      <name val="Arial"/>
    </font>
    <font>
      <sz val="14"/>
      <color indexed="9"/>
      <name val="Arial Black"/>
      <family val="2"/>
    </font>
    <font>
      <b/>
      <sz val="14"/>
      <color indexed="9"/>
      <name val="Arial Black"/>
      <family val="2"/>
    </font>
    <font>
      <b/>
      <i/>
      <sz val="14"/>
      <color indexed="9"/>
      <name val="Arial Black"/>
      <family val="2"/>
    </font>
    <font>
      <sz val="14"/>
      <color indexed="47"/>
      <name val="Arial Black"/>
      <family val="2"/>
    </font>
    <font>
      <b/>
      <sz val="10"/>
      <color indexed="9"/>
      <name val="Arial"/>
      <family val="2"/>
    </font>
    <font>
      <b/>
      <sz val="10"/>
      <name val="Arial"/>
      <family val="2"/>
    </font>
    <font>
      <sz val="10"/>
      <color indexed="8"/>
      <name val="Arial"/>
      <family val="2"/>
    </font>
    <font>
      <sz val="8"/>
      <name val="Arial"/>
      <family val="2"/>
    </font>
    <font>
      <sz val="10"/>
      <name val="Arial"/>
      <family val="2"/>
    </font>
    <font>
      <sz val="14"/>
      <name val="Arial Black"/>
      <family val="2"/>
    </font>
    <font>
      <b/>
      <sz val="10"/>
      <color theme="1"/>
      <name val="Arial"/>
      <family val="2"/>
    </font>
    <font>
      <i/>
      <sz val="10"/>
      <name val="Arial"/>
      <family val="2"/>
    </font>
    <font>
      <sz val="10"/>
      <color rgb="FFFF0000"/>
      <name val="Arial"/>
      <family val="2"/>
    </font>
    <font>
      <sz val="10"/>
      <color theme="5" tint="-0.249977111117893"/>
      <name val="Arial"/>
      <family val="2"/>
    </font>
    <font>
      <b/>
      <sz val="9"/>
      <name val="Arial"/>
      <family val="2"/>
    </font>
    <font>
      <sz val="10"/>
      <name val="Calibri"/>
      <family val="2"/>
    </font>
    <font>
      <sz val="9"/>
      <name val="Arial"/>
      <family val="2"/>
    </font>
    <font>
      <sz val="10"/>
      <color theme="1"/>
      <name val="Arial"/>
      <family val="2"/>
    </font>
    <font>
      <i/>
      <sz val="10"/>
      <color rgb="FFFF0000"/>
      <name val="Arial"/>
      <family val="2"/>
    </font>
    <font>
      <sz val="9"/>
      <color indexed="81"/>
      <name val="Tahoma"/>
      <family val="2"/>
    </font>
    <font>
      <b/>
      <sz val="9"/>
      <color indexed="81"/>
      <name val="Tahoma"/>
      <family val="2"/>
    </font>
    <font>
      <b/>
      <sz val="10"/>
      <color rgb="FFFF0000"/>
      <name val="Arial"/>
      <family val="2"/>
    </font>
    <font>
      <b/>
      <sz val="10"/>
      <color theme="3" tint="-0.249977111117893"/>
      <name val="Arial"/>
      <family val="2"/>
    </font>
    <font>
      <sz val="14"/>
      <color theme="0"/>
      <name val="Arial Black"/>
      <family val="2"/>
    </font>
    <font>
      <b/>
      <sz val="14"/>
      <color theme="0"/>
      <name val="Arial"/>
      <family val="2"/>
    </font>
    <font>
      <b/>
      <sz val="14"/>
      <name val="Arial"/>
      <family val="2"/>
    </font>
  </fonts>
  <fills count="18">
    <fill>
      <patternFill patternType="none"/>
    </fill>
    <fill>
      <patternFill patternType="gray125"/>
    </fill>
    <fill>
      <patternFill patternType="solid">
        <fgColor indexed="51"/>
        <bgColor indexed="64"/>
      </patternFill>
    </fill>
    <fill>
      <patternFill patternType="solid">
        <fgColor theme="6" tint="0.79998168889431442"/>
        <bgColor indexed="64"/>
      </patternFill>
    </fill>
    <fill>
      <patternFill patternType="solid">
        <fgColor rgb="FFFFF5D9"/>
        <bgColor indexed="64"/>
      </patternFill>
    </fill>
    <fill>
      <patternFill patternType="solid">
        <fgColor rgb="FFFFC000"/>
        <bgColor indexed="64"/>
      </patternFill>
    </fill>
    <fill>
      <patternFill patternType="solid">
        <fgColor theme="2" tint="-0.249977111117893"/>
        <bgColor indexed="64"/>
      </patternFill>
    </fill>
    <fill>
      <patternFill patternType="solid">
        <fgColor rgb="FF92D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249977111117893"/>
        <bgColor indexed="64"/>
      </patternFill>
    </fill>
    <fill>
      <patternFill patternType="solid">
        <fgColor rgb="FF00B0F0"/>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8" tint="0.59999389629810485"/>
        <bgColor indexed="64"/>
      </patternFill>
    </fill>
    <fill>
      <patternFill patternType="solid">
        <fgColor theme="7" tint="0.79998168889431442"/>
        <bgColor indexed="64"/>
      </patternFill>
    </fill>
  </fills>
  <borders count="60">
    <border>
      <left/>
      <right/>
      <top/>
      <bottom/>
      <diagonal/>
    </border>
    <border>
      <left style="medium">
        <color indexed="51"/>
      </left>
      <right/>
      <top style="medium">
        <color indexed="51"/>
      </top>
      <bottom/>
      <diagonal/>
    </border>
    <border>
      <left style="medium">
        <color indexed="51"/>
      </left>
      <right/>
      <top/>
      <bottom/>
      <diagonal/>
    </border>
    <border>
      <left/>
      <right style="medium">
        <color indexed="51"/>
      </right>
      <top/>
      <bottom/>
      <diagonal/>
    </border>
    <border>
      <left/>
      <right/>
      <top style="medium">
        <color indexed="51"/>
      </top>
      <bottom/>
      <diagonal/>
    </border>
    <border>
      <left/>
      <right style="medium">
        <color indexed="51"/>
      </right>
      <top style="medium">
        <color indexed="5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double">
        <color indexed="64"/>
      </right>
      <top/>
      <bottom/>
      <diagonal/>
    </border>
    <border>
      <left/>
      <right style="double">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double">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double">
        <color indexed="64"/>
      </left>
      <right/>
      <top style="thin">
        <color indexed="64"/>
      </top>
      <bottom/>
      <diagonal/>
    </border>
    <border>
      <left style="double">
        <color indexed="64"/>
      </left>
      <right/>
      <top/>
      <bottom/>
      <diagonal/>
    </border>
    <border>
      <left style="double">
        <color indexed="64"/>
      </left>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style="thin">
        <color indexed="64"/>
      </right>
      <top style="double">
        <color indexed="64"/>
      </top>
      <bottom/>
      <diagonal/>
    </border>
    <border>
      <left/>
      <right/>
      <top/>
      <bottom style="double">
        <color indexed="64"/>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right style="thin">
        <color indexed="64"/>
      </right>
      <top style="double">
        <color indexed="64"/>
      </top>
      <bottom/>
      <diagonal/>
    </border>
  </borders>
  <cellStyleXfs count="1">
    <xf numFmtId="0" fontId="0" fillId="0" borderId="0"/>
  </cellStyleXfs>
  <cellXfs count="471">
    <xf numFmtId="0" fontId="0" fillId="0" borderId="0" xfId="0"/>
    <xf numFmtId="0" fontId="1" fillId="2" borderId="0" xfId="0" applyFont="1" applyFill="1" applyBorder="1" applyAlignment="1">
      <alignment wrapText="1"/>
    </xf>
    <xf numFmtId="0" fontId="1" fillId="2" borderId="0" xfId="0" applyFont="1" applyFill="1" applyBorder="1"/>
    <xf numFmtId="0" fontId="3" fillId="2" borderId="0" xfId="0" applyFont="1" applyFill="1" applyBorder="1"/>
    <xf numFmtId="0" fontId="4" fillId="2" borderId="0" xfId="0" applyFont="1" applyFill="1" applyBorder="1"/>
    <xf numFmtId="0" fontId="0" fillId="2" borderId="0" xfId="0" applyFill="1" applyBorder="1"/>
    <xf numFmtId="0" fontId="0" fillId="2" borderId="2" xfId="0" applyFill="1" applyBorder="1"/>
    <xf numFmtId="0" fontId="0" fillId="2" borderId="0" xfId="0" applyFill="1" applyBorder="1" applyAlignment="1">
      <alignment wrapText="1"/>
    </xf>
    <xf numFmtId="0" fontId="0" fillId="0" borderId="2" xfId="0" applyBorder="1"/>
    <xf numFmtId="0" fontId="0" fillId="0" borderId="0" xfId="0" applyBorder="1" applyAlignment="1">
      <alignment wrapText="1"/>
    </xf>
    <xf numFmtId="0" fontId="0" fillId="0" borderId="0" xfId="0" applyBorder="1"/>
    <xf numFmtId="0" fontId="5" fillId="2" borderId="0" xfId="0" applyFont="1" applyFill="1" applyBorder="1" applyAlignment="1">
      <alignment wrapText="1"/>
    </xf>
    <xf numFmtId="0" fontId="5" fillId="2" borderId="0" xfId="0" applyFont="1" applyFill="1" applyBorder="1"/>
    <xf numFmtId="0" fontId="0" fillId="0" borderId="0" xfId="0" applyAlignment="1">
      <alignment wrapText="1"/>
    </xf>
    <xf numFmtId="0" fontId="6" fillId="0" borderId="0" xfId="0" applyFont="1" applyFill="1" applyBorder="1"/>
    <xf numFmtId="0" fontId="6" fillId="0" borderId="3" xfId="0" applyFont="1" applyFill="1" applyBorder="1"/>
    <xf numFmtId="0" fontId="0" fillId="0" borderId="0" xfId="0" applyFill="1" applyBorder="1"/>
    <xf numFmtId="0" fontId="7" fillId="0" borderId="0" xfId="0" applyFont="1"/>
    <xf numFmtId="0" fontId="1" fillId="2" borderId="4" xfId="0" applyFont="1" applyFill="1" applyBorder="1" applyAlignment="1">
      <alignment wrapText="1"/>
    </xf>
    <xf numFmtId="0" fontId="1" fillId="2" borderId="4" xfId="0" applyFont="1" applyFill="1" applyBorder="1"/>
    <xf numFmtId="0" fontId="1" fillId="0" borderId="4" xfId="0" applyFont="1" applyFill="1" applyBorder="1"/>
    <xf numFmtId="0" fontId="1" fillId="0" borderId="5" xfId="0" applyFont="1" applyFill="1" applyBorder="1"/>
    <xf numFmtId="0" fontId="2" fillId="0" borderId="0" xfId="0" applyFont="1" applyFill="1" applyBorder="1"/>
    <xf numFmtId="0" fontId="1" fillId="0" borderId="0" xfId="0" applyFont="1" applyFill="1" applyBorder="1"/>
    <xf numFmtId="0" fontId="1" fillId="0" borderId="3" xfId="0" applyFont="1" applyFill="1" applyBorder="1"/>
    <xf numFmtId="0" fontId="0" fillId="0" borderId="3" xfId="0" applyFill="1" applyBorder="1"/>
    <xf numFmtId="0" fontId="5" fillId="0" borderId="0" xfId="0" applyFont="1" applyFill="1" applyBorder="1"/>
    <xf numFmtId="0" fontId="5" fillId="0" borderId="3" xfId="0" applyFont="1" applyFill="1" applyBorder="1"/>
    <xf numFmtId="0" fontId="6" fillId="0" borderId="0" xfId="0" applyFont="1"/>
    <xf numFmtId="0" fontId="9" fillId="0" borderId="0" xfId="0" applyFont="1" applyAlignment="1">
      <alignment wrapText="1"/>
    </xf>
    <xf numFmtId="0" fontId="0" fillId="0" borderId="0" xfId="0" applyBorder="1"/>
    <xf numFmtId="0" fontId="6" fillId="2" borderId="2" xfId="0" applyFont="1" applyFill="1" applyBorder="1"/>
    <xf numFmtId="0" fontId="9" fillId="0" borderId="6" xfId="0" applyFont="1" applyBorder="1" applyAlignment="1">
      <alignment vertical="top"/>
    </xf>
    <xf numFmtId="0" fontId="9" fillId="2" borderId="6" xfId="0" applyFont="1" applyFill="1" applyBorder="1" applyAlignment="1">
      <alignment vertical="top"/>
    </xf>
    <xf numFmtId="0" fontId="9" fillId="2" borderId="6" xfId="0" applyFont="1" applyFill="1" applyBorder="1" applyAlignment="1">
      <alignment horizontal="center" vertical="top"/>
    </xf>
    <xf numFmtId="0" fontId="0" fillId="0" borderId="0" xfId="0" applyAlignment="1">
      <alignment horizontal="left" vertical="top"/>
    </xf>
    <xf numFmtId="0" fontId="0" fillId="0" borderId="0" xfId="0" applyBorder="1" applyAlignment="1">
      <alignment horizontal="left" vertical="top"/>
    </xf>
    <xf numFmtId="0" fontId="9" fillId="0" borderId="0" xfId="0" applyFont="1" applyBorder="1" applyAlignment="1">
      <alignment horizontal="left" vertical="top"/>
    </xf>
    <xf numFmtId="164" fontId="10" fillId="2" borderId="2" xfId="0" applyNumberFormat="1" applyFont="1" applyFill="1" applyBorder="1"/>
    <xf numFmtId="0" fontId="0" fillId="0" borderId="0" xfId="0" applyAlignment="1">
      <alignment horizontal="center" vertical="top"/>
    </xf>
    <xf numFmtId="0" fontId="9" fillId="0" borderId="12" xfId="0" applyFont="1" applyBorder="1" applyAlignment="1">
      <alignment horizontal="left" vertical="top"/>
    </xf>
    <xf numFmtId="0" fontId="6" fillId="0" borderId="6" xfId="0" applyFont="1" applyBorder="1" applyAlignment="1">
      <alignment horizontal="center" vertical="top" wrapText="1"/>
    </xf>
    <xf numFmtId="0" fontId="0" fillId="0" borderId="0" xfId="0" applyFill="1" applyBorder="1" applyAlignment="1">
      <alignment horizontal="left" vertical="top"/>
    </xf>
    <xf numFmtId="0" fontId="0" fillId="0" borderId="0" xfId="0" applyFill="1" applyAlignment="1">
      <alignment horizontal="left" vertical="top"/>
    </xf>
    <xf numFmtId="0" fontId="0" fillId="0" borderId="0" xfId="0" applyFill="1" applyAlignment="1">
      <alignment horizontal="center" vertical="top"/>
    </xf>
    <xf numFmtId="0" fontId="9" fillId="0" borderId="0" xfId="0" applyFont="1"/>
    <xf numFmtId="0" fontId="9" fillId="0" borderId="0" xfId="0" applyFont="1" applyAlignment="1">
      <alignment horizontal="right"/>
    </xf>
    <xf numFmtId="0" fontId="12" fillId="0" borderId="0" xfId="0" applyFont="1"/>
    <xf numFmtId="0" fontId="6" fillId="0" borderId="0" xfId="0" applyFont="1" applyAlignment="1">
      <alignment horizontal="left"/>
    </xf>
    <xf numFmtId="0" fontId="6" fillId="0" borderId="0" xfId="0" applyFont="1" applyAlignment="1">
      <alignment wrapText="1"/>
    </xf>
    <xf numFmtId="166" fontId="0" fillId="0" borderId="0" xfId="0" applyNumberFormat="1"/>
    <xf numFmtId="2" fontId="0" fillId="0" borderId="0" xfId="0" applyNumberFormat="1"/>
    <xf numFmtId="166" fontId="6" fillId="0" borderId="15" xfId="0" applyNumberFormat="1" applyFont="1" applyBorder="1"/>
    <xf numFmtId="166" fontId="11" fillId="0" borderId="0" xfId="0" applyNumberFormat="1" applyFont="1" applyAlignment="1">
      <alignment horizontal="left"/>
    </xf>
    <xf numFmtId="165" fontId="9" fillId="0" borderId="6" xfId="0" applyNumberFormat="1" applyFont="1" applyBorder="1" applyAlignment="1">
      <alignment horizontal="left" vertical="top"/>
    </xf>
    <xf numFmtId="164" fontId="9" fillId="0" borderId="6" xfId="0" applyNumberFormat="1" applyFont="1" applyBorder="1" applyAlignment="1">
      <alignment horizontal="left" vertical="top" wrapText="1"/>
    </xf>
    <xf numFmtId="165" fontId="9" fillId="0" borderId="0" xfId="0" applyNumberFormat="1" applyFont="1" applyBorder="1" applyAlignment="1">
      <alignment horizontal="center" vertical="top"/>
    </xf>
    <xf numFmtId="164" fontId="9" fillId="0" borderId="0" xfId="0" applyNumberFormat="1" applyFont="1" applyBorder="1" applyAlignment="1">
      <alignment horizontal="center" vertical="top" wrapText="1"/>
    </xf>
    <xf numFmtId="0" fontId="9" fillId="0" borderId="0" xfId="0" applyFont="1" applyBorder="1" applyAlignment="1">
      <alignment vertical="top"/>
    </xf>
    <xf numFmtId="0" fontId="0" fillId="0" borderId="18" xfId="0" applyBorder="1" applyAlignment="1">
      <alignment horizontal="left" vertical="top"/>
    </xf>
    <xf numFmtId="0" fontId="9" fillId="0" borderId="19" xfId="0" applyFont="1" applyBorder="1" applyAlignment="1">
      <alignment horizontal="left" vertical="top"/>
    </xf>
    <xf numFmtId="0" fontId="9" fillId="0" borderId="20" xfId="0" applyFont="1"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0" xfId="0" applyFill="1" applyBorder="1" applyAlignment="1">
      <alignment horizontal="center" vertical="top"/>
    </xf>
    <xf numFmtId="0" fontId="6" fillId="0" borderId="14" xfId="0" applyFont="1" applyBorder="1" applyAlignment="1">
      <alignment horizontal="center" vertical="top" wrapText="1"/>
    </xf>
    <xf numFmtId="0" fontId="0" fillId="4" borderId="13" xfId="0" applyNumberFormat="1" applyFill="1" applyBorder="1" applyAlignment="1">
      <alignment horizontal="center" vertical="top"/>
    </xf>
    <xf numFmtId="0" fontId="0" fillId="4" borderId="23" xfId="0" applyNumberFormat="1" applyFill="1" applyBorder="1" applyAlignment="1">
      <alignment horizontal="center" vertical="top"/>
    </xf>
    <xf numFmtId="0" fontId="9" fillId="0" borderId="0" xfId="0" applyFont="1" applyFill="1" applyAlignment="1">
      <alignment horizontal="center" vertical="top"/>
    </xf>
    <xf numFmtId="0" fontId="9" fillId="0" borderId="0" xfId="0" applyFont="1" applyAlignment="1">
      <alignment horizontal="center" vertical="top"/>
    </xf>
    <xf numFmtId="0" fontId="6" fillId="0" borderId="0" xfId="0" applyFont="1" applyAlignment="1">
      <alignment horizontal="center" vertical="top" wrapText="1"/>
    </xf>
    <xf numFmtId="0" fontId="6" fillId="0" borderId="0" xfId="0" applyFont="1" applyFill="1" applyBorder="1" applyAlignment="1">
      <alignment horizontal="center" vertical="top" wrapText="1"/>
    </xf>
    <xf numFmtId="0" fontId="9" fillId="7" borderId="6" xfId="0" applyFont="1" applyFill="1" applyBorder="1" applyAlignment="1">
      <alignment horizontal="left" vertical="top" wrapText="1"/>
    </xf>
    <xf numFmtId="0" fontId="0" fillId="7" borderId="6" xfId="0" applyFill="1" applyBorder="1" applyAlignment="1">
      <alignment horizontal="left" vertical="top" wrapText="1"/>
    </xf>
    <xf numFmtId="0" fontId="9" fillId="7" borderId="6" xfId="0" applyFont="1" applyFill="1" applyBorder="1" applyAlignment="1">
      <alignment vertical="top" wrapText="1"/>
    </xf>
    <xf numFmtId="0" fontId="0" fillId="0" borderId="0" xfId="0" applyFill="1" applyBorder="1" applyAlignment="1">
      <alignment horizontal="left" vertical="top" wrapText="1"/>
    </xf>
    <xf numFmtId="0" fontId="0" fillId="7" borderId="7" xfId="0" applyFill="1" applyBorder="1" applyAlignment="1">
      <alignment horizontal="left" vertical="top" wrapText="1"/>
    </xf>
    <xf numFmtId="0" fontId="6" fillId="10" borderId="25" xfId="0" applyFont="1" applyFill="1" applyBorder="1" applyAlignment="1">
      <alignment horizontal="center" vertical="top" wrapText="1"/>
    </xf>
    <xf numFmtId="0" fontId="9" fillId="10" borderId="25" xfId="0" applyFont="1" applyFill="1" applyBorder="1" applyAlignment="1">
      <alignment horizontal="left" vertical="top" wrapText="1"/>
    </xf>
    <xf numFmtId="0" fontId="0" fillId="10" borderId="25" xfId="0" applyFill="1" applyBorder="1" applyAlignment="1">
      <alignment horizontal="left" vertical="top" wrapText="1"/>
    </xf>
    <xf numFmtId="0" fontId="0" fillId="9" borderId="8" xfId="0" applyFill="1" applyBorder="1" applyAlignment="1">
      <alignment vertical="top" wrapText="1"/>
    </xf>
    <xf numFmtId="0" fontId="0" fillId="0" borderId="0" xfId="0" applyAlignment="1">
      <alignment vertical="top" wrapText="1"/>
    </xf>
    <xf numFmtId="0" fontId="0" fillId="7" borderId="14" xfId="0" applyFill="1" applyBorder="1" applyAlignment="1">
      <alignment vertical="top" wrapText="1"/>
    </xf>
    <xf numFmtId="0" fontId="0" fillId="7" borderId="6" xfId="0" applyFill="1" applyBorder="1" applyAlignment="1">
      <alignment vertical="top" wrapText="1"/>
    </xf>
    <xf numFmtId="0" fontId="9" fillId="9" borderId="8" xfId="0" applyFont="1" applyFill="1" applyBorder="1" applyAlignment="1">
      <alignment vertical="top" wrapText="1"/>
    </xf>
    <xf numFmtId="0" fontId="0" fillId="9" borderId="6" xfId="0" applyFill="1" applyBorder="1" applyAlignment="1">
      <alignment horizontal="left" vertical="top" wrapText="1"/>
    </xf>
    <xf numFmtId="0" fontId="0" fillId="0" borderId="0" xfId="0" applyFill="1" applyAlignment="1">
      <alignment vertical="top" wrapText="1"/>
    </xf>
    <xf numFmtId="0" fontId="0" fillId="7" borderId="8" xfId="0" applyFill="1" applyBorder="1" applyAlignment="1">
      <alignment vertical="top" wrapText="1"/>
    </xf>
    <xf numFmtId="0" fontId="9" fillId="9" borderId="6" xfId="0" applyFont="1" applyFill="1" applyBorder="1" applyAlignment="1">
      <alignment vertical="top" wrapText="1"/>
    </xf>
    <xf numFmtId="0" fontId="0" fillId="6" borderId="8" xfId="0" applyFill="1" applyBorder="1" applyAlignment="1">
      <alignment vertical="top" wrapText="1"/>
    </xf>
    <xf numFmtId="0" fontId="0" fillId="9" borderId="7" xfId="0" applyFill="1" applyBorder="1" applyAlignment="1">
      <alignment horizontal="left" vertical="top" wrapText="1"/>
    </xf>
    <xf numFmtId="0" fontId="9" fillId="6" borderId="6" xfId="0" applyFont="1" applyFill="1" applyBorder="1" applyAlignment="1">
      <alignment vertical="top" wrapText="1"/>
    </xf>
    <xf numFmtId="0" fontId="0" fillId="8" borderId="8" xfId="0" applyFill="1" applyBorder="1" applyAlignment="1">
      <alignment vertical="top" wrapText="1"/>
    </xf>
    <xf numFmtId="0" fontId="0" fillId="8" borderId="7" xfId="0" applyFill="1" applyBorder="1" applyAlignment="1">
      <alignment horizontal="left" vertical="top" wrapText="1"/>
    </xf>
    <xf numFmtId="0" fontId="9" fillId="8" borderId="6" xfId="0" applyFont="1" applyFill="1" applyBorder="1" applyAlignment="1">
      <alignment vertical="top" wrapText="1"/>
    </xf>
    <xf numFmtId="0" fontId="0" fillId="9" borderId="14" xfId="0" applyFill="1" applyBorder="1" applyAlignment="1">
      <alignment vertical="top" wrapText="1"/>
    </xf>
    <xf numFmtId="0" fontId="9" fillId="9" borderId="0" xfId="0" applyFont="1" applyFill="1" applyAlignment="1">
      <alignment vertical="top" wrapText="1"/>
    </xf>
    <xf numFmtId="0" fontId="0" fillId="6" borderId="7" xfId="0" applyFill="1" applyBorder="1" applyAlignment="1">
      <alignment vertical="top" wrapText="1"/>
    </xf>
    <xf numFmtId="0" fontId="0" fillId="7" borderId="7" xfId="0" applyFill="1" applyBorder="1" applyAlignment="1">
      <alignment vertical="top" wrapText="1"/>
    </xf>
    <xf numFmtId="0" fontId="0" fillId="9" borderId="7" xfId="0" applyFill="1" applyBorder="1" applyAlignment="1">
      <alignment vertical="top" wrapText="1"/>
    </xf>
    <xf numFmtId="0" fontId="0" fillId="8" borderId="7" xfId="0" applyFill="1" applyBorder="1" applyAlignment="1">
      <alignment vertical="top" wrapText="1"/>
    </xf>
    <xf numFmtId="0" fontId="9" fillId="6" borderId="7" xfId="0" applyFont="1" applyFill="1" applyBorder="1" applyAlignment="1">
      <alignment vertical="top" wrapText="1"/>
    </xf>
    <xf numFmtId="0" fontId="6" fillId="0" borderId="14" xfId="0" applyFont="1" applyFill="1" applyBorder="1" applyAlignment="1">
      <alignment horizontal="center" vertical="top" wrapText="1"/>
    </xf>
    <xf numFmtId="2" fontId="0" fillId="4" borderId="8" xfId="0" applyNumberFormat="1" applyFill="1" applyBorder="1" applyAlignment="1">
      <alignment horizontal="center" vertical="top"/>
    </xf>
    <xf numFmtId="0" fontId="0" fillId="4" borderId="9" xfId="0" applyNumberFormat="1" applyFill="1" applyBorder="1" applyAlignment="1">
      <alignment horizontal="center" vertical="top"/>
    </xf>
    <xf numFmtId="0" fontId="9" fillId="0" borderId="0" xfId="0" applyFont="1" applyAlignment="1">
      <alignment horizontal="right" wrapText="1"/>
    </xf>
    <xf numFmtId="167" fontId="0" fillId="0" borderId="0" xfId="0" applyNumberFormat="1"/>
    <xf numFmtId="167" fontId="9" fillId="0" borderId="0" xfId="0" applyNumberFormat="1" applyFont="1"/>
    <xf numFmtId="0" fontId="0" fillId="0" borderId="0" xfId="0" applyAlignment="1">
      <alignment horizontal="center"/>
    </xf>
    <xf numFmtId="166" fontId="0" fillId="0" borderId="0" xfId="0" applyNumberFormat="1" applyAlignment="1">
      <alignment horizontal="center"/>
    </xf>
    <xf numFmtId="166" fontId="0" fillId="11" borderId="0" xfId="0" applyNumberFormat="1" applyFill="1" applyAlignment="1">
      <alignment horizontal="center"/>
    </xf>
    <xf numFmtId="0" fontId="0" fillId="11" borderId="0" xfId="0" applyFill="1"/>
    <xf numFmtId="2" fontId="0" fillId="12" borderId="0" xfId="0" applyNumberFormat="1" applyFill="1"/>
    <xf numFmtId="49" fontId="9" fillId="0" borderId="0" xfId="0" applyNumberFormat="1" applyFont="1" applyAlignment="1">
      <alignment horizontal="center"/>
    </xf>
    <xf numFmtId="0" fontId="6" fillId="13" borderId="0" xfId="0" applyFont="1" applyFill="1"/>
    <xf numFmtId="0" fontId="0" fillId="13" borderId="0" xfId="0" applyFill="1"/>
    <xf numFmtId="0" fontId="6" fillId="0" borderId="0" xfId="0" applyFont="1" applyAlignment="1">
      <alignment horizontal="center" vertical="top"/>
    </xf>
    <xf numFmtId="168" fontId="0" fillId="0" borderId="0" xfId="0" applyNumberFormat="1" applyFill="1"/>
    <xf numFmtId="49" fontId="16" fillId="0" borderId="0" xfId="0" applyNumberFormat="1" applyFont="1" applyFill="1" applyAlignment="1">
      <alignment horizontal="center"/>
    </xf>
    <xf numFmtId="167" fontId="9" fillId="0" borderId="0" xfId="0" applyNumberFormat="1" applyFont="1" applyFill="1"/>
    <xf numFmtId="167" fontId="0" fillId="0" borderId="0" xfId="0" applyNumberFormat="1" applyFill="1"/>
    <xf numFmtId="0" fontId="0" fillId="0" borderId="0" xfId="0" applyFill="1"/>
    <xf numFmtId="0" fontId="9" fillId="0" borderId="0" xfId="0" applyFont="1" applyFill="1" applyAlignment="1">
      <alignment horizontal="right"/>
    </xf>
    <xf numFmtId="2" fontId="0" fillId="0" borderId="0" xfId="0" applyNumberFormat="1" applyFill="1"/>
    <xf numFmtId="167" fontId="0" fillId="11" borderId="0" xfId="0" applyNumberFormat="1" applyFill="1"/>
    <xf numFmtId="0" fontId="9" fillId="4" borderId="9" xfId="0" applyNumberFormat="1" applyFont="1" applyFill="1" applyBorder="1" applyAlignment="1">
      <alignment horizontal="left" vertical="top" wrapText="1"/>
    </xf>
    <xf numFmtId="0" fontId="9" fillId="0" borderId="14" xfId="0" applyFont="1" applyFill="1" applyBorder="1" applyAlignment="1">
      <alignment vertical="top" wrapText="1"/>
    </xf>
    <xf numFmtId="0" fontId="9" fillId="0" borderId="8" xfId="0" applyFont="1" applyFill="1" applyBorder="1" applyAlignment="1">
      <alignment vertical="top" wrapText="1"/>
    </xf>
    <xf numFmtId="0" fontId="0" fillId="0" borderId="9" xfId="0" applyFill="1" applyBorder="1" applyAlignment="1">
      <alignment horizontal="left" vertical="top" wrapText="1"/>
    </xf>
    <xf numFmtId="0" fontId="9" fillId="0" borderId="9" xfId="0" applyFont="1" applyFill="1" applyBorder="1" applyAlignment="1">
      <alignment vertical="top" wrapText="1"/>
    </xf>
    <xf numFmtId="0" fontId="0" fillId="0" borderId="23" xfId="0" applyFill="1" applyBorder="1" applyAlignment="1">
      <alignment horizontal="left" vertical="top" wrapText="1"/>
    </xf>
    <xf numFmtId="0" fontId="6" fillId="0" borderId="14" xfId="0" applyFont="1" applyBorder="1"/>
    <xf numFmtId="0" fontId="13" fillId="0" borderId="0" xfId="0" applyFont="1"/>
    <xf numFmtId="0" fontId="0" fillId="14" borderId="0" xfId="0" applyFill="1"/>
    <xf numFmtId="0" fontId="6" fillId="0" borderId="47" xfId="0" applyFont="1" applyBorder="1" applyAlignment="1">
      <alignment horizontal="center" vertical="top"/>
    </xf>
    <xf numFmtId="0" fontId="6" fillId="0" borderId="48" xfId="0" applyFont="1" applyBorder="1" applyAlignment="1">
      <alignment horizontal="center" vertical="top" wrapText="1"/>
    </xf>
    <xf numFmtId="0" fontId="6" fillId="0" borderId="49" xfId="0" applyFont="1" applyBorder="1" applyAlignment="1">
      <alignment horizontal="center" vertical="top" wrapText="1"/>
    </xf>
    <xf numFmtId="0" fontId="6" fillId="0" borderId="50" xfId="0" applyFont="1" applyBorder="1" applyAlignment="1">
      <alignment horizontal="center" vertical="top" wrapText="1"/>
    </xf>
    <xf numFmtId="0" fontId="6" fillId="0" borderId="51" xfId="0" applyFont="1" applyBorder="1" applyAlignment="1">
      <alignment horizontal="center" vertical="top" wrapText="1"/>
    </xf>
    <xf numFmtId="0" fontId="6" fillId="0" borderId="52" xfId="0" applyFont="1" applyBorder="1" applyAlignment="1">
      <alignment horizontal="center" vertical="top" wrapText="1"/>
    </xf>
    <xf numFmtId="0" fontId="9" fillId="0" borderId="0" xfId="0" applyFont="1" applyAlignment="1">
      <alignment vertical="top" wrapText="1"/>
    </xf>
    <xf numFmtId="0" fontId="9" fillId="10" borderId="25" xfId="0" applyFont="1" applyFill="1" applyBorder="1" applyAlignment="1">
      <alignment vertical="top" wrapText="1"/>
    </xf>
    <xf numFmtId="0" fontId="9" fillId="8" borderId="7" xfId="0" applyFont="1" applyFill="1" applyBorder="1" applyAlignment="1">
      <alignment horizontal="left" vertical="top" wrapText="1"/>
    </xf>
    <xf numFmtId="0" fontId="9" fillId="6" borderId="29" xfId="0" applyFont="1" applyFill="1" applyBorder="1" applyAlignment="1">
      <alignment horizontal="left" vertical="top" wrapText="1"/>
    </xf>
    <xf numFmtId="0" fontId="9" fillId="6" borderId="7" xfId="0" applyFont="1" applyFill="1" applyBorder="1" applyAlignment="1">
      <alignment horizontal="left" vertical="top" wrapText="1"/>
    </xf>
    <xf numFmtId="0" fontId="9" fillId="6" borderId="26" xfId="0" applyFont="1" applyFill="1" applyBorder="1" applyAlignment="1">
      <alignment vertical="top" wrapText="1"/>
    </xf>
    <xf numFmtId="169" fontId="0" fillId="0" borderId="0" xfId="0" applyNumberFormat="1" applyFill="1" applyAlignment="1">
      <alignment horizontal="left" vertical="top"/>
    </xf>
    <xf numFmtId="0" fontId="9" fillId="8" borderId="0" xfId="0" applyFont="1" applyFill="1"/>
    <xf numFmtId="0" fontId="9" fillId="8" borderId="0" xfId="0" applyFont="1" applyFill="1" applyAlignment="1">
      <alignment vertical="top" wrapText="1"/>
    </xf>
    <xf numFmtId="0" fontId="9" fillId="7" borderId="0" xfId="0" applyFont="1" applyFill="1" applyAlignment="1">
      <alignment vertical="top" wrapText="1"/>
    </xf>
    <xf numFmtId="0" fontId="0" fillId="7" borderId="0" xfId="0" applyFill="1"/>
    <xf numFmtId="0" fontId="0" fillId="9" borderId="0" xfId="0" applyFill="1"/>
    <xf numFmtId="0" fontId="0" fillId="5" borderId="0" xfId="0" applyFill="1"/>
    <xf numFmtId="0" fontId="9" fillId="5" borderId="0" xfId="0" applyFont="1" applyFill="1" applyAlignment="1">
      <alignment vertical="top" wrapText="1"/>
    </xf>
    <xf numFmtId="0" fontId="9" fillId="6" borderId="0" xfId="0" applyFont="1" applyFill="1" applyAlignment="1">
      <alignment vertical="top" wrapText="1"/>
    </xf>
    <xf numFmtId="0" fontId="9" fillId="6" borderId="0" xfId="0" applyFont="1" applyFill="1"/>
    <xf numFmtId="0" fontId="0" fillId="7" borderId="6" xfId="0" applyFill="1" applyBorder="1"/>
    <xf numFmtId="0" fontId="9" fillId="7" borderId="6" xfId="0" applyFont="1" applyFill="1" applyBorder="1"/>
    <xf numFmtId="0" fontId="0" fillId="6" borderId="6" xfId="0" applyFill="1" applyBorder="1"/>
    <xf numFmtId="0" fontId="9" fillId="6" borderId="6" xfId="0" applyFont="1" applyFill="1" applyBorder="1"/>
    <xf numFmtId="0" fontId="0" fillId="9" borderId="6" xfId="0" applyFill="1" applyBorder="1"/>
    <xf numFmtId="0" fontId="9" fillId="9" borderId="6" xfId="0" applyFont="1" applyFill="1" applyBorder="1"/>
    <xf numFmtId="0" fontId="0" fillId="8" borderId="6" xfId="0" applyFill="1" applyBorder="1"/>
    <xf numFmtId="0" fontId="9" fillId="8" borderId="6" xfId="0" applyFont="1" applyFill="1" applyBorder="1"/>
    <xf numFmtId="0" fontId="0" fillId="7" borderId="26" xfId="0" applyFill="1" applyBorder="1"/>
    <xf numFmtId="0" fontId="9" fillId="7" borderId="26" xfId="0" applyFont="1" applyFill="1" applyBorder="1"/>
    <xf numFmtId="0" fontId="13" fillId="7" borderId="26" xfId="0" applyFont="1" applyFill="1" applyBorder="1"/>
    <xf numFmtId="0" fontId="6" fillId="0" borderId="54" xfId="0" applyFont="1" applyBorder="1"/>
    <xf numFmtId="0" fontId="0" fillId="0" borderId="54" xfId="0" applyBorder="1"/>
    <xf numFmtId="169" fontId="22" fillId="0" borderId="0" xfId="0" applyNumberFormat="1" applyFont="1"/>
    <xf numFmtId="0" fontId="9" fillId="7" borderId="7" xfId="0" applyFont="1" applyFill="1" applyBorder="1" applyAlignment="1">
      <alignment horizontal="left" vertical="top" wrapText="1"/>
    </xf>
    <xf numFmtId="0" fontId="0" fillId="16" borderId="0" xfId="0" applyFill="1"/>
    <xf numFmtId="0" fontId="0" fillId="6" borderId="0" xfId="0" applyFill="1"/>
    <xf numFmtId="0" fontId="0" fillId="8" borderId="0" xfId="0" applyFill="1"/>
    <xf numFmtId="0" fontId="9" fillId="7" borderId="0" xfId="0" applyFont="1" applyFill="1"/>
    <xf numFmtId="0" fontId="0" fillId="15" borderId="9" xfId="0" applyFill="1" applyBorder="1" applyAlignment="1">
      <alignment horizontal="left" vertical="top" wrapText="1"/>
    </xf>
    <xf numFmtId="0" fontId="0" fillId="0" borderId="6" xfId="0" applyBorder="1" applyAlignment="1">
      <alignment vertical="top" wrapText="1"/>
    </xf>
    <xf numFmtId="0" fontId="0" fillId="0" borderId="6" xfId="0" applyFill="1" applyBorder="1" applyAlignment="1">
      <alignment vertical="top" wrapText="1"/>
    </xf>
    <xf numFmtId="0" fontId="9" fillId="0" borderId="9" xfId="0" applyFont="1" applyFill="1" applyBorder="1" applyAlignment="1">
      <alignment horizontal="left" vertical="top" wrapText="1"/>
    </xf>
    <xf numFmtId="0" fontId="9" fillId="9" borderId="0" xfId="0" applyFont="1" applyFill="1"/>
    <xf numFmtId="0" fontId="0" fillId="6" borderId="6" xfId="0" applyFill="1" applyBorder="1" applyAlignment="1">
      <alignment horizontal="left" vertical="top" wrapText="1"/>
    </xf>
    <xf numFmtId="0" fontId="0" fillId="8" borderId="6" xfId="0" applyFill="1" applyBorder="1" applyAlignment="1">
      <alignment horizontal="left" vertical="top" wrapText="1"/>
    </xf>
    <xf numFmtId="0" fontId="0" fillId="9" borderId="26" xfId="0" applyFill="1" applyBorder="1" applyAlignment="1">
      <alignment horizontal="left" vertical="top" wrapText="1"/>
    </xf>
    <xf numFmtId="0" fontId="9" fillId="8" borderId="7" xfId="0" applyFont="1" applyFill="1" applyBorder="1" applyAlignment="1">
      <alignment vertical="top" wrapText="1"/>
    </xf>
    <xf numFmtId="169" fontId="22" fillId="0" borderId="0" xfId="0" applyNumberFormat="1" applyFont="1" applyAlignment="1">
      <alignment horizontal="left"/>
    </xf>
    <xf numFmtId="0" fontId="6" fillId="0" borderId="0" xfId="0" applyFont="1" applyAlignment="1">
      <alignment horizontal="right"/>
    </xf>
    <xf numFmtId="0" fontId="9" fillId="8" borderId="29" xfId="0" applyFont="1" applyFill="1" applyBorder="1" applyAlignment="1">
      <alignment vertical="top" wrapText="1"/>
    </xf>
    <xf numFmtId="0" fontId="9" fillId="8" borderId="26" xfId="0" applyFont="1" applyFill="1" applyBorder="1" applyAlignment="1">
      <alignment vertical="top" wrapText="1"/>
    </xf>
    <xf numFmtId="0" fontId="6" fillId="0" borderId="0" xfId="0" applyFont="1" applyAlignment="1">
      <alignment horizontal="right" vertical="top" wrapText="1"/>
    </xf>
    <xf numFmtId="169" fontId="22" fillId="0" borderId="0" xfId="0" applyNumberFormat="1" applyFont="1" applyAlignment="1">
      <alignment horizontal="left" vertical="top" wrapText="1"/>
    </xf>
    <xf numFmtId="0" fontId="11" fillId="0" borderId="0" xfId="0" applyFont="1" applyAlignment="1">
      <alignment horizontal="right"/>
    </xf>
    <xf numFmtId="0" fontId="0" fillId="17" borderId="0" xfId="0" applyFill="1"/>
    <xf numFmtId="0" fontId="9" fillId="17" borderId="0" xfId="0" applyFont="1" applyFill="1"/>
    <xf numFmtId="0" fontId="0" fillId="4" borderId="35" xfId="0" applyFill="1" applyBorder="1" applyAlignment="1">
      <alignment horizontal="center" vertical="top"/>
    </xf>
    <xf numFmtId="0" fontId="1" fillId="2" borderId="2" xfId="0" applyFont="1" applyFill="1" applyBorder="1"/>
    <xf numFmtId="164" fontId="25" fillId="2" borderId="2" xfId="0" applyNumberFormat="1" applyFont="1" applyFill="1" applyBorder="1"/>
    <xf numFmtId="0" fontId="25" fillId="2" borderId="0" xfId="0" applyFont="1" applyFill="1" applyBorder="1"/>
    <xf numFmtId="0" fontId="24" fillId="2" borderId="2" xfId="0" applyFont="1" applyFill="1" applyBorder="1"/>
    <xf numFmtId="170" fontId="0" fillId="0" borderId="0" xfId="0" applyNumberFormat="1" applyFill="1" applyAlignment="1">
      <alignment horizontal="left" vertical="top"/>
    </xf>
    <xf numFmtId="9" fontId="26" fillId="0" borderId="0" xfId="0" applyNumberFormat="1" applyFont="1" applyFill="1" applyAlignment="1">
      <alignment horizontal="left" vertical="top"/>
    </xf>
    <xf numFmtId="0" fontId="0" fillId="15" borderId="0" xfId="0" applyFill="1"/>
    <xf numFmtId="0" fontId="0" fillId="0" borderId="2" xfId="0" applyBorder="1" applyAlignment="1">
      <alignment horizontal="left" wrapText="1"/>
    </xf>
    <xf numFmtId="0" fontId="0" fillId="0" borderId="0" xfId="0" applyBorder="1" applyAlignment="1">
      <alignment horizontal="left" wrapText="1"/>
    </xf>
    <xf numFmtId="0" fontId="9" fillId="0" borderId="0" xfId="0" applyFont="1" applyBorder="1" applyAlignment="1">
      <alignment horizontal="left" vertical="top" wrapText="1"/>
    </xf>
    <xf numFmtId="0" fontId="9" fillId="2" borderId="6" xfId="0" applyFont="1" applyFill="1" applyBorder="1" applyAlignment="1">
      <alignment horizontal="left" vertical="top"/>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169" fontId="22" fillId="0" borderId="39" xfId="0" applyNumberFormat="1" applyFont="1" applyBorder="1" applyAlignment="1">
      <alignment horizontal="center" vertical="top"/>
    </xf>
    <xf numFmtId="169" fontId="22" fillId="0" borderId="40" xfId="0" applyNumberFormat="1" applyFont="1" applyBorder="1" applyAlignment="1">
      <alignment horizontal="center" vertical="top"/>
    </xf>
    <xf numFmtId="169" fontId="22" fillId="0" borderId="41" xfId="0" applyNumberFormat="1" applyFont="1" applyBorder="1" applyAlignment="1">
      <alignment horizontal="center" vertical="top"/>
    </xf>
    <xf numFmtId="0" fontId="0" fillId="4" borderId="33" xfId="0" applyFill="1" applyBorder="1" applyAlignment="1">
      <alignment horizontal="center" vertical="top"/>
    </xf>
    <xf numFmtId="0" fontId="0" fillId="4" borderId="34" xfId="0" applyFill="1" applyBorder="1" applyAlignment="1">
      <alignment horizontal="center" vertical="top"/>
    </xf>
    <xf numFmtId="0" fontId="0" fillId="4" borderId="30" xfId="0" applyFill="1" applyBorder="1" applyAlignment="1">
      <alignment horizontal="center" vertical="top"/>
    </xf>
    <xf numFmtId="2" fontId="0" fillId="4" borderId="10" xfId="0" applyNumberFormat="1" applyFill="1" applyBorder="1" applyAlignment="1">
      <alignment horizontal="center" vertical="top"/>
    </xf>
    <xf numFmtId="2" fontId="0" fillId="4" borderId="0" xfId="0" applyNumberFormat="1" applyFill="1" applyBorder="1" applyAlignment="1">
      <alignment horizontal="center" vertical="top"/>
    </xf>
    <xf numFmtId="2" fontId="0" fillId="4" borderId="14" xfId="0" applyNumberFormat="1" applyFill="1" applyBorder="1" applyAlignment="1">
      <alignment horizontal="center" vertical="top"/>
    </xf>
    <xf numFmtId="2" fontId="0" fillId="3" borderId="10" xfId="0" applyNumberFormat="1" applyFill="1" applyBorder="1" applyAlignment="1">
      <alignment horizontal="center" vertical="top"/>
    </xf>
    <xf numFmtId="2" fontId="0" fillId="3" borderId="0" xfId="0" applyNumberFormat="1" applyFill="1" applyBorder="1" applyAlignment="1">
      <alignment horizontal="center" vertical="top"/>
    </xf>
    <xf numFmtId="2" fontId="0" fillId="3" borderId="14" xfId="0" applyNumberFormat="1" applyFill="1" applyBorder="1" applyAlignment="1">
      <alignment horizontal="center" vertical="top"/>
    </xf>
    <xf numFmtId="0" fontId="0" fillId="3" borderId="33" xfId="0" applyFill="1" applyBorder="1" applyAlignment="1">
      <alignment horizontal="center" vertical="top"/>
    </xf>
    <xf numFmtId="0" fontId="0" fillId="3" borderId="34" xfId="0" applyFill="1" applyBorder="1" applyAlignment="1">
      <alignment horizontal="center" vertical="top"/>
    </xf>
    <xf numFmtId="0" fontId="0" fillId="3" borderId="30" xfId="0" applyFill="1" applyBorder="1" applyAlignment="1">
      <alignment horizontal="center" vertical="top"/>
    </xf>
    <xf numFmtId="0" fontId="9" fillId="0" borderId="32" xfId="0" applyFont="1" applyBorder="1" applyAlignment="1">
      <alignment horizontal="left" vertical="top" wrapText="1"/>
    </xf>
    <xf numFmtId="0" fontId="9" fillId="0" borderId="20" xfId="0" applyFont="1" applyBorder="1" applyAlignment="1">
      <alignment horizontal="left" vertical="top"/>
    </xf>
    <xf numFmtId="0" fontId="9" fillId="0" borderId="31" xfId="0" applyFont="1" applyBorder="1" applyAlignment="1">
      <alignment horizontal="left" vertical="top"/>
    </xf>
    <xf numFmtId="0" fontId="9" fillId="0" borderId="24" xfId="0" applyFont="1" applyBorder="1" applyAlignment="1">
      <alignment horizontal="center" vertical="top" wrapText="1"/>
    </xf>
    <xf numFmtId="0" fontId="9" fillId="0" borderId="25" xfId="0" applyFont="1" applyBorder="1" applyAlignment="1">
      <alignment horizontal="center" vertical="top" wrapText="1"/>
    </xf>
    <xf numFmtId="0" fontId="9" fillId="0" borderId="26" xfId="0" applyFont="1" applyBorder="1" applyAlignment="1">
      <alignment horizontal="center" vertical="top" wrapText="1"/>
    </xf>
    <xf numFmtId="0" fontId="0" fillId="4" borderId="11" xfId="0" applyNumberFormat="1" applyFill="1" applyBorder="1" applyAlignment="1">
      <alignment horizontal="center" vertical="top"/>
    </xf>
    <xf numFmtId="0" fontId="0" fillId="4" borderId="13" xfId="0" applyNumberFormat="1" applyFill="1" applyBorder="1" applyAlignment="1">
      <alignment horizontal="center" vertical="top"/>
    </xf>
    <xf numFmtId="0" fontId="0" fillId="4" borderId="23" xfId="0" applyNumberFormat="1" applyFill="1" applyBorder="1" applyAlignment="1">
      <alignment horizontal="center" vertical="top"/>
    </xf>
    <xf numFmtId="0" fontId="0" fillId="3" borderId="11" xfId="0" applyNumberFormat="1" applyFill="1" applyBorder="1" applyAlignment="1">
      <alignment horizontal="center" vertical="top"/>
    </xf>
    <xf numFmtId="0" fontId="0" fillId="3" borderId="13" xfId="0" applyNumberFormat="1" applyFill="1" applyBorder="1" applyAlignment="1">
      <alignment horizontal="center" vertical="top"/>
    </xf>
    <xf numFmtId="0" fontId="0" fillId="3" borderId="23" xfId="0" applyNumberFormat="1" applyFill="1" applyBorder="1" applyAlignment="1">
      <alignment horizontal="center" vertical="top"/>
    </xf>
    <xf numFmtId="0" fontId="9" fillId="0" borderId="39" xfId="0" applyFont="1" applyBorder="1" applyAlignment="1">
      <alignment horizontal="center" vertical="top" wrapText="1"/>
    </xf>
    <xf numFmtId="0" fontId="9" fillId="0" borderId="40" xfId="0" applyFont="1" applyBorder="1" applyAlignment="1">
      <alignment horizontal="center" vertical="top" wrapText="1"/>
    </xf>
    <xf numFmtId="0" fontId="9" fillId="0" borderId="41" xfId="0" applyFont="1" applyBorder="1" applyAlignment="1">
      <alignment horizontal="center" vertical="top" wrapText="1"/>
    </xf>
    <xf numFmtId="169" fontId="22" fillId="0" borderId="39" xfId="0" applyNumberFormat="1" applyFont="1" applyBorder="1" applyAlignment="1">
      <alignment horizontal="center" vertical="top" wrapText="1"/>
    </xf>
    <xf numFmtId="169" fontId="22" fillId="0" borderId="40" xfId="0" applyNumberFormat="1" applyFont="1" applyBorder="1" applyAlignment="1">
      <alignment horizontal="center" vertical="top" wrapText="1"/>
    </xf>
    <xf numFmtId="169" fontId="22" fillId="0" borderId="41" xfId="0" applyNumberFormat="1" applyFont="1" applyBorder="1" applyAlignment="1">
      <alignment horizontal="center" vertical="top" wrapText="1"/>
    </xf>
    <xf numFmtId="166" fontId="9" fillId="0" borderId="24" xfId="0" applyNumberFormat="1" applyFont="1" applyBorder="1" applyAlignment="1">
      <alignment horizontal="center" vertical="top" wrapText="1"/>
    </xf>
    <xf numFmtId="166" fontId="9" fillId="0" borderId="25" xfId="0" applyNumberFormat="1" applyFont="1" applyBorder="1" applyAlignment="1">
      <alignment horizontal="center" vertical="top" wrapText="1"/>
    </xf>
    <xf numFmtId="166" fontId="9" fillId="0" borderId="26" xfId="0" applyNumberFormat="1" applyFont="1" applyBorder="1" applyAlignment="1">
      <alignment horizontal="center" vertical="top" wrapText="1"/>
    </xf>
    <xf numFmtId="166" fontId="9" fillId="0" borderId="42" xfId="0" applyNumberFormat="1" applyFont="1" applyBorder="1" applyAlignment="1">
      <alignment horizontal="center" vertical="top" wrapText="1"/>
    </xf>
    <xf numFmtId="166" fontId="9" fillId="0" borderId="43" xfId="0" applyNumberFormat="1" applyFont="1" applyBorder="1" applyAlignment="1">
      <alignment horizontal="center" vertical="top" wrapText="1"/>
    </xf>
    <xf numFmtId="166" fontId="9" fillId="0" borderId="44" xfId="0" applyNumberFormat="1" applyFont="1" applyBorder="1" applyAlignment="1">
      <alignment horizontal="center" vertical="top" wrapText="1"/>
    </xf>
    <xf numFmtId="2" fontId="18" fillId="4" borderId="10" xfId="0" applyNumberFormat="1" applyFont="1" applyFill="1" applyBorder="1" applyAlignment="1">
      <alignment horizontal="center" vertical="top"/>
    </xf>
    <xf numFmtId="2" fontId="18" fillId="4" borderId="0" xfId="0" applyNumberFormat="1" applyFont="1" applyFill="1" applyBorder="1" applyAlignment="1">
      <alignment horizontal="center" vertical="top"/>
    </xf>
    <xf numFmtId="2" fontId="18" fillId="4" borderId="14" xfId="0" applyNumberFormat="1" applyFont="1" applyFill="1" applyBorder="1" applyAlignment="1">
      <alignment horizontal="center" vertical="top"/>
    </xf>
    <xf numFmtId="166" fontId="9" fillId="0" borderId="42" xfId="0" applyNumberFormat="1" applyFont="1" applyBorder="1" applyAlignment="1">
      <alignment horizontal="center" vertical="top"/>
    </xf>
    <xf numFmtId="166" fontId="9" fillId="0" borderId="43" xfId="0" applyNumberFormat="1" applyFont="1" applyBorder="1" applyAlignment="1">
      <alignment horizontal="center" vertical="top"/>
    </xf>
    <xf numFmtId="166" fontId="9" fillId="0" borderId="44" xfId="0" applyNumberFormat="1" applyFont="1" applyBorder="1" applyAlignment="1">
      <alignment horizontal="center" vertical="top"/>
    </xf>
    <xf numFmtId="166" fontId="9" fillId="0" borderId="24" xfId="0" applyNumberFormat="1" applyFont="1" applyBorder="1" applyAlignment="1">
      <alignment horizontal="center" vertical="top"/>
    </xf>
    <xf numFmtId="166" fontId="9" fillId="0" borderId="25" xfId="0" applyNumberFormat="1" applyFont="1" applyBorder="1" applyAlignment="1">
      <alignment horizontal="center" vertical="top"/>
    </xf>
    <xf numFmtId="166" fontId="9" fillId="0" borderId="26" xfId="0" applyNumberFormat="1" applyFont="1" applyBorder="1" applyAlignment="1">
      <alignment horizontal="center" vertical="top"/>
    </xf>
    <xf numFmtId="166" fontId="9" fillId="0" borderId="39" xfId="0" applyNumberFormat="1" applyFont="1" applyBorder="1" applyAlignment="1">
      <alignment horizontal="center" vertical="top"/>
    </xf>
    <xf numFmtId="166" fontId="9" fillId="0" borderId="40" xfId="0" applyNumberFormat="1" applyFont="1" applyBorder="1" applyAlignment="1">
      <alignment horizontal="center" vertical="top"/>
    </xf>
    <xf numFmtId="166" fontId="9" fillId="0" borderId="41" xfId="0" applyNumberFormat="1" applyFont="1" applyBorder="1" applyAlignment="1">
      <alignment horizontal="center" vertical="top"/>
    </xf>
    <xf numFmtId="169" fontId="22" fillId="0" borderId="39" xfId="0" applyNumberFormat="1" applyFont="1" applyFill="1" applyBorder="1" applyAlignment="1">
      <alignment horizontal="center" vertical="top"/>
    </xf>
    <xf numFmtId="169" fontId="22" fillId="0" borderId="40" xfId="0" applyNumberFormat="1" applyFont="1" applyFill="1" applyBorder="1" applyAlignment="1">
      <alignment horizontal="center" vertical="top"/>
    </xf>
    <xf numFmtId="169" fontId="22" fillId="0" borderId="41" xfId="0" applyNumberFormat="1" applyFont="1" applyFill="1" applyBorder="1" applyAlignment="1">
      <alignment horizontal="center" vertical="top"/>
    </xf>
    <xf numFmtId="166" fontId="9" fillId="0" borderId="33" xfId="0" applyNumberFormat="1" applyFont="1" applyBorder="1" applyAlignment="1">
      <alignment horizontal="center" vertical="top"/>
    </xf>
    <xf numFmtId="166" fontId="9" fillId="0" borderId="34" xfId="0" applyNumberFormat="1" applyFont="1" applyBorder="1" applyAlignment="1">
      <alignment horizontal="center" vertical="top"/>
    </xf>
    <xf numFmtId="166" fontId="9" fillId="0" borderId="30" xfId="0" applyNumberFormat="1" applyFont="1" applyBorder="1" applyAlignment="1">
      <alignment horizontal="center" vertical="top"/>
    </xf>
    <xf numFmtId="169" fontId="22" fillId="0" borderId="27" xfId="0" applyNumberFormat="1" applyFont="1" applyBorder="1" applyAlignment="1">
      <alignment horizontal="center" vertical="top"/>
    </xf>
    <xf numFmtId="169" fontId="22" fillId="0" borderId="16" xfId="0" applyNumberFormat="1" applyFont="1" applyBorder="1" applyAlignment="1">
      <alignment horizontal="center" vertical="top"/>
    </xf>
    <xf numFmtId="169" fontId="22" fillId="0" borderId="17" xfId="0" applyNumberFormat="1" applyFont="1" applyBorder="1" applyAlignment="1">
      <alignment horizontal="center" vertical="top"/>
    </xf>
    <xf numFmtId="2" fontId="9" fillId="4" borderId="10" xfId="0" applyNumberFormat="1" applyFont="1" applyFill="1" applyBorder="1" applyAlignment="1">
      <alignment horizontal="center" vertical="top"/>
    </xf>
    <xf numFmtId="166" fontId="9" fillId="0" borderId="42" xfId="0" applyNumberFormat="1" applyFont="1" applyFill="1" applyBorder="1" applyAlignment="1">
      <alignment horizontal="center" vertical="top" wrapText="1"/>
    </xf>
    <xf numFmtId="166" fontId="9" fillId="0" borderId="43" xfId="0" applyNumberFormat="1" applyFont="1" applyFill="1" applyBorder="1" applyAlignment="1">
      <alignment horizontal="center" vertical="top" wrapText="1"/>
    </xf>
    <xf numFmtId="166" fontId="9" fillId="0" borderId="44" xfId="0" applyNumberFormat="1" applyFont="1" applyFill="1" applyBorder="1" applyAlignment="1">
      <alignment horizontal="center" vertical="top" wrapText="1"/>
    </xf>
    <xf numFmtId="166" fontId="9" fillId="0" borderId="24" xfId="0" applyNumberFormat="1" applyFont="1" applyFill="1" applyBorder="1" applyAlignment="1">
      <alignment horizontal="center" vertical="top" wrapText="1"/>
    </xf>
    <xf numFmtId="166" fontId="9" fillId="0" borderId="25" xfId="0" applyNumberFormat="1" applyFont="1" applyFill="1" applyBorder="1" applyAlignment="1">
      <alignment horizontal="center" vertical="top" wrapText="1"/>
    </xf>
    <xf numFmtId="166" fontId="9" fillId="0" borderId="26" xfId="0" applyNumberFormat="1" applyFont="1" applyFill="1" applyBorder="1" applyAlignment="1">
      <alignment horizontal="center" vertical="top" wrapText="1"/>
    </xf>
    <xf numFmtId="169" fontId="22" fillId="0" borderId="39" xfId="0" applyNumberFormat="1" applyFont="1" applyFill="1" applyBorder="1" applyAlignment="1">
      <alignment horizontal="center" vertical="top" wrapText="1"/>
    </xf>
    <xf numFmtId="169" fontId="22" fillId="0" borderId="40" xfId="0" applyNumberFormat="1" applyFont="1" applyFill="1" applyBorder="1" applyAlignment="1">
      <alignment horizontal="center" vertical="top" wrapText="1"/>
    </xf>
    <xf numFmtId="169" fontId="22" fillId="0" borderId="41" xfId="0" applyNumberFormat="1" applyFont="1" applyFill="1" applyBorder="1" applyAlignment="1">
      <alignment horizontal="center" vertical="top" wrapText="1"/>
    </xf>
    <xf numFmtId="2" fontId="9" fillId="3" borderId="10" xfId="0" applyNumberFormat="1" applyFont="1" applyFill="1" applyBorder="1" applyAlignment="1">
      <alignment horizontal="center" vertical="top"/>
    </xf>
    <xf numFmtId="2" fontId="9" fillId="3" borderId="14" xfId="0" applyNumberFormat="1" applyFont="1" applyFill="1" applyBorder="1" applyAlignment="1">
      <alignment horizontal="center" vertical="top"/>
    </xf>
    <xf numFmtId="0" fontId="0" fillId="4" borderId="11" xfId="0" applyNumberFormat="1" applyFill="1" applyBorder="1" applyAlignment="1">
      <alignment horizontal="left" vertical="top"/>
    </xf>
    <xf numFmtId="0" fontId="0" fillId="4" borderId="13" xfId="0" applyNumberFormat="1" applyFill="1" applyBorder="1" applyAlignment="1">
      <alignment horizontal="left" vertical="top"/>
    </xf>
    <xf numFmtId="0" fontId="0" fillId="4" borderId="23" xfId="0" applyNumberFormat="1" applyFill="1" applyBorder="1" applyAlignment="1">
      <alignment horizontal="left" vertical="top"/>
    </xf>
    <xf numFmtId="0" fontId="9" fillId="4" borderId="24" xfId="0" applyNumberFormat="1" applyFont="1" applyFill="1" applyBorder="1" applyAlignment="1">
      <alignment horizontal="left" vertical="top" wrapText="1"/>
    </xf>
    <xf numFmtId="0" fontId="9" fillId="4" borderId="25" xfId="0" applyNumberFormat="1" applyFont="1" applyFill="1" applyBorder="1" applyAlignment="1">
      <alignment horizontal="left" vertical="top" wrapText="1"/>
    </xf>
    <xf numFmtId="0" fontId="0" fillId="3" borderId="11" xfId="0" applyNumberFormat="1" applyFill="1" applyBorder="1" applyAlignment="1">
      <alignment horizontal="left" vertical="top" wrapText="1"/>
    </xf>
    <xf numFmtId="0" fontId="0" fillId="3" borderId="23" xfId="0" applyNumberFormat="1" applyFill="1" applyBorder="1" applyAlignment="1">
      <alignment horizontal="left" vertical="top" wrapText="1"/>
    </xf>
    <xf numFmtId="0" fontId="9" fillId="3" borderId="11" xfId="0" applyNumberFormat="1" applyFont="1" applyFill="1" applyBorder="1" applyAlignment="1">
      <alignment horizontal="left" vertical="top" wrapText="1"/>
    </xf>
    <xf numFmtId="0" fontId="9" fillId="3" borderId="13" xfId="0" applyNumberFormat="1" applyFont="1" applyFill="1" applyBorder="1" applyAlignment="1">
      <alignment horizontal="left" vertical="top" wrapText="1"/>
    </xf>
    <xf numFmtId="0" fontId="0" fillId="4" borderId="25" xfId="0" applyNumberFormat="1" applyFill="1" applyBorder="1" applyAlignment="1">
      <alignment horizontal="left" vertical="top" wrapText="1"/>
    </xf>
    <xf numFmtId="0" fontId="0" fillId="4" borderId="26" xfId="0" applyNumberFormat="1" applyFill="1" applyBorder="1" applyAlignment="1">
      <alignment horizontal="left" vertical="top" wrapText="1"/>
    </xf>
    <xf numFmtId="0" fontId="0" fillId="3" borderId="13" xfId="0" applyNumberFormat="1" applyFill="1" applyBorder="1" applyAlignment="1">
      <alignment horizontal="left" vertical="top" wrapText="1"/>
    </xf>
    <xf numFmtId="0" fontId="0" fillId="3" borderId="11" xfId="0" applyNumberFormat="1" applyFill="1" applyBorder="1" applyAlignment="1">
      <alignment horizontal="left" vertical="top"/>
    </xf>
    <xf numFmtId="0" fontId="0" fillId="3" borderId="23" xfId="0" applyNumberFormat="1" applyFill="1" applyBorder="1" applyAlignment="1">
      <alignment horizontal="left" vertical="top"/>
    </xf>
    <xf numFmtId="0" fontId="9" fillId="4" borderId="26" xfId="0" applyNumberFormat="1" applyFont="1" applyFill="1" applyBorder="1" applyAlignment="1">
      <alignment horizontal="left" vertical="top" wrapText="1"/>
    </xf>
    <xf numFmtId="0" fontId="9" fillId="3" borderId="24" xfId="0" applyNumberFormat="1" applyFont="1" applyFill="1" applyBorder="1" applyAlignment="1">
      <alignment horizontal="left" vertical="top" wrapText="1"/>
    </xf>
    <xf numFmtId="0" fontId="9" fillId="3" borderId="25" xfId="0" applyNumberFormat="1" applyFont="1" applyFill="1" applyBorder="1" applyAlignment="1">
      <alignment horizontal="left" vertical="top" wrapText="1"/>
    </xf>
    <xf numFmtId="0" fontId="9" fillId="3" borderId="26" xfId="0" applyNumberFormat="1" applyFont="1" applyFill="1" applyBorder="1" applyAlignment="1">
      <alignment horizontal="left" vertical="top" wrapText="1"/>
    </xf>
    <xf numFmtId="0" fontId="0" fillId="4" borderId="24" xfId="0" applyNumberFormat="1" applyFill="1" applyBorder="1" applyAlignment="1">
      <alignment horizontal="left" vertical="top" wrapText="1"/>
    </xf>
    <xf numFmtId="0" fontId="0" fillId="3" borderId="26" xfId="0" applyNumberFormat="1" applyFill="1" applyBorder="1" applyAlignment="1">
      <alignment horizontal="left" vertical="top" wrapText="1"/>
    </xf>
    <xf numFmtId="0" fontId="9" fillId="4" borderId="11" xfId="0" applyNumberFormat="1" applyFont="1" applyFill="1" applyBorder="1" applyAlignment="1">
      <alignment horizontal="left" vertical="top" wrapText="1"/>
    </xf>
    <xf numFmtId="0" fontId="9" fillId="4" borderId="13" xfId="0" applyNumberFormat="1" applyFont="1" applyFill="1" applyBorder="1" applyAlignment="1">
      <alignment horizontal="left" vertical="top" wrapText="1"/>
    </xf>
    <xf numFmtId="0" fontId="0" fillId="4" borderId="13" xfId="0" applyNumberFormat="1" applyFill="1" applyBorder="1" applyAlignment="1">
      <alignment horizontal="left" vertical="top" wrapText="1"/>
    </xf>
    <xf numFmtId="0" fontId="0" fillId="4" borderId="23" xfId="0" applyNumberFormat="1" applyFill="1" applyBorder="1" applyAlignment="1">
      <alignment horizontal="left" vertical="top" wrapText="1"/>
    </xf>
    <xf numFmtId="0" fontId="6" fillId="0" borderId="45" xfId="0" applyFont="1" applyBorder="1" applyAlignment="1">
      <alignment horizontal="center" vertical="top"/>
    </xf>
    <xf numFmtId="0" fontId="6" fillId="0" borderId="46" xfId="0" applyFont="1" applyBorder="1" applyAlignment="1">
      <alignment horizontal="center" vertical="top"/>
    </xf>
    <xf numFmtId="0" fontId="9" fillId="0" borderId="12" xfId="0" applyFont="1" applyFill="1" applyBorder="1" applyAlignment="1">
      <alignment horizontal="left" vertical="top" wrapText="1"/>
    </xf>
    <xf numFmtId="0" fontId="9" fillId="0" borderId="12" xfId="0" applyFont="1" applyFill="1" applyBorder="1" applyAlignment="1">
      <alignment horizontal="left" vertical="top"/>
    </xf>
    <xf numFmtId="0" fontId="9" fillId="0" borderId="29" xfId="0" applyFont="1" applyFill="1" applyBorder="1" applyAlignment="1">
      <alignment horizontal="left" vertical="top"/>
    </xf>
    <xf numFmtId="0" fontId="9" fillId="0" borderId="24" xfId="0" applyFont="1" applyFill="1" applyBorder="1" applyAlignment="1">
      <alignment horizontal="center" vertical="top" wrapText="1"/>
    </xf>
    <xf numFmtId="0" fontId="9" fillId="0" borderId="25" xfId="0" applyFont="1" applyFill="1" applyBorder="1" applyAlignment="1">
      <alignment horizontal="center" vertical="top" wrapText="1"/>
    </xf>
    <xf numFmtId="0" fontId="9" fillId="0" borderId="26" xfId="0" applyFont="1" applyFill="1" applyBorder="1" applyAlignment="1">
      <alignment horizontal="center" vertical="top" wrapText="1"/>
    </xf>
    <xf numFmtId="169" fontId="23" fillId="0" borderId="38" xfId="0" applyNumberFormat="1" applyFont="1" applyFill="1" applyBorder="1" applyAlignment="1">
      <alignment horizontal="center" vertical="top" wrapText="1"/>
    </xf>
    <xf numFmtId="0" fontId="9" fillId="0" borderId="24" xfId="0" applyFont="1" applyBorder="1" applyAlignment="1">
      <alignment horizontal="center" vertical="top"/>
    </xf>
    <xf numFmtId="0" fontId="9" fillId="0" borderId="25" xfId="0" applyFont="1" applyBorder="1" applyAlignment="1">
      <alignment horizontal="center" vertical="top"/>
    </xf>
    <xf numFmtId="0" fontId="9" fillId="0" borderId="26" xfId="0" applyFont="1" applyBorder="1" applyAlignment="1">
      <alignment horizontal="center" vertical="top"/>
    </xf>
    <xf numFmtId="169" fontId="23" fillId="0" borderId="38" xfId="0" applyNumberFormat="1" applyFont="1" applyBorder="1" applyAlignment="1">
      <alignment horizontal="center" vertical="top"/>
    </xf>
    <xf numFmtId="0" fontId="9" fillId="0" borderId="24" xfId="0" applyFont="1" applyFill="1" applyBorder="1" applyAlignment="1">
      <alignment horizontal="center" vertical="top"/>
    </xf>
    <xf numFmtId="0" fontId="9" fillId="0" borderId="25" xfId="0" applyFont="1" applyFill="1" applyBorder="1" applyAlignment="1">
      <alignment horizontal="center" vertical="top"/>
    </xf>
    <xf numFmtId="0" fontId="9" fillId="0" borderId="26" xfId="0" applyFont="1" applyFill="1" applyBorder="1" applyAlignment="1">
      <alignment horizontal="center" vertical="top"/>
    </xf>
    <xf numFmtId="169" fontId="23" fillId="0" borderId="38" xfId="0" applyNumberFormat="1" applyFont="1" applyFill="1" applyBorder="1" applyAlignment="1">
      <alignment horizontal="center" vertical="top"/>
    </xf>
    <xf numFmtId="0" fontId="9" fillId="0" borderId="39" xfId="0" applyFont="1" applyBorder="1" applyAlignment="1">
      <alignment horizontal="center" vertical="top"/>
    </xf>
    <xf numFmtId="0" fontId="9" fillId="0" borderId="40" xfId="0" applyFont="1" applyBorder="1" applyAlignment="1">
      <alignment horizontal="center" vertical="top"/>
    </xf>
    <xf numFmtId="0" fontId="9" fillId="0" borderId="41" xfId="0" applyFont="1" applyBorder="1" applyAlignment="1">
      <alignment horizontal="center" vertical="top"/>
    </xf>
    <xf numFmtId="0" fontId="9" fillId="0" borderId="42" xfId="0" applyFont="1" applyBorder="1" applyAlignment="1">
      <alignment horizontal="center" vertical="top" wrapText="1"/>
    </xf>
    <xf numFmtId="0" fontId="9" fillId="0" borderId="43" xfId="0" applyFont="1" applyBorder="1" applyAlignment="1">
      <alignment horizontal="center" vertical="top" wrapText="1"/>
    </xf>
    <xf numFmtId="0" fontId="9" fillId="0" borderId="44" xfId="0" applyFont="1" applyBorder="1" applyAlignment="1">
      <alignment horizontal="center" vertical="top" wrapText="1"/>
    </xf>
    <xf numFmtId="0" fontId="9" fillId="0" borderId="13" xfId="0" applyFont="1" applyFill="1" applyBorder="1" applyAlignment="1">
      <alignment horizontal="center" vertical="top"/>
    </xf>
    <xf numFmtId="169" fontId="23" fillId="0" borderId="41" xfId="0" applyNumberFormat="1" applyFont="1" applyFill="1" applyBorder="1" applyAlignment="1">
      <alignment horizontal="center" vertical="top"/>
    </xf>
    <xf numFmtId="0" fontId="9" fillId="0" borderId="28" xfId="0" applyFont="1" applyFill="1" applyBorder="1" applyAlignment="1">
      <alignment horizontal="left" vertical="top"/>
    </xf>
    <xf numFmtId="0" fontId="9" fillId="0" borderId="42" xfId="0" applyFont="1" applyFill="1" applyBorder="1" applyAlignment="1">
      <alignment horizontal="center" vertical="top" wrapText="1"/>
    </xf>
    <xf numFmtId="0" fontId="9" fillId="0" borderId="43" xfId="0" applyFont="1" applyFill="1" applyBorder="1" applyAlignment="1">
      <alignment horizontal="center" vertical="top" wrapText="1"/>
    </xf>
    <xf numFmtId="0" fontId="9" fillId="0" borderId="44" xfId="0" applyFont="1" applyFill="1" applyBorder="1" applyAlignment="1">
      <alignment horizontal="center" vertical="top" wrapText="1"/>
    </xf>
    <xf numFmtId="0" fontId="9" fillId="0" borderId="42" xfId="0" applyFont="1" applyBorder="1" applyAlignment="1">
      <alignment horizontal="center" vertical="top"/>
    </xf>
    <xf numFmtId="0" fontId="9" fillId="0" borderId="43" xfId="0" applyFont="1" applyBorder="1" applyAlignment="1">
      <alignment horizontal="center" vertical="top"/>
    </xf>
    <xf numFmtId="0" fontId="9" fillId="0" borderId="44" xfId="0" applyFont="1" applyBorder="1" applyAlignment="1">
      <alignment horizontal="center" vertical="top"/>
    </xf>
    <xf numFmtId="0" fontId="9" fillId="0" borderId="39" xfId="0" applyFont="1" applyBorder="1" applyAlignment="1">
      <alignment horizontal="left" vertical="top"/>
    </xf>
    <xf numFmtId="0" fontId="9" fillId="0" borderId="40" xfId="0" applyFont="1" applyBorder="1" applyAlignment="1">
      <alignment horizontal="left" vertical="top"/>
    </xf>
    <xf numFmtId="0" fontId="9" fillId="0" borderId="41" xfId="0" applyFont="1" applyBorder="1" applyAlignment="1">
      <alignment horizontal="left" vertical="top"/>
    </xf>
    <xf numFmtId="0" fontId="9" fillId="0" borderId="24" xfId="0" applyFont="1" applyBorder="1" applyAlignment="1">
      <alignment horizontal="left" vertical="top" wrapText="1"/>
    </xf>
    <xf numFmtId="0" fontId="9" fillId="0" borderId="25" xfId="0" applyFont="1" applyBorder="1" applyAlignment="1">
      <alignment horizontal="left" vertical="top" wrapText="1"/>
    </xf>
    <xf numFmtId="0" fontId="9" fillId="0" borderId="26" xfId="0" applyFont="1" applyBorder="1" applyAlignment="1">
      <alignment horizontal="left" vertical="top" wrapText="1"/>
    </xf>
    <xf numFmtId="0" fontId="9" fillId="0" borderId="28" xfId="0" applyFont="1" applyFill="1" applyBorder="1" applyAlignment="1">
      <alignment horizontal="left" vertical="top" wrapText="1"/>
    </xf>
    <xf numFmtId="0" fontId="9" fillId="0" borderId="29" xfId="0" applyFont="1" applyFill="1" applyBorder="1" applyAlignment="1">
      <alignment horizontal="left" vertical="top" wrapText="1"/>
    </xf>
    <xf numFmtId="166" fontId="9" fillId="0" borderId="42" xfId="0" applyNumberFormat="1" applyFont="1" applyFill="1" applyBorder="1" applyAlignment="1">
      <alignment horizontal="center" vertical="top"/>
    </xf>
    <xf numFmtId="166" fontId="9" fillId="0" borderId="43" xfId="0" applyNumberFormat="1" applyFont="1" applyFill="1" applyBorder="1" applyAlignment="1">
      <alignment horizontal="center" vertical="top"/>
    </xf>
    <xf numFmtId="166" fontId="9" fillId="0" borderId="44" xfId="0" applyNumberFormat="1" applyFont="1" applyFill="1" applyBorder="1" applyAlignment="1">
      <alignment horizontal="center" vertical="top"/>
    </xf>
    <xf numFmtId="166" fontId="9" fillId="0" borderId="24" xfId="0" applyNumberFormat="1" applyFont="1" applyFill="1" applyBorder="1" applyAlignment="1">
      <alignment horizontal="center" vertical="top"/>
    </xf>
    <xf numFmtId="166" fontId="9" fillId="0" borderId="25" xfId="0" applyNumberFormat="1" applyFont="1" applyFill="1" applyBorder="1" applyAlignment="1">
      <alignment horizontal="center" vertical="top"/>
    </xf>
    <xf numFmtId="166" fontId="9" fillId="0" borderId="26" xfId="0" applyNumberFormat="1" applyFont="1" applyFill="1" applyBorder="1" applyAlignment="1">
      <alignment horizontal="center" vertical="top"/>
    </xf>
    <xf numFmtId="0" fontId="9" fillId="0" borderId="42" xfId="0" applyFont="1" applyFill="1" applyBorder="1" applyAlignment="1">
      <alignment horizontal="center" vertical="top"/>
    </xf>
    <xf numFmtId="0" fontId="9" fillId="0" borderId="43" xfId="0" applyFont="1" applyFill="1" applyBorder="1" applyAlignment="1">
      <alignment horizontal="center" vertical="top"/>
    </xf>
    <xf numFmtId="0" fontId="9" fillId="0" borderId="44" xfId="0" applyFont="1" applyFill="1" applyBorder="1" applyAlignment="1">
      <alignment horizontal="center" vertical="top"/>
    </xf>
    <xf numFmtId="169" fontId="23" fillId="0" borderId="39" xfId="0" applyNumberFormat="1" applyFont="1" applyBorder="1" applyAlignment="1">
      <alignment horizontal="center" vertical="top"/>
    </xf>
    <xf numFmtId="169" fontId="23" fillId="0" borderId="40" xfId="0" applyNumberFormat="1" applyFont="1" applyBorder="1" applyAlignment="1">
      <alignment horizontal="center" vertical="top"/>
    </xf>
    <xf numFmtId="169" fontId="23" fillId="0" borderId="41" xfId="0" applyNumberFormat="1" applyFont="1" applyBorder="1" applyAlignment="1">
      <alignment horizontal="center" vertical="top"/>
    </xf>
    <xf numFmtId="169" fontId="23" fillId="0" borderId="38" xfId="0" applyNumberFormat="1" applyFont="1" applyBorder="1" applyAlignment="1">
      <alignment horizontal="center" vertical="top" wrapText="1"/>
    </xf>
    <xf numFmtId="0" fontId="9" fillId="0" borderId="39" xfId="0" applyFont="1" applyFill="1" applyBorder="1" applyAlignment="1">
      <alignment horizontal="left" vertical="top"/>
    </xf>
    <xf numFmtId="0" fontId="9" fillId="0" borderId="40" xfId="0" applyFont="1" applyFill="1" applyBorder="1" applyAlignment="1">
      <alignment horizontal="left" vertical="top"/>
    </xf>
    <xf numFmtId="0" fontId="9" fillId="0" borderId="41" xfId="0" applyFont="1" applyFill="1" applyBorder="1" applyAlignment="1">
      <alignment horizontal="left" vertical="top"/>
    </xf>
    <xf numFmtId="0" fontId="9" fillId="0" borderId="39" xfId="0" applyFont="1" applyFill="1" applyBorder="1" applyAlignment="1">
      <alignment horizontal="left" vertical="top" wrapText="1"/>
    </xf>
    <xf numFmtId="0" fontId="9" fillId="0" borderId="40" xfId="0" applyFont="1" applyFill="1" applyBorder="1" applyAlignment="1">
      <alignment horizontal="left" vertical="top" wrapText="1"/>
    </xf>
    <xf numFmtId="0" fontId="9" fillId="0" borderId="41" xfId="0" applyFont="1" applyFill="1" applyBorder="1" applyAlignment="1">
      <alignment horizontal="left" vertical="top" wrapText="1"/>
    </xf>
    <xf numFmtId="0" fontId="9" fillId="0" borderId="24" xfId="0" applyFont="1" applyBorder="1" applyAlignment="1">
      <alignment horizontal="left" vertical="top"/>
    </xf>
    <xf numFmtId="0" fontId="9" fillId="0" borderId="25" xfId="0" applyFont="1" applyBorder="1" applyAlignment="1">
      <alignment horizontal="left" vertical="top"/>
    </xf>
    <xf numFmtId="0" fontId="9" fillId="0" borderId="26" xfId="0" applyFont="1" applyBorder="1" applyAlignment="1">
      <alignment horizontal="left" vertical="top"/>
    </xf>
    <xf numFmtId="0" fontId="9" fillId="0" borderId="28" xfId="0" applyFont="1" applyBorder="1" applyAlignment="1">
      <alignment horizontal="left" vertical="top"/>
    </xf>
    <xf numFmtId="0" fontId="9" fillId="0" borderId="12" xfId="0" applyFont="1" applyBorder="1" applyAlignment="1">
      <alignment horizontal="left" vertical="top"/>
    </xf>
    <xf numFmtId="0" fontId="9" fillId="0" borderId="29" xfId="0" applyFont="1" applyBorder="1" applyAlignment="1">
      <alignment horizontal="left" vertical="top"/>
    </xf>
    <xf numFmtId="0" fontId="0" fillId="4" borderId="11" xfId="0" applyNumberFormat="1" applyFill="1" applyBorder="1" applyAlignment="1">
      <alignment horizontal="left" vertical="top" wrapText="1"/>
    </xf>
    <xf numFmtId="0" fontId="9" fillId="0" borderId="36" xfId="0" applyFont="1" applyFill="1" applyBorder="1" applyAlignment="1">
      <alignment horizontal="left" vertical="top" wrapText="1"/>
    </xf>
    <xf numFmtId="0" fontId="9" fillId="0" borderId="37" xfId="0" applyFont="1" applyFill="1" applyBorder="1" applyAlignment="1">
      <alignment horizontal="left" vertical="top" wrapText="1"/>
    </xf>
    <xf numFmtId="0" fontId="0" fillId="3" borderId="11" xfId="0" applyNumberFormat="1" applyFill="1" applyBorder="1" applyAlignment="1">
      <alignment horizontal="center" vertical="top" wrapText="1"/>
    </xf>
    <xf numFmtId="0" fontId="0" fillId="3" borderId="13" xfId="0" applyNumberFormat="1" applyFill="1" applyBorder="1" applyAlignment="1">
      <alignment horizontal="center" vertical="top" wrapText="1"/>
    </xf>
    <xf numFmtId="0" fontId="0" fillId="3" borderId="23" xfId="0" applyNumberFormat="1" applyFill="1" applyBorder="1" applyAlignment="1">
      <alignment horizontal="center" vertical="top" wrapText="1"/>
    </xf>
    <xf numFmtId="9" fontId="9" fillId="0" borderId="36" xfId="0" applyNumberFormat="1" applyFont="1" applyFill="1" applyBorder="1" applyAlignment="1">
      <alignment horizontal="left" vertical="top" wrapText="1"/>
    </xf>
    <xf numFmtId="9" fontId="9" fillId="0" borderId="12" xfId="0" applyNumberFormat="1" applyFont="1" applyFill="1" applyBorder="1" applyAlignment="1">
      <alignment horizontal="left" vertical="top" wrapText="1"/>
    </xf>
    <xf numFmtId="9" fontId="9" fillId="0" borderId="37" xfId="0" applyNumberFormat="1" applyFont="1" applyFill="1" applyBorder="1" applyAlignment="1">
      <alignment horizontal="left" vertical="top" wrapText="1"/>
    </xf>
    <xf numFmtId="0" fontId="9" fillId="0" borderId="28" xfId="0" applyFont="1" applyBorder="1" applyAlignment="1">
      <alignment horizontal="left" vertical="top" wrapText="1"/>
    </xf>
    <xf numFmtId="0" fontId="9" fillId="0" borderId="12" xfId="0" applyFont="1" applyBorder="1" applyAlignment="1">
      <alignment horizontal="left" vertical="top" wrapText="1"/>
    </xf>
    <xf numFmtId="0" fontId="0" fillId="0" borderId="12" xfId="0" applyBorder="1" applyAlignment="1">
      <alignment horizontal="left" vertical="top" wrapText="1"/>
    </xf>
    <xf numFmtId="0" fontId="0" fillId="0" borderId="29" xfId="0" applyBorder="1" applyAlignment="1">
      <alignment horizontal="left" vertical="top" wrapText="1"/>
    </xf>
    <xf numFmtId="0" fontId="0" fillId="3" borderId="25" xfId="0" applyNumberFormat="1" applyFill="1" applyBorder="1" applyAlignment="1">
      <alignment horizontal="left" vertical="top" wrapText="1"/>
    </xf>
    <xf numFmtId="9" fontId="9" fillId="0" borderId="28" xfId="0" applyNumberFormat="1" applyFont="1" applyFill="1" applyBorder="1" applyAlignment="1">
      <alignment horizontal="left" vertical="top" wrapText="1"/>
    </xf>
    <xf numFmtId="0" fontId="0" fillId="3" borderId="24" xfId="0" applyNumberFormat="1" applyFill="1" applyBorder="1" applyAlignment="1">
      <alignment horizontal="left" vertical="top" wrapText="1"/>
    </xf>
    <xf numFmtId="0" fontId="18" fillId="3" borderId="24" xfId="0" applyNumberFormat="1" applyFont="1" applyFill="1" applyBorder="1" applyAlignment="1">
      <alignment horizontal="left" vertical="top" wrapText="1"/>
    </xf>
    <xf numFmtId="0" fontId="18" fillId="3" borderId="25" xfId="0" applyNumberFormat="1" applyFont="1" applyFill="1" applyBorder="1" applyAlignment="1">
      <alignment horizontal="left" vertical="top"/>
    </xf>
    <xf numFmtId="0" fontId="18" fillId="3" borderId="26" xfId="0" applyNumberFormat="1" applyFont="1" applyFill="1" applyBorder="1" applyAlignment="1">
      <alignment horizontal="left" vertical="top"/>
    </xf>
    <xf numFmtId="0" fontId="0" fillId="4" borderId="33" xfId="0" applyFill="1" applyBorder="1" applyAlignment="1">
      <alignment horizontal="right" vertical="top"/>
    </xf>
    <xf numFmtId="0" fontId="0" fillId="4" borderId="34" xfId="0" applyFill="1" applyBorder="1" applyAlignment="1">
      <alignment horizontal="right" vertical="top"/>
    </xf>
    <xf numFmtId="0" fontId="0" fillId="4" borderId="30" xfId="0" applyFill="1" applyBorder="1" applyAlignment="1">
      <alignment horizontal="right" vertical="top"/>
    </xf>
    <xf numFmtId="2" fontId="0" fillId="3" borderId="10" xfId="0" applyNumberFormat="1" applyFill="1" applyBorder="1" applyAlignment="1">
      <alignment horizontal="center" vertical="top" wrapText="1"/>
    </xf>
    <xf numFmtId="2" fontId="0" fillId="3" borderId="14" xfId="0" applyNumberFormat="1" applyFill="1" applyBorder="1" applyAlignment="1">
      <alignment horizontal="center" vertical="top" wrapText="1"/>
    </xf>
    <xf numFmtId="0" fontId="0" fillId="3" borderId="33" xfId="0" applyFill="1" applyBorder="1" applyAlignment="1">
      <alignment horizontal="right" vertical="top"/>
    </xf>
    <xf numFmtId="0" fontId="0" fillId="3" borderId="30" xfId="0" applyFill="1" applyBorder="1" applyAlignment="1">
      <alignment horizontal="right" vertical="top"/>
    </xf>
    <xf numFmtId="0" fontId="9" fillId="3" borderId="33" xfId="0" applyFont="1" applyFill="1" applyBorder="1" applyAlignment="1">
      <alignment horizontal="right" vertical="top"/>
    </xf>
    <xf numFmtId="0" fontId="9" fillId="3" borderId="30" xfId="0" applyFont="1" applyFill="1" applyBorder="1" applyAlignment="1">
      <alignment horizontal="right" vertical="top"/>
    </xf>
    <xf numFmtId="0" fontId="9" fillId="0" borderId="36" xfId="0" applyFont="1" applyBorder="1" applyAlignment="1">
      <alignment horizontal="left" vertical="top" wrapText="1"/>
    </xf>
    <xf numFmtId="0" fontId="0" fillId="0" borderId="37" xfId="0" applyBorder="1" applyAlignment="1">
      <alignment horizontal="left" vertical="top" wrapText="1"/>
    </xf>
    <xf numFmtId="0" fontId="9" fillId="0" borderId="55" xfId="0" applyFont="1" applyFill="1" applyBorder="1" applyAlignment="1">
      <alignment horizontal="center" vertical="top"/>
    </xf>
    <xf numFmtId="1" fontId="18" fillId="0" borderId="53" xfId="0" applyNumberFormat="1" applyFont="1" applyFill="1" applyBorder="1" applyAlignment="1">
      <alignment horizontal="center" vertical="top"/>
    </xf>
    <xf numFmtId="1" fontId="18" fillId="0" borderId="25" xfId="0" applyNumberFormat="1" applyFont="1" applyFill="1" applyBorder="1" applyAlignment="1">
      <alignment horizontal="center" vertical="top"/>
    </xf>
    <xf numFmtId="1" fontId="18" fillId="0" borderId="26" xfId="0" applyNumberFormat="1" applyFont="1" applyFill="1" applyBorder="1" applyAlignment="1">
      <alignment horizontal="center" vertical="top"/>
    </xf>
    <xf numFmtId="0" fontId="14" fillId="0" borderId="56" xfId="0" applyFont="1" applyFill="1" applyBorder="1" applyAlignment="1">
      <alignment horizontal="center" vertical="top"/>
    </xf>
    <xf numFmtId="0" fontId="14" fillId="0" borderId="40" xfId="0" applyFont="1" applyFill="1" applyBorder="1" applyAlignment="1">
      <alignment horizontal="center" vertical="top"/>
    </xf>
    <xf numFmtId="0" fontId="14" fillId="0" borderId="41" xfId="0" applyFont="1" applyFill="1" applyBorder="1" applyAlignment="1">
      <alignment horizontal="center" vertical="top"/>
    </xf>
    <xf numFmtId="166" fontId="9" fillId="0" borderId="55" xfId="0" applyNumberFormat="1" applyFont="1" applyFill="1" applyBorder="1" applyAlignment="1">
      <alignment horizontal="center" vertical="top"/>
    </xf>
    <xf numFmtId="166" fontId="18" fillId="0" borderId="53" xfId="0" applyNumberFormat="1" applyFont="1" applyFill="1" applyBorder="1" applyAlignment="1">
      <alignment horizontal="center" vertical="top"/>
    </xf>
    <xf numFmtId="166" fontId="18" fillId="0" borderId="25" xfId="0" applyNumberFormat="1" applyFont="1" applyFill="1" applyBorder="1" applyAlignment="1">
      <alignment horizontal="center" vertical="top"/>
    </xf>
    <xf numFmtId="166" fontId="18" fillId="0" borderId="26" xfId="0" applyNumberFormat="1" applyFont="1" applyFill="1" applyBorder="1" applyAlignment="1">
      <alignment horizontal="center" vertical="top"/>
    </xf>
    <xf numFmtId="169" fontId="22" fillId="0" borderId="56" xfId="0" applyNumberFormat="1" applyFont="1" applyFill="1" applyBorder="1" applyAlignment="1">
      <alignment horizontal="center" vertical="top"/>
    </xf>
    <xf numFmtId="0" fontId="9" fillId="0" borderId="29" xfId="0" applyFont="1" applyBorder="1" applyAlignment="1">
      <alignment horizontal="left" vertical="top" wrapText="1"/>
    </xf>
    <xf numFmtId="0" fontId="9" fillId="3" borderId="33" xfId="0" applyFont="1" applyFill="1" applyBorder="1" applyAlignment="1">
      <alignment horizontal="center" vertical="top"/>
    </xf>
    <xf numFmtId="0" fontId="9" fillId="3" borderId="34" xfId="0" applyFont="1" applyFill="1" applyBorder="1" applyAlignment="1">
      <alignment horizontal="center" vertical="top"/>
    </xf>
    <xf numFmtId="0" fontId="9" fillId="3" borderId="30" xfId="0" applyFont="1" applyFill="1" applyBorder="1" applyAlignment="1">
      <alignment horizontal="center" vertical="top"/>
    </xf>
    <xf numFmtId="0" fontId="9" fillId="4" borderId="33" xfId="0" applyFont="1" applyFill="1" applyBorder="1" applyAlignment="1">
      <alignment horizontal="center" vertical="top"/>
    </xf>
    <xf numFmtId="0" fontId="9" fillId="4" borderId="34" xfId="0" applyFont="1" applyFill="1" applyBorder="1" applyAlignment="1">
      <alignment horizontal="center" vertical="top"/>
    </xf>
    <xf numFmtId="0" fontId="9" fillId="4" borderId="30" xfId="0" applyFont="1" applyFill="1" applyBorder="1" applyAlignment="1">
      <alignment horizontal="center" vertical="top"/>
    </xf>
    <xf numFmtId="0" fontId="0" fillId="3" borderId="25" xfId="0" applyNumberFormat="1" applyFill="1" applyBorder="1" applyAlignment="1">
      <alignment horizontal="left" vertical="top"/>
    </xf>
    <xf numFmtId="0" fontId="0" fillId="3" borderId="26" xfId="0" applyNumberFormat="1" applyFill="1" applyBorder="1" applyAlignment="1">
      <alignment horizontal="left" vertical="top"/>
    </xf>
    <xf numFmtId="0" fontId="9" fillId="0" borderId="58" xfId="0" applyFont="1" applyBorder="1" applyAlignment="1">
      <alignment horizontal="left" vertical="top" wrapText="1"/>
    </xf>
    <xf numFmtId="0" fontId="0" fillId="0" borderId="20" xfId="0" applyBorder="1" applyAlignment="1">
      <alignment horizontal="left" vertical="top"/>
    </xf>
    <xf numFmtId="0" fontId="0" fillId="0" borderId="31" xfId="0" applyBorder="1" applyAlignment="1">
      <alignment horizontal="left" vertical="top"/>
    </xf>
    <xf numFmtId="0" fontId="9" fillId="0" borderId="37" xfId="0" applyFont="1" applyBorder="1" applyAlignment="1">
      <alignment horizontal="left" vertical="top" wrapText="1"/>
    </xf>
    <xf numFmtId="0" fontId="9" fillId="0" borderId="57" xfId="0" applyFont="1" applyBorder="1" applyAlignment="1">
      <alignment vertical="top" wrapText="1"/>
    </xf>
    <xf numFmtId="0" fontId="9" fillId="0" borderId="12" xfId="0" applyFont="1" applyBorder="1" applyAlignment="1">
      <alignment vertical="top" wrapText="1"/>
    </xf>
    <xf numFmtId="0" fontId="9" fillId="0" borderId="29" xfId="0" applyFont="1" applyBorder="1" applyAlignment="1">
      <alignment vertical="top" wrapText="1"/>
    </xf>
    <xf numFmtId="0" fontId="18" fillId="0" borderId="24" xfId="0" applyFont="1" applyFill="1" applyBorder="1" applyAlignment="1">
      <alignment horizontal="center" vertical="top"/>
    </xf>
    <xf numFmtId="0" fontId="18" fillId="0" borderId="25" xfId="0" applyFont="1" applyFill="1" applyBorder="1" applyAlignment="1">
      <alignment horizontal="center" vertical="top"/>
    </xf>
    <xf numFmtId="0" fontId="18" fillId="0" borderId="26" xfId="0" applyFont="1" applyFill="1" applyBorder="1" applyAlignment="1">
      <alignment horizontal="center" vertical="top"/>
    </xf>
    <xf numFmtId="0" fontId="9" fillId="0" borderId="39" xfId="0" applyFont="1" applyFill="1" applyBorder="1" applyAlignment="1">
      <alignment horizontal="center" vertical="top"/>
    </xf>
    <xf numFmtId="0" fontId="9" fillId="0" borderId="40" xfId="0" applyFont="1" applyFill="1" applyBorder="1" applyAlignment="1">
      <alignment horizontal="center" vertical="top"/>
    </xf>
    <xf numFmtId="0" fontId="9" fillId="0" borderId="41" xfId="0" applyFont="1" applyFill="1" applyBorder="1" applyAlignment="1">
      <alignment horizontal="center" vertical="top"/>
    </xf>
    <xf numFmtId="0" fontId="9" fillId="0" borderId="59" xfId="0" applyFont="1" applyFill="1" applyBorder="1" applyAlignment="1">
      <alignment horizontal="left" vertical="top"/>
    </xf>
    <xf numFmtId="0" fontId="9" fillId="0" borderId="13" xfId="0" applyFont="1" applyFill="1" applyBorder="1" applyAlignment="1">
      <alignment horizontal="left" vertical="top"/>
    </xf>
    <xf numFmtId="0" fontId="9" fillId="0" borderId="23" xfId="0" applyFont="1" applyFill="1" applyBorder="1" applyAlignment="1">
      <alignment horizontal="left" vertical="top"/>
    </xf>
    <xf numFmtId="0" fontId="9" fillId="0" borderId="24" xfId="0" applyFont="1" applyFill="1" applyBorder="1" applyAlignment="1">
      <alignment horizontal="left" vertical="top" wrapText="1"/>
    </xf>
    <xf numFmtId="0" fontId="9" fillId="0" borderId="25" xfId="0" applyFont="1" applyFill="1" applyBorder="1" applyAlignment="1">
      <alignment horizontal="left" vertical="top" wrapText="1"/>
    </xf>
    <xf numFmtId="0" fontId="9" fillId="0" borderId="26" xfId="0" applyFont="1" applyFill="1" applyBorder="1" applyAlignment="1">
      <alignment horizontal="left" vertical="top" wrapText="1"/>
    </xf>
    <xf numFmtId="0" fontId="9" fillId="0" borderId="33" xfId="0" applyFont="1" applyBorder="1" applyAlignment="1">
      <alignment horizontal="left" vertical="top"/>
    </xf>
    <xf numFmtId="0" fontId="9" fillId="0" borderId="34" xfId="0" applyFont="1" applyBorder="1" applyAlignment="1">
      <alignment horizontal="left" vertical="top"/>
    </xf>
    <xf numFmtId="0" fontId="9" fillId="0" borderId="30" xfId="0" applyFont="1" applyBorder="1" applyAlignment="1">
      <alignment horizontal="left" vertical="top"/>
    </xf>
    <xf numFmtId="0" fontId="9" fillId="0" borderId="6" xfId="0" applyFont="1" applyBorder="1" applyAlignment="1">
      <alignment horizontal="left" vertical="top"/>
    </xf>
    <xf numFmtId="0" fontId="9" fillId="0" borderId="27" xfId="0" applyFont="1" applyBorder="1" applyAlignment="1">
      <alignment horizontal="center" vertical="top"/>
    </xf>
    <xf numFmtId="0" fontId="9" fillId="0" borderId="16" xfId="0" applyFont="1" applyBorder="1" applyAlignment="1">
      <alignment horizontal="center" vertical="top"/>
    </xf>
    <xf numFmtId="0" fontId="9" fillId="0" borderId="17" xfId="0" applyFont="1" applyBorder="1" applyAlignment="1">
      <alignment horizontal="center" vertical="top"/>
    </xf>
    <xf numFmtId="166" fontId="9" fillId="0" borderId="6" xfId="0" applyNumberFormat="1" applyFont="1" applyBorder="1" applyAlignment="1">
      <alignment horizontal="center" vertical="top"/>
    </xf>
    <xf numFmtId="166" fontId="9" fillId="0" borderId="27" xfId="0" applyNumberFormat="1" applyFont="1" applyBorder="1" applyAlignment="1">
      <alignment horizontal="left" vertical="top"/>
    </xf>
    <xf numFmtId="166" fontId="9" fillId="0" borderId="16" xfId="0" applyNumberFormat="1" applyFont="1" applyBorder="1" applyAlignment="1">
      <alignment horizontal="left" vertical="top"/>
    </xf>
    <xf numFmtId="166" fontId="9" fillId="0" borderId="17" xfId="0" applyNumberFormat="1" applyFont="1" applyBorder="1" applyAlignment="1">
      <alignment horizontal="left" vertical="top"/>
    </xf>
    <xf numFmtId="0" fontId="9" fillId="0" borderId="19" xfId="0" applyFont="1" applyBorder="1" applyAlignment="1">
      <alignment horizontal="left" vertical="top" wrapText="1"/>
    </xf>
    <xf numFmtId="0" fontId="9" fillId="0" borderId="22" xfId="0" applyFont="1" applyBorder="1" applyAlignment="1">
      <alignment horizontal="left" vertical="top"/>
    </xf>
    <xf numFmtId="0" fontId="9" fillId="0" borderId="20" xfId="0" applyFont="1" applyBorder="1" applyAlignment="1">
      <alignment horizontal="left" vertical="top" wrapText="1"/>
    </xf>
    <xf numFmtId="0" fontId="9" fillId="0" borderId="22" xfId="0" applyFont="1" applyBorder="1" applyAlignment="1">
      <alignment horizontal="left" vertical="top" wrapText="1"/>
    </xf>
    <xf numFmtId="0" fontId="9" fillId="0" borderId="36" xfId="0" applyFont="1" applyBorder="1" applyAlignment="1">
      <alignment horizontal="center" vertical="top"/>
    </xf>
    <xf numFmtId="0" fontId="9" fillId="0" borderId="12" xfId="0" applyFont="1" applyBorder="1" applyAlignment="1">
      <alignment horizontal="center" vertical="top"/>
    </xf>
    <xf numFmtId="0" fontId="9" fillId="0" borderId="37" xfId="0" applyFont="1" applyBorder="1" applyAlignment="1">
      <alignment horizontal="center" vertical="top"/>
    </xf>
    <xf numFmtId="0" fontId="9" fillId="0" borderId="19" xfId="0" applyFont="1" applyBorder="1" applyAlignment="1">
      <alignment horizontal="center" vertical="top"/>
    </xf>
    <xf numFmtId="0" fontId="9" fillId="0" borderId="20" xfId="0" applyFont="1" applyBorder="1" applyAlignment="1">
      <alignment horizontal="center" vertical="top"/>
    </xf>
    <xf numFmtId="0" fontId="9" fillId="0" borderId="22" xfId="0" applyFont="1" applyBorder="1" applyAlignment="1">
      <alignment horizontal="center" vertical="top"/>
    </xf>
    <xf numFmtId="0" fontId="9" fillId="0" borderId="19" xfId="0" applyFont="1" applyBorder="1" applyAlignment="1">
      <alignment horizontal="left" vertical="top"/>
    </xf>
    <xf numFmtId="0" fontId="9" fillId="0" borderId="19" xfId="0" applyFont="1" applyFill="1" applyBorder="1" applyAlignment="1">
      <alignment horizontal="left" vertical="top" wrapText="1"/>
    </xf>
    <xf numFmtId="0" fontId="9" fillId="0" borderId="20" xfId="0" applyFont="1" applyFill="1" applyBorder="1" applyAlignment="1">
      <alignment horizontal="left" vertical="top" wrapText="1"/>
    </xf>
    <xf numFmtId="0" fontId="9" fillId="0" borderId="22" xfId="0" applyFont="1" applyFill="1" applyBorder="1" applyAlignment="1">
      <alignment horizontal="left" vertical="top" wrapText="1"/>
    </xf>
    <xf numFmtId="0" fontId="0" fillId="0" borderId="0" xfId="0" applyAlignment="1">
      <alignment horizontal="left" vertical="top" wrapText="1"/>
    </xf>
    <xf numFmtId="0" fontId="6" fillId="0" borderId="0" xfId="0" applyFont="1" applyAlignment="1">
      <alignment horizontal="center" vertical="top" wrapText="1"/>
    </xf>
    <xf numFmtId="0" fontId="13" fillId="0" borderId="0" xfId="0" applyFont="1" applyAlignment="1">
      <alignment horizontal="left" vertical="top"/>
    </xf>
    <xf numFmtId="0" fontId="1" fillId="0" borderId="1" xfId="0" applyFont="1" applyFill="1" applyBorder="1" applyAlignment="1">
      <alignment horizontal="center"/>
    </xf>
    <xf numFmtId="0" fontId="1" fillId="0" borderId="4" xfId="0" applyFont="1" applyFill="1" applyBorder="1" applyAlignment="1">
      <alignment horizontal="center"/>
    </xf>
  </cellXfs>
  <cellStyles count="1">
    <cellStyle name="Normal" xfId="0" builtinId="0"/>
  </cellStyles>
  <dxfs count="2">
    <dxf>
      <fill>
        <patternFill>
          <bgColor rgb="FFFF0000"/>
        </patternFill>
      </fill>
    </dxf>
    <dxf>
      <font>
        <color auto="1"/>
      </font>
      <fill>
        <patternFill>
          <bgColor rgb="FF92D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E62E"/>
      <color rgb="FFCCFFCC"/>
      <color rgb="FFFFF5D9"/>
      <color rgb="FF25AB2B"/>
      <color rgb="FF3E963A"/>
      <color rgb="FFFFEEBD"/>
      <color rgb="FFFFE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47625</xdr:rowOff>
    </xdr:from>
    <xdr:to>
      <xdr:col>1</xdr:col>
      <xdr:colOff>882296</xdr:colOff>
      <xdr:row>0</xdr:row>
      <xdr:rowOff>682625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47625"/>
          <a:ext cx="1930046" cy="63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8</xdr:col>
      <xdr:colOff>285750</xdr:colOff>
      <xdr:row>38</xdr:row>
      <xdr:rowOff>95250</xdr:rowOff>
    </xdr:to>
    <xdr:grpSp>
      <xdr:nvGrpSpPr>
        <xdr:cNvPr id="9" name="Group 8"/>
        <xdr:cNvGrpSpPr/>
      </xdr:nvGrpSpPr>
      <xdr:grpSpPr>
        <a:xfrm>
          <a:off x="0" y="342900"/>
          <a:ext cx="5162550" cy="5905500"/>
          <a:chOff x="0" y="342900"/>
          <a:chExt cx="5162550" cy="5905500"/>
        </a:xfrm>
      </xdr:grpSpPr>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42900"/>
            <a:ext cx="5162550" cy="5905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Rounded Rectangle 2"/>
          <xdr:cNvSpPr/>
        </xdr:nvSpPr>
        <xdr:spPr>
          <a:xfrm>
            <a:off x="3657601" y="2466975"/>
            <a:ext cx="1466850" cy="990600"/>
          </a:xfrm>
          <a:prstGeom prst="roundRect">
            <a:avLst/>
          </a:prstGeom>
          <a:solidFill>
            <a:schemeClr val="accent2">
              <a:lumMod val="60000"/>
              <a:lumOff val="40000"/>
              <a:alpha val="40000"/>
            </a:schemeClr>
          </a:solidFill>
          <a:ln w="3175">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ed Rectangle 3"/>
          <xdr:cNvSpPr/>
        </xdr:nvSpPr>
        <xdr:spPr>
          <a:xfrm>
            <a:off x="1819275" y="4343400"/>
            <a:ext cx="1533525" cy="1333500"/>
          </a:xfrm>
          <a:prstGeom prst="roundRect">
            <a:avLst/>
          </a:prstGeom>
          <a:solidFill>
            <a:schemeClr val="accent2">
              <a:lumMod val="60000"/>
              <a:lumOff val="40000"/>
              <a:alpha val="40000"/>
            </a:schemeClr>
          </a:solidFill>
          <a:ln w="3175">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ounded Rectangle 4"/>
          <xdr:cNvSpPr/>
        </xdr:nvSpPr>
        <xdr:spPr>
          <a:xfrm>
            <a:off x="3486150" y="409575"/>
            <a:ext cx="1095375" cy="990600"/>
          </a:xfrm>
          <a:prstGeom prst="roundRect">
            <a:avLst/>
          </a:prstGeom>
          <a:solidFill>
            <a:schemeClr val="accent2">
              <a:lumMod val="60000"/>
              <a:lumOff val="40000"/>
              <a:alpha val="40000"/>
            </a:schemeClr>
          </a:solidFill>
          <a:ln w="3175">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ounded Rectangle 5"/>
          <xdr:cNvSpPr/>
        </xdr:nvSpPr>
        <xdr:spPr>
          <a:xfrm>
            <a:off x="495300" y="1362075"/>
            <a:ext cx="1400176" cy="1790700"/>
          </a:xfrm>
          <a:prstGeom prst="roundRect">
            <a:avLst/>
          </a:prstGeom>
          <a:solidFill>
            <a:schemeClr val="accent2">
              <a:lumMod val="60000"/>
              <a:lumOff val="40000"/>
              <a:alpha val="40000"/>
            </a:schemeClr>
          </a:solidFill>
          <a:ln w="3175">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ounded Rectangle 6"/>
          <xdr:cNvSpPr/>
        </xdr:nvSpPr>
        <xdr:spPr>
          <a:xfrm>
            <a:off x="495300" y="400050"/>
            <a:ext cx="1466850" cy="723900"/>
          </a:xfrm>
          <a:prstGeom prst="roundRect">
            <a:avLst/>
          </a:prstGeom>
          <a:solidFill>
            <a:schemeClr val="accent2">
              <a:lumMod val="60000"/>
              <a:lumOff val="40000"/>
              <a:alpha val="40000"/>
            </a:schemeClr>
          </a:solidFill>
          <a:ln w="3175">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552451</xdr:colOff>
      <xdr:row>3</xdr:row>
      <xdr:rowOff>142874</xdr:rowOff>
    </xdr:from>
    <xdr:to>
      <xdr:col>9</xdr:col>
      <xdr:colOff>571501</xdr:colOff>
      <xdr:row>4</xdr:row>
      <xdr:rowOff>161924</xdr:rowOff>
    </xdr:to>
    <xdr:sp macro="" textlink="">
      <xdr:nvSpPr>
        <xdr:cNvPr id="8" name="Rounded Rectangle 7"/>
        <xdr:cNvSpPr/>
      </xdr:nvSpPr>
      <xdr:spPr>
        <a:xfrm>
          <a:off x="5429251" y="304799"/>
          <a:ext cx="628650" cy="180975"/>
        </a:xfrm>
        <a:prstGeom prst="roundRect">
          <a:avLst/>
        </a:prstGeom>
        <a:solidFill>
          <a:schemeClr val="accent2">
            <a:lumMod val="60000"/>
            <a:lumOff val="40000"/>
            <a:alpha val="40000"/>
          </a:schemeClr>
        </a:solidFill>
        <a:ln w="3175">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266700</xdr:colOff>
      <xdr:row>39</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362700" cy="640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xdr:colOff>
      <xdr:row>1</xdr:row>
      <xdr:rowOff>152400</xdr:rowOff>
    </xdr:from>
    <xdr:to>
      <xdr:col>6</xdr:col>
      <xdr:colOff>219075</xdr:colOff>
      <xdr:row>9</xdr:row>
      <xdr:rowOff>19050</xdr:rowOff>
    </xdr:to>
    <xdr:sp macro="" textlink="">
      <xdr:nvSpPr>
        <xdr:cNvPr id="3" name="Rectangle 2"/>
        <xdr:cNvSpPr/>
      </xdr:nvSpPr>
      <xdr:spPr>
        <a:xfrm>
          <a:off x="2495550" y="314325"/>
          <a:ext cx="1381125" cy="1162050"/>
        </a:xfrm>
        <a:prstGeom prst="rect">
          <a:avLst/>
        </a:prstGeom>
        <a:solidFill>
          <a:schemeClr val="accent2">
            <a:lumMod val="75000"/>
            <a:alpha val="30000"/>
          </a:schemeClr>
        </a:solidFill>
        <a:ln w="19050">
          <a:solidFill>
            <a:srgbClr val="3E963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41</xdr:row>
      <xdr:rowOff>9525</xdr:rowOff>
    </xdr:from>
    <xdr:to>
      <xdr:col>0</xdr:col>
      <xdr:colOff>571500</xdr:colOff>
      <xdr:row>42</xdr:row>
      <xdr:rowOff>0</xdr:rowOff>
    </xdr:to>
    <xdr:sp macro="" textlink="">
      <xdr:nvSpPr>
        <xdr:cNvPr id="4" name="Rectangle 3"/>
        <xdr:cNvSpPr/>
      </xdr:nvSpPr>
      <xdr:spPr>
        <a:xfrm>
          <a:off x="47625" y="6648450"/>
          <a:ext cx="523875" cy="152400"/>
        </a:xfrm>
        <a:prstGeom prst="rect">
          <a:avLst/>
        </a:prstGeom>
        <a:solidFill>
          <a:schemeClr val="accent2">
            <a:lumMod val="75000"/>
            <a:alpha val="30000"/>
          </a:schemeClr>
        </a:solidFill>
        <a:ln w="19050">
          <a:solidFill>
            <a:srgbClr val="3E963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23"/>
  <sheetViews>
    <sheetView tabSelected="1" zoomScaleNormal="100" workbookViewId="0">
      <selection activeCell="D26" sqref="D26"/>
    </sheetView>
  </sheetViews>
  <sheetFormatPr defaultRowHeight="12.75" x14ac:dyDescent="0.2"/>
  <cols>
    <col min="1" max="1" width="19" customWidth="1"/>
    <col min="2" max="2" width="17.85546875" customWidth="1"/>
    <col min="3" max="3" width="19.85546875" customWidth="1"/>
    <col min="4" max="4" width="20.85546875" customWidth="1"/>
    <col min="5" max="5" width="23.28515625" customWidth="1"/>
    <col min="6" max="6" width="54.140625" bestFit="1" customWidth="1"/>
    <col min="7" max="7" width="28" customWidth="1"/>
  </cols>
  <sheetData>
    <row r="1" spans="1:9" ht="58.5" customHeight="1" x14ac:dyDescent="0.45">
      <c r="A1" s="469"/>
      <c r="B1" s="470"/>
      <c r="C1" s="19"/>
      <c r="D1" s="19"/>
      <c r="E1" s="18"/>
      <c r="F1" s="19"/>
      <c r="G1" s="20"/>
      <c r="H1" s="20"/>
      <c r="I1" s="21"/>
    </row>
    <row r="2" spans="1:9" ht="29.25" customHeight="1" x14ac:dyDescent="0.45">
      <c r="A2" s="195"/>
      <c r="B2" s="1"/>
      <c r="C2" s="2"/>
      <c r="D2" s="2"/>
      <c r="E2" s="1"/>
      <c r="F2" s="2"/>
      <c r="G2" s="23"/>
      <c r="H2" s="23"/>
      <c r="I2" s="24"/>
    </row>
    <row r="3" spans="1:9" ht="22.5" x14ac:dyDescent="0.45">
      <c r="A3" s="198" t="s">
        <v>1518</v>
      </c>
      <c r="B3" s="1"/>
      <c r="C3" s="2"/>
      <c r="D3" s="2"/>
      <c r="E3" s="1"/>
      <c r="F3" s="3"/>
      <c r="G3" s="22"/>
      <c r="H3" s="23"/>
      <c r="I3" s="24"/>
    </row>
    <row r="4" spans="1:9" ht="22.5" x14ac:dyDescent="0.45">
      <c r="A4" s="198" t="s">
        <v>1519</v>
      </c>
      <c r="B4" s="1"/>
      <c r="C4" s="4"/>
      <c r="D4" s="4"/>
      <c r="E4" s="1"/>
      <c r="F4" s="2"/>
      <c r="G4" s="23"/>
      <c r="H4" s="23"/>
      <c r="I4" s="24"/>
    </row>
    <row r="5" spans="1:9" ht="22.5" x14ac:dyDescent="0.45">
      <c r="A5" s="38"/>
      <c r="B5" s="1"/>
      <c r="C5" s="4"/>
      <c r="D5" s="4"/>
      <c r="E5" s="1"/>
      <c r="F5" s="5"/>
      <c r="G5" s="23"/>
      <c r="H5" s="23"/>
      <c r="I5" s="24"/>
    </row>
    <row r="6" spans="1:9" ht="22.5" x14ac:dyDescent="0.45">
      <c r="A6" s="196" t="s">
        <v>1556</v>
      </c>
      <c r="B6" s="1"/>
      <c r="C6" s="4"/>
      <c r="D6" s="4"/>
      <c r="E6" s="1"/>
      <c r="F6" s="197" t="s">
        <v>1555</v>
      </c>
      <c r="G6" s="23"/>
      <c r="H6" s="23"/>
      <c r="I6" s="24"/>
    </row>
    <row r="7" spans="1:9" x14ac:dyDescent="0.2">
      <c r="A7" s="6"/>
      <c r="B7" s="7"/>
      <c r="C7" s="5"/>
      <c r="D7" s="5"/>
      <c r="E7" s="7"/>
      <c r="F7" s="5"/>
      <c r="G7" s="16"/>
      <c r="H7" s="16"/>
      <c r="I7" s="25"/>
    </row>
    <row r="8" spans="1:9" ht="69" customHeight="1" x14ac:dyDescent="0.2">
      <c r="A8" s="202" t="s">
        <v>1520</v>
      </c>
      <c r="B8" s="203"/>
      <c r="C8" s="10"/>
      <c r="D8" s="30"/>
      <c r="E8" s="9"/>
      <c r="F8" s="10"/>
      <c r="G8" s="16"/>
      <c r="H8" s="16"/>
      <c r="I8" s="25"/>
    </row>
    <row r="9" spans="1:9" x14ac:dyDescent="0.2">
      <c r="A9" s="8"/>
      <c r="B9" s="9"/>
      <c r="C9" s="10"/>
      <c r="D9" s="30"/>
      <c r="E9" s="13"/>
      <c r="F9" s="10"/>
      <c r="G9" s="16"/>
      <c r="H9" s="16"/>
      <c r="I9" s="25"/>
    </row>
    <row r="10" spans="1:9" x14ac:dyDescent="0.2">
      <c r="A10" s="8"/>
      <c r="B10" s="9"/>
      <c r="C10" s="30"/>
      <c r="D10" s="30"/>
      <c r="E10" s="13"/>
      <c r="F10" s="30"/>
      <c r="G10" s="16"/>
      <c r="H10" s="16"/>
      <c r="I10" s="25"/>
    </row>
    <row r="11" spans="1:9" x14ac:dyDescent="0.2">
      <c r="A11" s="31" t="s">
        <v>5</v>
      </c>
      <c r="B11" s="11"/>
      <c r="C11" s="12"/>
      <c r="D11" s="12"/>
      <c r="E11" s="11"/>
      <c r="F11" s="12"/>
      <c r="G11" s="26"/>
      <c r="H11" s="26"/>
      <c r="I11" s="27"/>
    </row>
    <row r="12" spans="1:9" x14ac:dyDescent="0.2">
      <c r="A12" s="34" t="s">
        <v>4</v>
      </c>
      <c r="B12" s="34" t="s">
        <v>0</v>
      </c>
      <c r="C12" s="33" t="s">
        <v>9</v>
      </c>
      <c r="D12" s="205" t="s">
        <v>1</v>
      </c>
      <c r="E12" s="205"/>
      <c r="F12" s="205"/>
      <c r="G12" s="14"/>
      <c r="H12" s="14"/>
      <c r="I12" s="15"/>
    </row>
    <row r="13" spans="1:9" ht="15.6" customHeight="1" x14ac:dyDescent="0.2">
      <c r="A13" s="54" t="s">
        <v>3</v>
      </c>
      <c r="B13" s="55">
        <v>42115</v>
      </c>
      <c r="C13" s="32" t="s">
        <v>2</v>
      </c>
      <c r="D13" s="206" t="s">
        <v>90</v>
      </c>
      <c r="E13" s="206"/>
      <c r="F13" s="206"/>
      <c r="G13" s="16"/>
      <c r="H13" s="16"/>
      <c r="I13" s="25"/>
    </row>
    <row r="14" spans="1:9" ht="30" customHeight="1" x14ac:dyDescent="0.2">
      <c r="A14" s="54" t="s">
        <v>1459</v>
      </c>
      <c r="B14" s="55">
        <v>42255</v>
      </c>
      <c r="C14" s="32" t="s">
        <v>2</v>
      </c>
      <c r="D14" s="207" t="s">
        <v>1460</v>
      </c>
      <c r="E14" s="208"/>
      <c r="F14" s="209"/>
      <c r="G14" s="16"/>
      <c r="H14" s="16"/>
      <c r="I14" s="25"/>
    </row>
    <row r="15" spans="1:9" ht="17.25" customHeight="1" x14ac:dyDescent="0.2">
      <c r="A15" s="54">
        <v>1</v>
      </c>
      <c r="B15" s="55">
        <v>42411</v>
      </c>
      <c r="C15" s="32" t="s">
        <v>1517</v>
      </c>
      <c r="D15" s="206" t="s">
        <v>1554</v>
      </c>
      <c r="E15" s="206"/>
      <c r="F15" s="206"/>
      <c r="G15" s="16"/>
      <c r="H15" s="16"/>
      <c r="I15" s="16"/>
    </row>
    <row r="16" spans="1:9" ht="15.75" customHeight="1" x14ac:dyDescent="0.2">
      <c r="A16" s="54">
        <v>1.1000000000000001</v>
      </c>
      <c r="B16" s="55">
        <v>42655</v>
      </c>
      <c r="C16" s="32" t="s">
        <v>1517</v>
      </c>
      <c r="D16" s="207" t="s">
        <v>1558</v>
      </c>
      <c r="E16" s="208"/>
      <c r="F16" s="209"/>
      <c r="G16" s="16"/>
      <c r="H16" s="16"/>
      <c r="I16" s="16"/>
    </row>
    <row r="17" spans="1:9" s="30" customFormat="1" ht="27.75" customHeight="1" x14ac:dyDescent="0.2">
      <c r="A17" s="56"/>
      <c r="B17" s="57"/>
      <c r="C17" s="58"/>
      <c r="D17" s="204"/>
      <c r="E17" s="204"/>
      <c r="F17" s="204"/>
      <c r="G17" s="16"/>
      <c r="H17" s="16"/>
      <c r="I17" s="16"/>
    </row>
    <row r="18" spans="1:9" x14ac:dyDescent="0.2">
      <c r="A18" s="17" t="s">
        <v>1557</v>
      </c>
      <c r="B18" s="13"/>
      <c r="E18" s="13"/>
    </row>
    <row r="22" spans="1:9" x14ac:dyDescent="0.2">
      <c r="A22" s="28"/>
      <c r="B22" s="29"/>
      <c r="C22" s="13"/>
      <c r="D22" s="13"/>
    </row>
    <row r="23" spans="1:9" x14ac:dyDescent="0.2">
      <c r="A23" s="28"/>
      <c r="B23" s="29"/>
      <c r="C23" s="13"/>
      <c r="D23" s="13"/>
    </row>
  </sheetData>
  <mergeCells count="8">
    <mergeCell ref="A1:B1"/>
    <mergeCell ref="D16:F16"/>
    <mergeCell ref="A8:B8"/>
    <mergeCell ref="D17:F17"/>
    <mergeCell ref="D12:F12"/>
    <mergeCell ref="D13:F13"/>
    <mergeCell ref="D14:F14"/>
    <mergeCell ref="D15:F15"/>
  </mergeCells>
  <phoneticPr fontId="8" type="noConversion"/>
  <pageMargins left="0.75" right="0.75" top="1" bottom="1" header="0.5" footer="0.5"/>
  <pageSetup paperSize="9" scale="72" fitToHeight="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6"/>
  <sheetViews>
    <sheetView workbookViewId="0">
      <selection activeCell="J2" sqref="J2"/>
    </sheetView>
  </sheetViews>
  <sheetFormatPr defaultRowHeight="12.75" x14ac:dyDescent="0.2"/>
  <sheetData>
    <row r="1" spans="1:11" x14ac:dyDescent="0.2">
      <c r="A1" s="45" t="s">
        <v>87</v>
      </c>
      <c r="I1" s="53" t="e">
        <f>SUM('DC Estimation'!#REF!)*100</f>
        <v>#REF!</v>
      </c>
    </row>
    <row r="5" spans="1:11" x14ac:dyDescent="0.2">
      <c r="K5" s="45" t="s">
        <v>88</v>
      </c>
    </row>
    <row r="6" spans="1:11" x14ac:dyDescent="0.2">
      <c r="K6" s="45" t="s">
        <v>89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42"/>
  <sheetViews>
    <sheetView workbookViewId="0">
      <selection activeCell="H54" sqref="H54"/>
    </sheetView>
  </sheetViews>
  <sheetFormatPr defaultRowHeight="12.75" x14ac:dyDescent="0.2"/>
  <sheetData>
    <row r="42" spans="2:2" x14ac:dyDescent="0.2">
      <c r="B42" s="45" t="s">
        <v>1521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P528"/>
  <sheetViews>
    <sheetView zoomScale="90" zoomScaleNormal="90" workbookViewId="0">
      <pane ySplit="1" topLeftCell="A2" activePane="bottomLeft" state="frozen"/>
      <selection pane="bottomLeft" activeCell="A2" sqref="A2:A352"/>
    </sheetView>
  </sheetViews>
  <sheetFormatPr defaultRowHeight="12.75" x14ac:dyDescent="0.2"/>
  <cols>
    <col min="1" max="1" width="23.7109375" style="35" customWidth="1"/>
    <col min="2" max="2" width="38.42578125" style="35" customWidth="1"/>
    <col min="3" max="3" width="67" style="35" customWidth="1"/>
    <col min="4" max="4" width="18" style="35" customWidth="1"/>
    <col min="5" max="5" width="19.140625" style="70" customWidth="1"/>
    <col min="6" max="6" width="25" style="35" customWidth="1"/>
    <col min="7" max="7" width="49" style="35" customWidth="1"/>
    <col min="8" max="8" width="16.140625" style="35" customWidth="1"/>
    <col min="9" max="9" width="40.7109375" style="35" customWidth="1"/>
    <col min="10" max="10" width="46.42578125" style="35" customWidth="1"/>
    <col min="11" max="11" width="15.5703125" style="35" customWidth="1"/>
    <col min="12" max="12" width="14.7109375" style="39" customWidth="1"/>
    <col min="13" max="13" width="20" style="39" customWidth="1"/>
    <col min="14" max="14" width="75.7109375" style="39" customWidth="1"/>
    <col min="15" max="15" width="97.140625" style="39" customWidth="1"/>
    <col min="16" max="16" width="55.5703125" style="35" customWidth="1"/>
    <col min="17" max="16384" width="9.140625" style="35"/>
  </cols>
  <sheetData>
    <row r="1" spans="1:16" ht="69" customHeight="1" thickTop="1" thickBot="1" x14ac:dyDescent="0.25">
      <c r="A1" s="306" t="s">
        <v>228</v>
      </c>
      <c r="B1" s="307"/>
      <c r="C1" s="135" t="s">
        <v>219</v>
      </c>
      <c r="D1" s="136" t="s">
        <v>222</v>
      </c>
      <c r="E1" s="137" t="s">
        <v>215</v>
      </c>
      <c r="F1" s="137" t="s">
        <v>224</v>
      </c>
      <c r="G1" s="138" t="s">
        <v>220</v>
      </c>
      <c r="H1" s="137" t="s">
        <v>225</v>
      </c>
      <c r="I1" s="137" t="s">
        <v>226</v>
      </c>
      <c r="J1" s="138" t="s">
        <v>227</v>
      </c>
      <c r="K1" s="137" t="s">
        <v>216</v>
      </c>
      <c r="L1" s="137" t="s">
        <v>223</v>
      </c>
      <c r="M1" s="139" t="s">
        <v>217</v>
      </c>
      <c r="N1" s="139" t="s">
        <v>218</v>
      </c>
      <c r="O1" s="137" t="s">
        <v>221</v>
      </c>
      <c r="P1" s="140" t="s">
        <v>26</v>
      </c>
    </row>
    <row r="2" spans="1:16" ht="12.75" customHeight="1" thickTop="1" x14ac:dyDescent="0.2">
      <c r="A2" s="435" t="s">
        <v>206</v>
      </c>
      <c r="B2" s="320" t="s">
        <v>207</v>
      </c>
      <c r="C2" s="308" t="s">
        <v>1035</v>
      </c>
      <c r="D2" s="330">
        <v>0.1734395722811671</v>
      </c>
      <c r="E2" s="401" t="s">
        <v>231</v>
      </c>
      <c r="F2" s="402">
        <v>1</v>
      </c>
      <c r="G2" s="405"/>
      <c r="H2" s="408">
        <f>L2*M2+L27*M27+L31*M31+L43*M43</f>
        <v>0.96371224697286095</v>
      </c>
      <c r="I2" s="409">
        <f>D2*F2</f>
        <v>0.1734395722811671</v>
      </c>
      <c r="J2" s="412">
        <f>D2*F2*H2</f>
        <v>0.16714583991709547</v>
      </c>
      <c r="K2" s="223" t="s">
        <v>7</v>
      </c>
      <c r="L2" s="220">
        <f>lookup!B101</f>
        <v>0.99407947077966607</v>
      </c>
      <c r="M2" s="235">
        <v>0.7</v>
      </c>
      <c r="N2" s="298" t="s">
        <v>1543</v>
      </c>
      <c r="O2" s="426" t="s">
        <v>1074</v>
      </c>
      <c r="P2" s="422" t="s">
        <v>1493</v>
      </c>
    </row>
    <row r="3" spans="1:16" x14ac:dyDescent="0.2">
      <c r="A3" s="436"/>
      <c r="B3" s="320"/>
      <c r="C3" s="308"/>
      <c r="D3" s="322"/>
      <c r="E3" s="353"/>
      <c r="F3" s="403"/>
      <c r="G3" s="406"/>
      <c r="H3" s="347"/>
      <c r="I3" s="410"/>
      <c r="J3" s="262"/>
      <c r="K3" s="223"/>
      <c r="L3" s="220"/>
      <c r="M3" s="235"/>
      <c r="N3" s="420"/>
      <c r="O3" s="427"/>
      <c r="P3" s="423"/>
    </row>
    <row r="4" spans="1:16" x14ac:dyDescent="0.2">
      <c r="A4" s="436"/>
      <c r="B4" s="320"/>
      <c r="C4" s="308"/>
      <c r="D4" s="322"/>
      <c r="E4" s="353"/>
      <c r="F4" s="403"/>
      <c r="G4" s="406"/>
      <c r="H4" s="347"/>
      <c r="I4" s="410"/>
      <c r="J4" s="262"/>
      <c r="K4" s="223"/>
      <c r="L4" s="220"/>
      <c r="M4" s="235"/>
      <c r="N4" s="420"/>
      <c r="O4" s="427"/>
      <c r="P4" s="423"/>
    </row>
    <row r="5" spans="1:16" x14ac:dyDescent="0.2">
      <c r="A5" s="436"/>
      <c r="B5" s="320"/>
      <c r="C5" s="308"/>
      <c r="D5" s="322"/>
      <c r="E5" s="353"/>
      <c r="F5" s="403"/>
      <c r="G5" s="406"/>
      <c r="H5" s="347"/>
      <c r="I5" s="410"/>
      <c r="J5" s="262"/>
      <c r="K5" s="223"/>
      <c r="L5" s="220"/>
      <c r="M5" s="235"/>
      <c r="N5" s="420"/>
      <c r="O5" s="427"/>
      <c r="P5" s="423"/>
    </row>
    <row r="6" spans="1:16" x14ac:dyDescent="0.2">
      <c r="A6" s="436"/>
      <c r="B6" s="320"/>
      <c r="C6" s="308"/>
      <c r="D6" s="322"/>
      <c r="E6" s="353"/>
      <c r="F6" s="403"/>
      <c r="G6" s="406"/>
      <c r="H6" s="347"/>
      <c r="I6" s="410"/>
      <c r="J6" s="262"/>
      <c r="K6" s="223"/>
      <c r="L6" s="220"/>
      <c r="M6" s="235"/>
      <c r="N6" s="420"/>
      <c r="O6" s="427"/>
      <c r="P6" s="423"/>
    </row>
    <row r="7" spans="1:16" x14ac:dyDescent="0.2">
      <c r="A7" s="436"/>
      <c r="B7" s="320"/>
      <c r="C7" s="308"/>
      <c r="D7" s="322"/>
      <c r="E7" s="353"/>
      <c r="F7" s="403"/>
      <c r="G7" s="406"/>
      <c r="H7" s="347"/>
      <c r="I7" s="410"/>
      <c r="J7" s="262"/>
      <c r="K7" s="223"/>
      <c r="L7" s="220"/>
      <c r="M7" s="235"/>
      <c r="N7" s="420"/>
      <c r="O7" s="427"/>
      <c r="P7" s="423"/>
    </row>
    <row r="8" spans="1:16" x14ac:dyDescent="0.2">
      <c r="A8" s="436"/>
      <c r="B8" s="320"/>
      <c r="C8" s="308"/>
      <c r="D8" s="322"/>
      <c r="E8" s="353"/>
      <c r="F8" s="403"/>
      <c r="G8" s="406"/>
      <c r="H8" s="347"/>
      <c r="I8" s="410"/>
      <c r="J8" s="262"/>
      <c r="K8" s="223"/>
      <c r="L8" s="220"/>
      <c r="M8" s="235"/>
      <c r="N8" s="420"/>
      <c r="O8" s="427"/>
      <c r="P8" s="423"/>
    </row>
    <row r="9" spans="1:16" x14ac:dyDescent="0.2">
      <c r="A9" s="436"/>
      <c r="B9" s="320"/>
      <c r="C9" s="308"/>
      <c r="D9" s="322"/>
      <c r="E9" s="353"/>
      <c r="F9" s="403"/>
      <c r="G9" s="406"/>
      <c r="H9" s="347"/>
      <c r="I9" s="410"/>
      <c r="J9" s="262"/>
      <c r="K9" s="223"/>
      <c r="L9" s="220"/>
      <c r="M9" s="235"/>
      <c r="N9" s="420"/>
      <c r="O9" s="427"/>
      <c r="P9" s="423"/>
    </row>
    <row r="10" spans="1:16" x14ac:dyDescent="0.2">
      <c r="A10" s="436"/>
      <c r="B10" s="320"/>
      <c r="C10" s="308"/>
      <c r="D10" s="322"/>
      <c r="E10" s="353"/>
      <c r="F10" s="403"/>
      <c r="G10" s="406"/>
      <c r="H10" s="347"/>
      <c r="I10" s="410"/>
      <c r="J10" s="262"/>
      <c r="K10" s="223"/>
      <c r="L10" s="220"/>
      <c r="M10" s="235"/>
      <c r="N10" s="420"/>
      <c r="O10" s="427"/>
      <c r="P10" s="423"/>
    </row>
    <row r="11" spans="1:16" x14ac:dyDescent="0.2">
      <c r="A11" s="436"/>
      <c r="B11" s="320"/>
      <c r="C11" s="308"/>
      <c r="D11" s="322"/>
      <c r="E11" s="353"/>
      <c r="F11" s="403"/>
      <c r="G11" s="406"/>
      <c r="H11" s="347"/>
      <c r="I11" s="410"/>
      <c r="J11" s="262"/>
      <c r="K11" s="223"/>
      <c r="L11" s="220"/>
      <c r="M11" s="235"/>
      <c r="N11" s="420"/>
      <c r="O11" s="427"/>
      <c r="P11" s="423"/>
    </row>
    <row r="12" spans="1:16" x14ac:dyDescent="0.2">
      <c r="A12" s="436"/>
      <c r="B12" s="320"/>
      <c r="C12" s="308"/>
      <c r="D12" s="322"/>
      <c r="E12" s="353"/>
      <c r="F12" s="403"/>
      <c r="G12" s="406"/>
      <c r="H12" s="347"/>
      <c r="I12" s="410"/>
      <c r="J12" s="262"/>
      <c r="K12" s="223"/>
      <c r="L12" s="220"/>
      <c r="M12" s="235"/>
      <c r="N12" s="420"/>
      <c r="O12" s="427"/>
      <c r="P12" s="423"/>
    </row>
    <row r="13" spans="1:16" x14ac:dyDescent="0.2">
      <c r="A13" s="436"/>
      <c r="B13" s="320"/>
      <c r="C13" s="308"/>
      <c r="D13" s="322"/>
      <c r="E13" s="353"/>
      <c r="F13" s="403"/>
      <c r="G13" s="406"/>
      <c r="H13" s="347"/>
      <c r="I13" s="410"/>
      <c r="J13" s="262"/>
      <c r="K13" s="223"/>
      <c r="L13" s="220"/>
      <c r="M13" s="235"/>
      <c r="N13" s="420"/>
      <c r="O13" s="427"/>
      <c r="P13" s="423"/>
    </row>
    <row r="14" spans="1:16" x14ac:dyDescent="0.2">
      <c r="A14" s="436"/>
      <c r="B14" s="320"/>
      <c r="C14" s="308"/>
      <c r="D14" s="322"/>
      <c r="E14" s="353"/>
      <c r="F14" s="403"/>
      <c r="G14" s="406"/>
      <c r="H14" s="347"/>
      <c r="I14" s="410"/>
      <c r="J14" s="262"/>
      <c r="K14" s="223"/>
      <c r="L14" s="220"/>
      <c r="M14" s="235"/>
      <c r="N14" s="420"/>
      <c r="O14" s="427"/>
      <c r="P14" s="423"/>
    </row>
    <row r="15" spans="1:16" x14ac:dyDescent="0.2">
      <c r="A15" s="436"/>
      <c r="B15" s="320"/>
      <c r="C15" s="308"/>
      <c r="D15" s="322"/>
      <c r="E15" s="353"/>
      <c r="F15" s="403"/>
      <c r="G15" s="406"/>
      <c r="H15" s="347"/>
      <c r="I15" s="410"/>
      <c r="J15" s="262"/>
      <c r="K15" s="223"/>
      <c r="L15" s="220"/>
      <c r="M15" s="235"/>
      <c r="N15" s="420"/>
      <c r="O15" s="427"/>
      <c r="P15" s="423"/>
    </row>
    <row r="16" spans="1:16" x14ac:dyDescent="0.2">
      <c r="A16" s="436"/>
      <c r="B16" s="320"/>
      <c r="C16" s="308"/>
      <c r="D16" s="322"/>
      <c r="E16" s="353"/>
      <c r="F16" s="403"/>
      <c r="G16" s="406"/>
      <c r="H16" s="347"/>
      <c r="I16" s="410"/>
      <c r="J16" s="262"/>
      <c r="K16" s="223"/>
      <c r="L16" s="220"/>
      <c r="M16" s="235"/>
      <c r="N16" s="420"/>
      <c r="O16" s="427"/>
      <c r="P16" s="423"/>
    </row>
    <row r="17" spans="1:16" x14ac:dyDescent="0.2">
      <c r="A17" s="436"/>
      <c r="B17" s="320"/>
      <c r="C17" s="308"/>
      <c r="D17" s="322"/>
      <c r="E17" s="353"/>
      <c r="F17" s="403"/>
      <c r="G17" s="406"/>
      <c r="H17" s="347"/>
      <c r="I17" s="410"/>
      <c r="J17" s="262"/>
      <c r="K17" s="223"/>
      <c r="L17" s="220"/>
      <c r="M17" s="235"/>
      <c r="N17" s="420"/>
      <c r="O17" s="427"/>
      <c r="P17" s="423"/>
    </row>
    <row r="18" spans="1:16" x14ac:dyDescent="0.2">
      <c r="A18" s="436"/>
      <c r="B18" s="320"/>
      <c r="C18" s="308"/>
      <c r="D18" s="322"/>
      <c r="E18" s="353"/>
      <c r="F18" s="403"/>
      <c r="G18" s="406"/>
      <c r="H18" s="347"/>
      <c r="I18" s="410"/>
      <c r="J18" s="262"/>
      <c r="K18" s="223"/>
      <c r="L18" s="220"/>
      <c r="M18" s="235"/>
      <c r="N18" s="420"/>
      <c r="O18" s="427"/>
      <c r="P18" s="423"/>
    </row>
    <row r="19" spans="1:16" x14ac:dyDescent="0.2">
      <c r="A19" s="436"/>
      <c r="B19" s="320"/>
      <c r="C19" s="308"/>
      <c r="D19" s="322"/>
      <c r="E19" s="353"/>
      <c r="F19" s="403"/>
      <c r="G19" s="406"/>
      <c r="H19" s="347"/>
      <c r="I19" s="410"/>
      <c r="J19" s="262"/>
      <c r="K19" s="223"/>
      <c r="L19" s="220"/>
      <c r="M19" s="235"/>
      <c r="N19" s="420"/>
      <c r="O19" s="427"/>
      <c r="P19" s="423"/>
    </row>
    <row r="20" spans="1:16" x14ac:dyDescent="0.2">
      <c r="A20" s="436"/>
      <c r="B20" s="320"/>
      <c r="C20" s="308"/>
      <c r="D20" s="322"/>
      <c r="E20" s="353"/>
      <c r="F20" s="403"/>
      <c r="G20" s="406"/>
      <c r="H20" s="347"/>
      <c r="I20" s="410"/>
      <c r="J20" s="262"/>
      <c r="K20" s="223"/>
      <c r="L20" s="220"/>
      <c r="M20" s="235"/>
      <c r="N20" s="420"/>
      <c r="O20" s="427"/>
      <c r="P20" s="423"/>
    </row>
    <row r="21" spans="1:16" x14ac:dyDescent="0.2">
      <c r="A21" s="436"/>
      <c r="B21" s="320"/>
      <c r="C21" s="308"/>
      <c r="D21" s="322"/>
      <c r="E21" s="353"/>
      <c r="F21" s="403"/>
      <c r="G21" s="406"/>
      <c r="H21" s="347"/>
      <c r="I21" s="410"/>
      <c r="J21" s="262"/>
      <c r="K21" s="223"/>
      <c r="L21" s="220"/>
      <c r="M21" s="235"/>
      <c r="N21" s="420"/>
      <c r="O21" s="427"/>
      <c r="P21" s="423"/>
    </row>
    <row r="22" spans="1:16" x14ac:dyDescent="0.2">
      <c r="A22" s="436"/>
      <c r="B22" s="320"/>
      <c r="C22" s="308"/>
      <c r="D22" s="322"/>
      <c r="E22" s="353"/>
      <c r="F22" s="403"/>
      <c r="G22" s="406"/>
      <c r="H22" s="347"/>
      <c r="I22" s="410"/>
      <c r="J22" s="262"/>
      <c r="K22" s="223"/>
      <c r="L22" s="220"/>
      <c r="M22" s="235"/>
      <c r="N22" s="420"/>
      <c r="O22" s="427"/>
      <c r="P22" s="423"/>
    </row>
    <row r="23" spans="1:16" x14ac:dyDescent="0.2">
      <c r="A23" s="436"/>
      <c r="B23" s="320"/>
      <c r="C23" s="308"/>
      <c r="D23" s="322"/>
      <c r="E23" s="353"/>
      <c r="F23" s="403"/>
      <c r="G23" s="406"/>
      <c r="H23" s="347"/>
      <c r="I23" s="410"/>
      <c r="J23" s="262"/>
      <c r="K23" s="223"/>
      <c r="L23" s="220"/>
      <c r="M23" s="235"/>
      <c r="N23" s="420"/>
      <c r="O23" s="427"/>
      <c r="P23" s="423"/>
    </row>
    <row r="24" spans="1:16" x14ac:dyDescent="0.2">
      <c r="A24" s="436"/>
      <c r="B24" s="320"/>
      <c r="C24" s="308"/>
      <c r="D24" s="322"/>
      <c r="E24" s="353"/>
      <c r="F24" s="403"/>
      <c r="G24" s="406"/>
      <c r="H24" s="347"/>
      <c r="I24" s="410"/>
      <c r="J24" s="262"/>
      <c r="K24" s="223"/>
      <c r="L24" s="220"/>
      <c r="M24" s="235"/>
      <c r="N24" s="420"/>
      <c r="O24" s="427"/>
      <c r="P24" s="423"/>
    </row>
    <row r="25" spans="1:16" x14ac:dyDescent="0.2">
      <c r="A25" s="436"/>
      <c r="B25" s="320"/>
      <c r="C25" s="308"/>
      <c r="D25" s="322"/>
      <c r="E25" s="353"/>
      <c r="F25" s="403"/>
      <c r="G25" s="406"/>
      <c r="H25" s="347"/>
      <c r="I25" s="410"/>
      <c r="J25" s="262"/>
      <c r="K25" s="223"/>
      <c r="L25" s="220"/>
      <c r="M25" s="235"/>
      <c r="N25" s="420"/>
      <c r="O25" s="427"/>
      <c r="P25" s="423"/>
    </row>
    <row r="26" spans="1:16" s="36" customFormat="1" ht="12.75" customHeight="1" x14ac:dyDescent="0.2">
      <c r="A26" s="436"/>
      <c r="B26" s="320"/>
      <c r="C26" s="309"/>
      <c r="D26" s="322"/>
      <c r="E26" s="353"/>
      <c r="F26" s="403"/>
      <c r="G26" s="406"/>
      <c r="H26" s="347"/>
      <c r="I26" s="410"/>
      <c r="J26" s="262"/>
      <c r="K26" s="224"/>
      <c r="L26" s="221"/>
      <c r="M26" s="236"/>
      <c r="N26" s="421"/>
      <c r="O26" s="427"/>
      <c r="P26" s="423"/>
    </row>
    <row r="27" spans="1:16" s="36" customFormat="1" x14ac:dyDescent="0.2">
      <c r="A27" s="436"/>
      <c r="B27" s="320"/>
      <c r="C27" s="309"/>
      <c r="D27" s="322"/>
      <c r="E27" s="353"/>
      <c r="F27" s="403"/>
      <c r="G27" s="406"/>
      <c r="H27" s="347"/>
      <c r="I27" s="410"/>
      <c r="J27" s="262"/>
      <c r="K27" s="417" t="s">
        <v>11</v>
      </c>
      <c r="L27" s="216">
        <f>(1-POWER(0.5,6))*L2</f>
        <v>0.97854697904873378</v>
      </c>
      <c r="M27" s="231">
        <v>0.2</v>
      </c>
      <c r="N27" s="285" t="s">
        <v>1525</v>
      </c>
      <c r="O27" s="427"/>
      <c r="P27" s="423"/>
    </row>
    <row r="28" spans="1:16" s="36" customFormat="1" x14ac:dyDescent="0.2">
      <c r="A28" s="436"/>
      <c r="B28" s="320"/>
      <c r="C28" s="309"/>
      <c r="D28" s="322"/>
      <c r="E28" s="353"/>
      <c r="F28" s="403"/>
      <c r="G28" s="406"/>
      <c r="H28" s="347"/>
      <c r="I28" s="410"/>
      <c r="J28" s="262"/>
      <c r="K28" s="418"/>
      <c r="L28" s="217"/>
      <c r="M28" s="232"/>
      <c r="N28" s="286"/>
      <c r="O28" s="427"/>
      <c r="P28" s="423"/>
    </row>
    <row r="29" spans="1:16" s="36" customFormat="1" ht="12.75" customHeight="1" x14ac:dyDescent="0.2">
      <c r="A29" s="436"/>
      <c r="B29" s="320"/>
      <c r="C29" s="309"/>
      <c r="D29" s="322"/>
      <c r="E29" s="353"/>
      <c r="F29" s="403"/>
      <c r="G29" s="406"/>
      <c r="H29" s="347"/>
      <c r="I29" s="410"/>
      <c r="J29" s="262"/>
      <c r="K29" s="418"/>
      <c r="L29" s="217"/>
      <c r="M29" s="232"/>
      <c r="N29" s="291"/>
      <c r="O29" s="427"/>
      <c r="P29" s="423"/>
    </row>
    <row r="30" spans="1:16" s="36" customFormat="1" x14ac:dyDescent="0.2">
      <c r="A30" s="436"/>
      <c r="B30" s="320"/>
      <c r="C30" s="309"/>
      <c r="D30" s="322"/>
      <c r="E30" s="353"/>
      <c r="F30" s="403"/>
      <c r="G30" s="406"/>
      <c r="H30" s="347"/>
      <c r="I30" s="410"/>
      <c r="J30" s="262"/>
      <c r="K30" s="419"/>
      <c r="L30" s="218"/>
      <c r="M30" s="233"/>
      <c r="N30" s="292"/>
      <c r="O30" s="427"/>
      <c r="P30" s="423"/>
    </row>
    <row r="31" spans="1:16" s="36" customFormat="1" x14ac:dyDescent="0.2">
      <c r="A31" s="436"/>
      <c r="B31" s="320"/>
      <c r="C31" s="309"/>
      <c r="D31" s="322"/>
      <c r="E31" s="353"/>
      <c r="F31" s="403"/>
      <c r="G31" s="406"/>
      <c r="H31" s="347"/>
      <c r="I31" s="410"/>
      <c r="J31" s="262"/>
      <c r="K31" s="414" t="s">
        <v>12</v>
      </c>
      <c r="L31" s="219">
        <f>'d.c. fault estimation'!O18*L2</f>
        <v>0.68342963616102037</v>
      </c>
      <c r="M31" s="234">
        <v>0.05</v>
      </c>
      <c r="N31" s="297" t="s">
        <v>1513</v>
      </c>
      <c r="O31" s="427"/>
      <c r="P31" s="423"/>
    </row>
    <row r="32" spans="1:16" s="36" customFormat="1" x14ac:dyDescent="0.2">
      <c r="A32" s="436"/>
      <c r="B32" s="320"/>
      <c r="C32" s="309"/>
      <c r="D32" s="322"/>
      <c r="E32" s="353"/>
      <c r="F32" s="403"/>
      <c r="G32" s="406"/>
      <c r="H32" s="347"/>
      <c r="I32" s="410"/>
      <c r="J32" s="262"/>
      <c r="K32" s="415"/>
      <c r="L32" s="220"/>
      <c r="M32" s="235"/>
      <c r="N32" s="298"/>
      <c r="O32" s="427"/>
      <c r="P32" s="423"/>
    </row>
    <row r="33" spans="1:16" s="36" customFormat="1" x14ac:dyDescent="0.2">
      <c r="A33" s="436"/>
      <c r="B33" s="320"/>
      <c r="C33" s="309"/>
      <c r="D33" s="322"/>
      <c r="E33" s="353"/>
      <c r="F33" s="403"/>
      <c r="G33" s="406"/>
      <c r="H33" s="347"/>
      <c r="I33" s="410"/>
      <c r="J33" s="262"/>
      <c r="K33" s="415"/>
      <c r="L33" s="220"/>
      <c r="M33" s="235"/>
      <c r="N33" s="298"/>
      <c r="O33" s="427"/>
      <c r="P33" s="423"/>
    </row>
    <row r="34" spans="1:16" s="36" customFormat="1" x14ac:dyDescent="0.2">
      <c r="A34" s="436"/>
      <c r="B34" s="320"/>
      <c r="C34" s="309"/>
      <c r="D34" s="322"/>
      <c r="E34" s="353"/>
      <c r="F34" s="403"/>
      <c r="G34" s="406"/>
      <c r="H34" s="347"/>
      <c r="I34" s="410"/>
      <c r="J34" s="262"/>
      <c r="K34" s="415"/>
      <c r="L34" s="220"/>
      <c r="M34" s="235"/>
      <c r="N34" s="298"/>
      <c r="O34" s="427"/>
      <c r="P34" s="423"/>
    </row>
    <row r="35" spans="1:16" s="36" customFormat="1" x14ac:dyDescent="0.2">
      <c r="A35" s="436"/>
      <c r="B35" s="320"/>
      <c r="C35" s="309"/>
      <c r="D35" s="322"/>
      <c r="E35" s="353"/>
      <c r="F35" s="403"/>
      <c r="G35" s="406"/>
      <c r="H35" s="347"/>
      <c r="I35" s="410"/>
      <c r="J35" s="262"/>
      <c r="K35" s="415"/>
      <c r="L35" s="220"/>
      <c r="M35" s="235"/>
      <c r="N35" s="298"/>
      <c r="O35" s="427"/>
      <c r="P35" s="423"/>
    </row>
    <row r="36" spans="1:16" s="36" customFormat="1" x14ac:dyDescent="0.2">
      <c r="A36" s="436"/>
      <c r="B36" s="320"/>
      <c r="C36" s="309"/>
      <c r="D36" s="322"/>
      <c r="E36" s="353"/>
      <c r="F36" s="403"/>
      <c r="G36" s="406"/>
      <c r="H36" s="347"/>
      <c r="I36" s="410"/>
      <c r="J36" s="262"/>
      <c r="K36" s="415"/>
      <c r="L36" s="220"/>
      <c r="M36" s="235"/>
      <c r="N36" s="298"/>
      <c r="O36" s="427"/>
      <c r="P36" s="423"/>
    </row>
    <row r="37" spans="1:16" s="36" customFormat="1" x14ac:dyDescent="0.2">
      <c r="A37" s="436"/>
      <c r="B37" s="320"/>
      <c r="C37" s="309"/>
      <c r="D37" s="322"/>
      <c r="E37" s="353"/>
      <c r="F37" s="403"/>
      <c r="G37" s="406"/>
      <c r="H37" s="347"/>
      <c r="I37" s="410"/>
      <c r="J37" s="262"/>
      <c r="K37" s="415"/>
      <c r="L37" s="220"/>
      <c r="M37" s="235"/>
      <c r="N37" s="298"/>
      <c r="O37" s="427"/>
      <c r="P37" s="423"/>
    </row>
    <row r="38" spans="1:16" s="36" customFormat="1" x14ac:dyDescent="0.2">
      <c r="A38" s="436"/>
      <c r="B38" s="320"/>
      <c r="C38" s="309"/>
      <c r="D38" s="322"/>
      <c r="E38" s="353"/>
      <c r="F38" s="403"/>
      <c r="G38" s="406"/>
      <c r="H38" s="347"/>
      <c r="I38" s="410"/>
      <c r="J38" s="262"/>
      <c r="K38" s="415"/>
      <c r="L38" s="220"/>
      <c r="M38" s="235"/>
      <c r="N38" s="298"/>
      <c r="O38" s="427"/>
      <c r="P38" s="423"/>
    </row>
    <row r="39" spans="1:16" s="36" customFormat="1" x14ac:dyDescent="0.2">
      <c r="A39" s="436"/>
      <c r="B39" s="320"/>
      <c r="C39" s="309"/>
      <c r="D39" s="322"/>
      <c r="E39" s="353"/>
      <c r="F39" s="403"/>
      <c r="G39" s="406"/>
      <c r="H39" s="347"/>
      <c r="I39" s="410"/>
      <c r="J39" s="262"/>
      <c r="K39" s="415"/>
      <c r="L39" s="220"/>
      <c r="M39" s="235"/>
      <c r="N39" s="298"/>
      <c r="O39" s="427"/>
      <c r="P39" s="423"/>
    </row>
    <row r="40" spans="1:16" s="36" customFormat="1" x14ac:dyDescent="0.2">
      <c r="A40" s="436"/>
      <c r="B40" s="320"/>
      <c r="C40" s="309"/>
      <c r="D40" s="322"/>
      <c r="E40" s="353"/>
      <c r="F40" s="403"/>
      <c r="G40" s="406"/>
      <c r="H40" s="347"/>
      <c r="I40" s="410"/>
      <c r="J40" s="262"/>
      <c r="K40" s="415"/>
      <c r="L40" s="220"/>
      <c r="M40" s="235"/>
      <c r="N40" s="298"/>
      <c r="O40" s="427"/>
      <c r="P40" s="423"/>
    </row>
    <row r="41" spans="1:16" s="36" customFormat="1" x14ac:dyDescent="0.2">
      <c r="A41" s="436"/>
      <c r="B41" s="320"/>
      <c r="C41" s="309"/>
      <c r="D41" s="322"/>
      <c r="E41" s="353"/>
      <c r="F41" s="403"/>
      <c r="G41" s="406"/>
      <c r="H41" s="347"/>
      <c r="I41" s="410"/>
      <c r="J41" s="262"/>
      <c r="K41" s="415"/>
      <c r="L41" s="220"/>
      <c r="M41" s="235"/>
      <c r="N41" s="298"/>
      <c r="O41" s="427"/>
      <c r="P41" s="423"/>
    </row>
    <row r="42" spans="1:16" s="36" customFormat="1" ht="12.75" customHeight="1" x14ac:dyDescent="0.2">
      <c r="A42" s="436"/>
      <c r="B42" s="320"/>
      <c r="C42" s="309"/>
      <c r="D42" s="322"/>
      <c r="E42" s="353"/>
      <c r="F42" s="403"/>
      <c r="G42" s="406"/>
      <c r="H42" s="347"/>
      <c r="I42" s="410"/>
      <c r="J42" s="262"/>
      <c r="K42" s="416"/>
      <c r="L42" s="221"/>
      <c r="M42" s="236"/>
      <c r="N42" s="301"/>
      <c r="O42" s="427"/>
      <c r="P42" s="423"/>
    </row>
    <row r="43" spans="1:16" s="36" customFormat="1" ht="12.75" customHeight="1" x14ac:dyDescent="0.2">
      <c r="A43" s="436"/>
      <c r="B43" s="320"/>
      <c r="C43" s="309"/>
      <c r="D43" s="322"/>
      <c r="E43" s="353"/>
      <c r="F43" s="403"/>
      <c r="G43" s="406"/>
      <c r="H43" s="347"/>
      <c r="I43" s="410"/>
      <c r="J43" s="262"/>
      <c r="K43" s="213" t="s">
        <v>10</v>
      </c>
      <c r="L43" s="216">
        <f>('d.c. fault estimation'!C7)*L2</f>
        <v>0.75951479618593931</v>
      </c>
      <c r="M43" s="231">
        <v>0.05</v>
      </c>
      <c r="N43" s="285" t="s">
        <v>1523</v>
      </c>
      <c r="O43" s="427"/>
      <c r="P43" s="423"/>
    </row>
    <row r="44" spans="1:16" s="36" customFormat="1" ht="12.75" customHeight="1" x14ac:dyDescent="0.2">
      <c r="A44" s="436"/>
      <c r="B44" s="320"/>
      <c r="C44" s="309"/>
      <c r="D44" s="322"/>
      <c r="E44" s="353"/>
      <c r="F44" s="403"/>
      <c r="G44" s="406"/>
      <c r="H44" s="347"/>
      <c r="I44" s="410"/>
      <c r="J44" s="262"/>
      <c r="K44" s="214"/>
      <c r="L44" s="217"/>
      <c r="M44" s="232"/>
      <c r="N44" s="286"/>
      <c r="O44" s="427"/>
      <c r="P44" s="423"/>
    </row>
    <row r="45" spans="1:16" s="36" customFormat="1" ht="12.75" customHeight="1" x14ac:dyDescent="0.2">
      <c r="A45" s="436"/>
      <c r="B45" s="320"/>
      <c r="C45" s="309"/>
      <c r="D45" s="322"/>
      <c r="E45" s="353"/>
      <c r="F45" s="403"/>
      <c r="G45" s="406"/>
      <c r="H45" s="347"/>
      <c r="I45" s="410"/>
      <c r="J45" s="262"/>
      <c r="K45" s="214"/>
      <c r="L45" s="217"/>
      <c r="M45" s="232"/>
      <c r="N45" s="286"/>
      <c r="O45" s="427"/>
      <c r="P45" s="423"/>
    </row>
    <row r="46" spans="1:16" s="36" customFormat="1" ht="12.75" customHeight="1" x14ac:dyDescent="0.2">
      <c r="A46" s="436"/>
      <c r="B46" s="320"/>
      <c r="C46" s="309"/>
      <c r="D46" s="322"/>
      <c r="E46" s="353"/>
      <c r="F46" s="403"/>
      <c r="G46" s="406"/>
      <c r="H46" s="347"/>
      <c r="I46" s="410"/>
      <c r="J46" s="262"/>
      <c r="K46" s="214"/>
      <c r="L46" s="217"/>
      <c r="M46" s="232"/>
      <c r="N46" s="286"/>
      <c r="O46" s="427"/>
      <c r="P46" s="423"/>
    </row>
    <row r="47" spans="1:16" s="36" customFormat="1" ht="12.75" customHeight="1" x14ac:dyDescent="0.2">
      <c r="A47" s="436"/>
      <c r="B47" s="320"/>
      <c r="C47" s="309"/>
      <c r="D47" s="322"/>
      <c r="E47" s="353"/>
      <c r="F47" s="403"/>
      <c r="G47" s="406"/>
      <c r="H47" s="347"/>
      <c r="I47" s="410"/>
      <c r="J47" s="262"/>
      <c r="K47" s="214"/>
      <c r="L47" s="217"/>
      <c r="M47" s="232"/>
      <c r="N47" s="286"/>
      <c r="O47" s="427"/>
      <c r="P47" s="423"/>
    </row>
    <row r="48" spans="1:16" s="36" customFormat="1" ht="12.75" customHeight="1" x14ac:dyDescent="0.2">
      <c r="A48" s="436"/>
      <c r="B48" s="329"/>
      <c r="C48" s="309"/>
      <c r="D48" s="322"/>
      <c r="E48" s="353"/>
      <c r="F48" s="403"/>
      <c r="G48" s="406"/>
      <c r="H48" s="347"/>
      <c r="I48" s="410"/>
      <c r="J48" s="262"/>
      <c r="K48" s="214"/>
      <c r="L48" s="217"/>
      <c r="M48" s="232"/>
      <c r="N48" s="286"/>
      <c r="O48" s="427"/>
      <c r="P48" s="423"/>
    </row>
    <row r="49" spans="1:16" s="36" customFormat="1" ht="12.75" customHeight="1" x14ac:dyDescent="0.2">
      <c r="A49" s="436"/>
      <c r="B49" s="329"/>
      <c r="C49" s="310"/>
      <c r="D49" s="322"/>
      <c r="E49" s="354"/>
      <c r="F49" s="404"/>
      <c r="G49" s="407"/>
      <c r="H49" s="348"/>
      <c r="I49" s="411"/>
      <c r="J49" s="263"/>
      <c r="K49" s="215"/>
      <c r="L49" s="218"/>
      <c r="M49" s="233"/>
      <c r="N49" s="296"/>
      <c r="O49" s="428"/>
      <c r="P49" s="424"/>
    </row>
    <row r="50" spans="1:16" s="36" customFormat="1" ht="12.75" customHeight="1" x14ac:dyDescent="0.2">
      <c r="A50" s="436"/>
      <c r="B50" s="319" t="s">
        <v>208</v>
      </c>
      <c r="C50" s="438" t="s">
        <v>1532</v>
      </c>
      <c r="D50" s="322">
        <v>4.6242954244031832E-2</v>
      </c>
      <c r="E50" s="352" t="s">
        <v>231</v>
      </c>
      <c r="F50" s="429">
        <v>1</v>
      </c>
      <c r="G50" s="432" t="s">
        <v>275</v>
      </c>
      <c r="H50" s="346">
        <f>L50*M50+L73*M73+L76*M76+L79*M79</f>
        <v>0.95232300693360072</v>
      </c>
      <c r="I50" s="349">
        <f>D50*F50</f>
        <v>4.6242954244031832E-2</v>
      </c>
      <c r="J50" s="261">
        <f>D50*F50*H50</f>
        <v>4.4038229235169306E-2</v>
      </c>
      <c r="K50" s="222" t="s">
        <v>7</v>
      </c>
      <c r="L50" s="219">
        <f>lookup!D356*'d.c. fault estimation'!C13+lookup!D356*'d.c. fault estimation'!C14*(1-POWER(1-'d.c. fault estimation'!C15,6))</f>
        <v>0.98623437500000621</v>
      </c>
      <c r="M50" s="234">
        <v>0.7</v>
      </c>
      <c r="N50" s="297" t="s">
        <v>1544</v>
      </c>
      <c r="O50" s="380" t="s">
        <v>1492</v>
      </c>
      <c r="P50" s="225" t="s">
        <v>1526</v>
      </c>
    </row>
    <row r="51" spans="1:16" s="36" customFormat="1" ht="12.75" customHeight="1" x14ac:dyDescent="0.2">
      <c r="A51" s="436"/>
      <c r="B51" s="320"/>
      <c r="C51" s="439"/>
      <c r="D51" s="322"/>
      <c r="E51" s="353"/>
      <c r="F51" s="430"/>
      <c r="G51" s="433"/>
      <c r="H51" s="347"/>
      <c r="I51" s="350"/>
      <c r="J51" s="262"/>
      <c r="K51" s="223"/>
      <c r="L51" s="220"/>
      <c r="M51" s="235"/>
      <c r="N51" s="298"/>
      <c r="O51" s="381"/>
      <c r="P51" s="226"/>
    </row>
    <row r="52" spans="1:16" s="36" customFormat="1" ht="12.75" customHeight="1" x14ac:dyDescent="0.2">
      <c r="A52" s="436"/>
      <c r="B52" s="320"/>
      <c r="C52" s="439"/>
      <c r="D52" s="322"/>
      <c r="E52" s="353"/>
      <c r="F52" s="430"/>
      <c r="G52" s="433"/>
      <c r="H52" s="347"/>
      <c r="I52" s="350"/>
      <c r="J52" s="262"/>
      <c r="K52" s="223"/>
      <c r="L52" s="220"/>
      <c r="M52" s="235"/>
      <c r="N52" s="298"/>
      <c r="O52" s="381"/>
      <c r="P52" s="226"/>
    </row>
    <row r="53" spans="1:16" s="36" customFormat="1" ht="12.75" customHeight="1" x14ac:dyDescent="0.2">
      <c r="A53" s="436"/>
      <c r="B53" s="320"/>
      <c r="C53" s="439"/>
      <c r="D53" s="322"/>
      <c r="E53" s="353"/>
      <c r="F53" s="430"/>
      <c r="G53" s="433"/>
      <c r="H53" s="347"/>
      <c r="I53" s="350"/>
      <c r="J53" s="262"/>
      <c r="K53" s="223"/>
      <c r="L53" s="220"/>
      <c r="M53" s="235"/>
      <c r="N53" s="298"/>
      <c r="O53" s="381"/>
      <c r="P53" s="226"/>
    </row>
    <row r="54" spans="1:16" s="36" customFormat="1" ht="12.75" customHeight="1" x14ac:dyDescent="0.2">
      <c r="A54" s="436"/>
      <c r="B54" s="320"/>
      <c r="C54" s="439"/>
      <c r="D54" s="322"/>
      <c r="E54" s="353"/>
      <c r="F54" s="430"/>
      <c r="G54" s="433"/>
      <c r="H54" s="347"/>
      <c r="I54" s="350"/>
      <c r="J54" s="262"/>
      <c r="K54" s="223"/>
      <c r="L54" s="220"/>
      <c r="M54" s="235"/>
      <c r="N54" s="298"/>
      <c r="O54" s="381"/>
      <c r="P54" s="226"/>
    </row>
    <row r="55" spans="1:16" s="36" customFormat="1" ht="12.75" customHeight="1" x14ac:dyDescent="0.2">
      <c r="A55" s="436"/>
      <c r="B55" s="320"/>
      <c r="C55" s="439"/>
      <c r="D55" s="322"/>
      <c r="E55" s="353"/>
      <c r="F55" s="430"/>
      <c r="G55" s="433"/>
      <c r="H55" s="347"/>
      <c r="I55" s="350"/>
      <c r="J55" s="262"/>
      <c r="K55" s="223"/>
      <c r="L55" s="220"/>
      <c r="M55" s="235"/>
      <c r="N55" s="298"/>
      <c r="O55" s="381"/>
      <c r="P55" s="226"/>
    </row>
    <row r="56" spans="1:16" s="36" customFormat="1" ht="12.75" customHeight="1" x14ac:dyDescent="0.2">
      <c r="A56" s="436"/>
      <c r="B56" s="320"/>
      <c r="C56" s="439"/>
      <c r="D56" s="322"/>
      <c r="E56" s="353"/>
      <c r="F56" s="430"/>
      <c r="G56" s="433"/>
      <c r="H56" s="347"/>
      <c r="I56" s="350"/>
      <c r="J56" s="262"/>
      <c r="K56" s="223"/>
      <c r="L56" s="220"/>
      <c r="M56" s="235"/>
      <c r="N56" s="298"/>
      <c r="O56" s="381"/>
      <c r="P56" s="226"/>
    </row>
    <row r="57" spans="1:16" s="36" customFormat="1" ht="12.75" customHeight="1" x14ac:dyDescent="0.2">
      <c r="A57" s="436"/>
      <c r="B57" s="320"/>
      <c r="C57" s="439"/>
      <c r="D57" s="322"/>
      <c r="E57" s="353"/>
      <c r="F57" s="430"/>
      <c r="G57" s="433"/>
      <c r="H57" s="347"/>
      <c r="I57" s="350"/>
      <c r="J57" s="262"/>
      <c r="K57" s="223"/>
      <c r="L57" s="220"/>
      <c r="M57" s="235"/>
      <c r="N57" s="298"/>
      <c r="O57" s="381"/>
      <c r="P57" s="226"/>
    </row>
    <row r="58" spans="1:16" s="36" customFormat="1" ht="12.75" customHeight="1" x14ac:dyDescent="0.2">
      <c r="A58" s="436"/>
      <c r="B58" s="320"/>
      <c r="C58" s="439"/>
      <c r="D58" s="322"/>
      <c r="E58" s="353"/>
      <c r="F58" s="430"/>
      <c r="G58" s="433"/>
      <c r="H58" s="347"/>
      <c r="I58" s="350"/>
      <c r="J58" s="262"/>
      <c r="K58" s="223"/>
      <c r="L58" s="220"/>
      <c r="M58" s="235"/>
      <c r="N58" s="298"/>
      <c r="O58" s="381"/>
      <c r="P58" s="226"/>
    </row>
    <row r="59" spans="1:16" s="36" customFormat="1" ht="12.75" customHeight="1" x14ac:dyDescent="0.2">
      <c r="A59" s="436"/>
      <c r="B59" s="320"/>
      <c r="C59" s="439"/>
      <c r="D59" s="322"/>
      <c r="E59" s="353"/>
      <c r="F59" s="430"/>
      <c r="G59" s="433"/>
      <c r="H59" s="347"/>
      <c r="I59" s="350"/>
      <c r="J59" s="262"/>
      <c r="K59" s="223"/>
      <c r="L59" s="220"/>
      <c r="M59" s="235"/>
      <c r="N59" s="298"/>
      <c r="O59" s="381"/>
      <c r="P59" s="226"/>
    </row>
    <row r="60" spans="1:16" s="36" customFormat="1" ht="12.75" customHeight="1" x14ac:dyDescent="0.2">
      <c r="A60" s="436"/>
      <c r="B60" s="320"/>
      <c r="C60" s="439"/>
      <c r="D60" s="322"/>
      <c r="E60" s="353"/>
      <c r="F60" s="430"/>
      <c r="G60" s="433"/>
      <c r="H60" s="347"/>
      <c r="I60" s="350"/>
      <c r="J60" s="262"/>
      <c r="K60" s="223"/>
      <c r="L60" s="220"/>
      <c r="M60" s="235"/>
      <c r="N60" s="298"/>
      <c r="O60" s="381"/>
      <c r="P60" s="226"/>
    </row>
    <row r="61" spans="1:16" s="36" customFormat="1" ht="12.75" customHeight="1" x14ac:dyDescent="0.2">
      <c r="A61" s="436"/>
      <c r="B61" s="320"/>
      <c r="C61" s="439"/>
      <c r="D61" s="322"/>
      <c r="E61" s="353"/>
      <c r="F61" s="430"/>
      <c r="G61" s="433"/>
      <c r="H61" s="347"/>
      <c r="I61" s="350"/>
      <c r="J61" s="262"/>
      <c r="K61" s="223"/>
      <c r="L61" s="220"/>
      <c r="M61" s="235"/>
      <c r="N61" s="298"/>
      <c r="O61" s="381"/>
      <c r="P61" s="226"/>
    </row>
    <row r="62" spans="1:16" s="36" customFormat="1" ht="12.75" customHeight="1" x14ac:dyDescent="0.2">
      <c r="A62" s="436"/>
      <c r="B62" s="320"/>
      <c r="C62" s="439"/>
      <c r="D62" s="322"/>
      <c r="E62" s="353"/>
      <c r="F62" s="430"/>
      <c r="G62" s="433"/>
      <c r="H62" s="347"/>
      <c r="I62" s="350"/>
      <c r="J62" s="262"/>
      <c r="K62" s="223"/>
      <c r="L62" s="220"/>
      <c r="M62" s="235"/>
      <c r="N62" s="298"/>
      <c r="O62" s="381"/>
      <c r="P62" s="226"/>
    </row>
    <row r="63" spans="1:16" s="36" customFormat="1" ht="12.75" customHeight="1" x14ac:dyDescent="0.2">
      <c r="A63" s="436"/>
      <c r="B63" s="320"/>
      <c r="C63" s="439"/>
      <c r="D63" s="322"/>
      <c r="E63" s="353"/>
      <c r="F63" s="430"/>
      <c r="G63" s="433"/>
      <c r="H63" s="347"/>
      <c r="I63" s="350"/>
      <c r="J63" s="262"/>
      <c r="K63" s="223"/>
      <c r="L63" s="220"/>
      <c r="M63" s="235"/>
      <c r="N63" s="298"/>
      <c r="O63" s="381"/>
      <c r="P63" s="226"/>
    </row>
    <row r="64" spans="1:16" s="36" customFormat="1" ht="12.75" customHeight="1" x14ac:dyDescent="0.2">
      <c r="A64" s="436"/>
      <c r="B64" s="320"/>
      <c r="C64" s="439"/>
      <c r="D64" s="322"/>
      <c r="E64" s="353"/>
      <c r="F64" s="430"/>
      <c r="G64" s="433"/>
      <c r="H64" s="347"/>
      <c r="I64" s="350"/>
      <c r="J64" s="262"/>
      <c r="K64" s="223"/>
      <c r="L64" s="220"/>
      <c r="M64" s="235"/>
      <c r="N64" s="298"/>
      <c r="O64" s="381"/>
      <c r="P64" s="226"/>
    </row>
    <row r="65" spans="1:16" s="36" customFormat="1" ht="12.75" customHeight="1" x14ac:dyDescent="0.2">
      <c r="A65" s="436"/>
      <c r="B65" s="320"/>
      <c r="C65" s="439"/>
      <c r="D65" s="322"/>
      <c r="E65" s="353"/>
      <c r="F65" s="430"/>
      <c r="G65" s="433"/>
      <c r="H65" s="347"/>
      <c r="I65" s="350"/>
      <c r="J65" s="262"/>
      <c r="K65" s="223"/>
      <c r="L65" s="220"/>
      <c r="M65" s="235"/>
      <c r="N65" s="298"/>
      <c r="O65" s="381"/>
      <c r="P65" s="226"/>
    </row>
    <row r="66" spans="1:16" s="36" customFormat="1" ht="12.75" customHeight="1" x14ac:dyDescent="0.2">
      <c r="A66" s="436"/>
      <c r="B66" s="320"/>
      <c r="C66" s="439"/>
      <c r="D66" s="322"/>
      <c r="E66" s="353"/>
      <c r="F66" s="430"/>
      <c r="G66" s="433"/>
      <c r="H66" s="347"/>
      <c r="I66" s="350"/>
      <c r="J66" s="262"/>
      <c r="K66" s="223"/>
      <c r="L66" s="220"/>
      <c r="M66" s="235"/>
      <c r="N66" s="298"/>
      <c r="O66" s="381"/>
      <c r="P66" s="226"/>
    </row>
    <row r="67" spans="1:16" s="36" customFormat="1" ht="12.75" customHeight="1" x14ac:dyDescent="0.2">
      <c r="A67" s="436"/>
      <c r="B67" s="320"/>
      <c r="C67" s="439"/>
      <c r="D67" s="322"/>
      <c r="E67" s="353"/>
      <c r="F67" s="430"/>
      <c r="G67" s="433"/>
      <c r="H67" s="347"/>
      <c r="I67" s="350"/>
      <c r="J67" s="262"/>
      <c r="K67" s="223"/>
      <c r="L67" s="220"/>
      <c r="M67" s="235"/>
      <c r="N67" s="298"/>
      <c r="O67" s="381"/>
      <c r="P67" s="226"/>
    </row>
    <row r="68" spans="1:16" s="36" customFormat="1" ht="12.75" customHeight="1" x14ac:dyDescent="0.2">
      <c r="A68" s="436"/>
      <c r="B68" s="320"/>
      <c r="C68" s="439"/>
      <c r="D68" s="322"/>
      <c r="E68" s="353"/>
      <c r="F68" s="430"/>
      <c r="G68" s="433"/>
      <c r="H68" s="347"/>
      <c r="I68" s="350"/>
      <c r="J68" s="262"/>
      <c r="K68" s="223"/>
      <c r="L68" s="220"/>
      <c r="M68" s="235"/>
      <c r="N68" s="298"/>
      <c r="O68" s="381"/>
      <c r="P68" s="226"/>
    </row>
    <row r="69" spans="1:16" s="36" customFormat="1" ht="12.75" customHeight="1" x14ac:dyDescent="0.2">
      <c r="A69" s="436"/>
      <c r="B69" s="320"/>
      <c r="C69" s="439"/>
      <c r="D69" s="322"/>
      <c r="E69" s="353"/>
      <c r="F69" s="430"/>
      <c r="G69" s="433"/>
      <c r="H69" s="347"/>
      <c r="I69" s="350"/>
      <c r="J69" s="262"/>
      <c r="K69" s="223"/>
      <c r="L69" s="220"/>
      <c r="M69" s="235"/>
      <c r="N69" s="298"/>
      <c r="O69" s="381"/>
      <c r="P69" s="226"/>
    </row>
    <row r="70" spans="1:16" s="36" customFormat="1" ht="12.75" customHeight="1" x14ac:dyDescent="0.2">
      <c r="A70" s="436"/>
      <c r="B70" s="320"/>
      <c r="C70" s="439"/>
      <c r="D70" s="322"/>
      <c r="E70" s="353"/>
      <c r="F70" s="430"/>
      <c r="G70" s="433"/>
      <c r="H70" s="347"/>
      <c r="I70" s="350"/>
      <c r="J70" s="262"/>
      <c r="K70" s="223"/>
      <c r="L70" s="220"/>
      <c r="M70" s="235"/>
      <c r="N70" s="298"/>
      <c r="O70" s="381"/>
      <c r="P70" s="226"/>
    </row>
    <row r="71" spans="1:16" s="36" customFormat="1" ht="12.75" customHeight="1" x14ac:dyDescent="0.2">
      <c r="A71" s="436"/>
      <c r="B71" s="320"/>
      <c r="C71" s="439"/>
      <c r="D71" s="322"/>
      <c r="E71" s="353"/>
      <c r="F71" s="430"/>
      <c r="G71" s="433"/>
      <c r="H71" s="347"/>
      <c r="I71" s="350"/>
      <c r="J71" s="262"/>
      <c r="K71" s="223"/>
      <c r="L71" s="220"/>
      <c r="M71" s="235"/>
      <c r="N71" s="298"/>
      <c r="O71" s="381"/>
      <c r="P71" s="226"/>
    </row>
    <row r="72" spans="1:16" s="36" customFormat="1" x14ac:dyDescent="0.2">
      <c r="A72" s="436"/>
      <c r="B72" s="320"/>
      <c r="C72" s="439"/>
      <c r="D72" s="322"/>
      <c r="E72" s="353"/>
      <c r="F72" s="430"/>
      <c r="G72" s="433"/>
      <c r="H72" s="347"/>
      <c r="I72" s="350"/>
      <c r="J72" s="262"/>
      <c r="K72" s="224"/>
      <c r="L72" s="221"/>
      <c r="M72" s="236"/>
      <c r="N72" s="301"/>
      <c r="O72" s="381"/>
      <c r="P72" s="226"/>
    </row>
    <row r="73" spans="1:16" s="36" customFormat="1" x14ac:dyDescent="0.2">
      <c r="A73" s="436"/>
      <c r="B73" s="320"/>
      <c r="C73" s="439"/>
      <c r="D73" s="322"/>
      <c r="E73" s="353"/>
      <c r="F73" s="430"/>
      <c r="G73" s="433"/>
      <c r="H73" s="347"/>
      <c r="I73" s="350"/>
      <c r="J73" s="262"/>
      <c r="K73" s="213" t="s">
        <v>11</v>
      </c>
      <c r="L73" s="216">
        <f>('d.c. fault estimation'!E16+'d.c. fault estimation'!F23)*(lookup!D356*'d.c. fault estimation'!C13+lookup!D356*'d.c. fault estimation'!C14)</f>
        <v>0.89239237841798014</v>
      </c>
      <c r="M73" s="231">
        <v>0.2</v>
      </c>
      <c r="N73" s="285" t="s">
        <v>1505</v>
      </c>
      <c r="O73" s="381"/>
      <c r="P73" s="226"/>
    </row>
    <row r="74" spans="1:16" s="36" customFormat="1" x14ac:dyDescent="0.2">
      <c r="A74" s="436"/>
      <c r="B74" s="320"/>
      <c r="C74" s="439"/>
      <c r="D74" s="322"/>
      <c r="E74" s="353"/>
      <c r="F74" s="430"/>
      <c r="G74" s="433"/>
      <c r="H74" s="347"/>
      <c r="I74" s="350"/>
      <c r="J74" s="262"/>
      <c r="K74" s="214"/>
      <c r="L74" s="217"/>
      <c r="M74" s="232"/>
      <c r="N74" s="291"/>
      <c r="O74" s="381"/>
      <c r="P74" s="226"/>
    </row>
    <row r="75" spans="1:16" s="36" customFormat="1" x14ac:dyDescent="0.2">
      <c r="A75" s="436"/>
      <c r="B75" s="320"/>
      <c r="C75" s="439"/>
      <c r="D75" s="322"/>
      <c r="E75" s="353"/>
      <c r="F75" s="430"/>
      <c r="G75" s="433"/>
      <c r="H75" s="347"/>
      <c r="I75" s="350"/>
      <c r="J75" s="262"/>
      <c r="K75" s="215"/>
      <c r="L75" s="218"/>
      <c r="M75" s="233"/>
      <c r="N75" s="292"/>
      <c r="O75" s="381"/>
      <c r="P75" s="226"/>
    </row>
    <row r="76" spans="1:16" s="36" customFormat="1" x14ac:dyDescent="0.2">
      <c r="A76" s="436"/>
      <c r="B76" s="320"/>
      <c r="C76" s="439"/>
      <c r="D76" s="322"/>
      <c r="E76" s="353"/>
      <c r="F76" s="430"/>
      <c r="G76" s="433"/>
      <c r="H76" s="347"/>
      <c r="I76" s="350"/>
      <c r="J76" s="262"/>
      <c r="K76" s="222" t="s">
        <v>12</v>
      </c>
      <c r="L76" s="219">
        <f>('d.c. fault estimation'!O18)*(lookup!D356*'d.c. fault estimation'!C13+lookup!D356*'d.c. fault estimation'!C14)</f>
        <v>0.6833750000000044</v>
      </c>
      <c r="M76" s="234">
        <v>0.05</v>
      </c>
      <c r="N76" s="297" t="s">
        <v>1542</v>
      </c>
      <c r="O76" s="381"/>
      <c r="P76" s="226"/>
    </row>
    <row r="77" spans="1:16" s="36" customFormat="1" x14ac:dyDescent="0.2">
      <c r="A77" s="436"/>
      <c r="B77" s="320"/>
      <c r="C77" s="439"/>
      <c r="D77" s="322"/>
      <c r="E77" s="353"/>
      <c r="F77" s="430"/>
      <c r="G77" s="433"/>
      <c r="H77" s="347"/>
      <c r="I77" s="350"/>
      <c r="J77" s="262"/>
      <c r="K77" s="223"/>
      <c r="L77" s="220"/>
      <c r="M77" s="235"/>
      <c r="N77" s="298"/>
      <c r="O77" s="381"/>
      <c r="P77" s="226"/>
    </row>
    <row r="78" spans="1:16" s="36" customFormat="1" x14ac:dyDescent="0.2">
      <c r="A78" s="436"/>
      <c r="B78" s="320"/>
      <c r="C78" s="439"/>
      <c r="D78" s="322"/>
      <c r="E78" s="353"/>
      <c r="F78" s="430"/>
      <c r="G78" s="433"/>
      <c r="H78" s="347"/>
      <c r="I78" s="350"/>
      <c r="J78" s="262"/>
      <c r="K78" s="223"/>
      <c r="L78" s="220"/>
      <c r="M78" s="235"/>
      <c r="N78" s="384"/>
      <c r="O78" s="381"/>
      <c r="P78" s="226"/>
    </row>
    <row r="79" spans="1:16" s="36" customFormat="1" ht="12.75" customHeight="1" x14ac:dyDescent="0.2">
      <c r="A79" s="436"/>
      <c r="B79" s="320"/>
      <c r="C79" s="439"/>
      <c r="D79" s="322"/>
      <c r="E79" s="353"/>
      <c r="F79" s="430"/>
      <c r="G79" s="433"/>
      <c r="H79" s="347"/>
      <c r="I79" s="350"/>
      <c r="J79" s="262"/>
      <c r="K79" s="213" t="s">
        <v>10</v>
      </c>
      <c r="L79" s="216">
        <f>L50</f>
        <v>0.98623437500000621</v>
      </c>
      <c r="M79" s="231">
        <v>0.05</v>
      </c>
      <c r="N79" s="285" t="s">
        <v>1096</v>
      </c>
      <c r="O79" s="381"/>
      <c r="P79" s="226"/>
    </row>
    <row r="80" spans="1:16" s="36" customFormat="1" x14ac:dyDescent="0.2">
      <c r="A80" s="436"/>
      <c r="B80" s="320"/>
      <c r="C80" s="439"/>
      <c r="D80" s="322"/>
      <c r="E80" s="353"/>
      <c r="F80" s="430"/>
      <c r="G80" s="433"/>
      <c r="H80" s="347"/>
      <c r="I80" s="350"/>
      <c r="J80" s="262"/>
      <c r="K80" s="214"/>
      <c r="L80" s="217"/>
      <c r="M80" s="232"/>
      <c r="N80" s="286"/>
      <c r="O80" s="381"/>
      <c r="P80" s="226"/>
    </row>
    <row r="81" spans="1:16" s="36" customFormat="1" x14ac:dyDescent="0.2">
      <c r="A81" s="436"/>
      <c r="B81" s="320"/>
      <c r="C81" s="439"/>
      <c r="D81" s="322"/>
      <c r="E81" s="353"/>
      <c r="F81" s="430"/>
      <c r="G81" s="433"/>
      <c r="H81" s="347"/>
      <c r="I81" s="350"/>
      <c r="J81" s="262"/>
      <c r="K81" s="214"/>
      <c r="L81" s="217"/>
      <c r="M81" s="232"/>
      <c r="N81" s="286"/>
      <c r="O81" s="381"/>
      <c r="P81" s="226"/>
    </row>
    <row r="82" spans="1:16" s="36" customFormat="1" x14ac:dyDescent="0.2">
      <c r="A82" s="436"/>
      <c r="B82" s="320"/>
      <c r="C82" s="439"/>
      <c r="D82" s="322"/>
      <c r="E82" s="353"/>
      <c r="F82" s="430"/>
      <c r="G82" s="433"/>
      <c r="H82" s="347"/>
      <c r="I82" s="350"/>
      <c r="J82" s="262"/>
      <c r="K82" s="214"/>
      <c r="L82" s="217"/>
      <c r="M82" s="232"/>
      <c r="N82" s="286"/>
      <c r="O82" s="381"/>
      <c r="P82" s="226"/>
    </row>
    <row r="83" spans="1:16" s="36" customFormat="1" x14ac:dyDescent="0.2">
      <c r="A83" s="436"/>
      <c r="B83" s="320"/>
      <c r="C83" s="439"/>
      <c r="D83" s="322"/>
      <c r="E83" s="353"/>
      <c r="F83" s="430"/>
      <c r="G83" s="433"/>
      <c r="H83" s="347"/>
      <c r="I83" s="350"/>
      <c r="J83" s="262"/>
      <c r="K83" s="214"/>
      <c r="L83" s="217"/>
      <c r="M83" s="232"/>
      <c r="N83" s="286"/>
      <c r="O83" s="381"/>
      <c r="P83" s="226"/>
    </row>
    <row r="84" spans="1:16" s="36" customFormat="1" x14ac:dyDescent="0.2">
      <c r="A84" s="436"/>
      <c r="B84" s="320"/>
      <c r="C84" s="439"/>
      <c r="D84" s="322"/>
      <c r="E84" s="353"/>
      <c r="F84" s="430"/>
      <c r="G84" s="433"/>
      <c r="H84" s="347"/>
      <c r="I84" s="350"/>
      <c r="J84" s="262"/>
      <c r="K84" s="214"/>
      <c r="L84" s="217"/>
      <c r="M84" s="232"/>
      <c r="N84" s="286"/>
      <c r="O84" s="381"/>
      <c r="P84" s="226"/>
    </row>
    <row r="85" spans="1:16" s="36" customFormat="1" x14ac:dyDescent="0.2">
      <c r="A85" s="436"/>
      <c r="B85" s="320"/>
      <c r="C85" s="439"/>
      <c r="D85" s="322"/>
      <c r="E85" s="353"/>
      <c r="F85" s="430"/>
      <c r="G85" s="433"/>
      <c r="H85" s="347"/>
      <c r="I85" s="350"/>
      <c r="J85" s="262"/>
      <c r="K85" s="214"/>
      <c r="L85" s="217"/>
      <c r="M85" s="232"/>
      <c r="N85" s="286"/>
      <c r="O85" s="381"/>
      <c r="P85" s="226"/>
    </row>
    <row r="86" spans="1:16" s="36" customFormat="1" x14ac:dyDescent="0.2">
      <c r="A86" s="436"/>
      <c r="B86" s="320"/>
      <c r="C86" s="439"/>
      <c r="D86" s="322"/>
      <c r="E86" s="353"/>
      <c r="F86" s="430"/>
      <c r="G86" s="433"/>
      <c r="H86" s="347"/>
      <c r="I86" s="350"/>
      <c r="J86" s="262"/>
      <c r="K86" s="214"/>
      <c r="L86" s="217"/>
      <c r="M86" s="232"/>
      <c r="N86" s="286"/>
      <c r="O86" s="381"/>
      <c r="P86" s="226"/>
    </row>
    <row r="87" spans="1:16" s="36" customFormat="1" x14ac:dyDescent="0.2">
      <c r="A87" s="436"/>
      <c r="B87" s="320"/>
      <c r="C87" s="439"/>
      <c r="D87" s="322"/>
      <c r="E87" s="353"/>
      <c r="F87" s="430"/>
      <c r="G87" s="433"/>
      <c r="H87" s="347"/>
      <c r="I87" s="350"/>
      <c r="J87" s="262"/>
      <c r="K87" s="214"/>
      <c r="L87" s="217"/>
      <c r="M87" s="232"/>
      <c r="N87" s="286"/>
      <c r="O87" s="381"/>
      <c r="P87" s="226"/>
    </row>
    <row r="88" spans="1:16" s="36" customFormat="1" x14ac:dyDescent="0.2">
      <c r="A88" s="436"/>
      <c r="B88" s="320"/>
      <c r="C88" s="439"/>
      <c r="D88" s="322"/>
      <c r="E88" s="353"/>
      <c r="F88" s="430"/>
      <c r="G88" s="433"/>
      <c r="H88" s="347"/>
      <c r="I88" s="350"/>
      <c r="J88" s="262"/>
      <c r="K88" s="214"/>
      <c r="L88" s="217"/>
      <c r="M88" s="232"/>
      <c r="N88" s="286"/>
      <c r="O88" s="381"/>
      <c r="P88" s="226"/>
    </row>
    <row r="89" spans="1:16" s="36" customFormat="1" x14ac:dyDescent="0.2">
      <c r="A89" s="436"/>
      <c r="B89" s="320"/>
      <c r="C89" s="439"/>
      <c r="D89" s="322"/>
      <c r="E89" s="353"/>
      <c r="F89" s="430"/>
      <c r="G89" s="433"/>
      <c r="H89" s="347"/>
      <c r="I89" s="350"/>
      <c r="J89" s="262"/>
      <c r="K89" s="214"/>
      <c r="L89" s="217"/>
      <c r="M89" s="232"/>
      <c r="N89" s="286"/>
      <c r="O89" s="381"/>
      <c r="P89" s="226"/>
    </row>
    <row r="90" spans="1:16" s="36" customFormat="1" x14ac:dyDescent="0.2">
      <c r="A90" s="436"/>
      <c r="B90" s="320"/>
      <c r="C90" s="439"/>
      <c r="D90" s="322"/>
      <c r="E90" s="353"/>
      <c r="F90" s="430"/>
      <c r="G90" s="433"/>
      <c r="H90" s="347"/>
      <c r="I90" s="350"/>
      <c r="J90" s="262"/>
      <c r="K90" s="214"/>
      <c r="L90" s="217"/>
      <c r="M90" s="232"/>
      <c r="N90" s="286"/>
      <c r="O90" s="381"/>
      <c r="P90" s="226"/>
    </row>
    <row r="91" spans="1:16" s="36" customFormat="1" x14ac:dyDescent="0.2">
      <c r="A91" s="436"/>
      <c r="B91" s="320"/>
      <c r="C91" s="439"/>
      <c r="D91" s="322"/>
      <c r="E91" s="353"/>
      <c r="F91" s="430"/>
      <c r="G91" s="433"/>
      <c r="H91" s="347"/>
      <c r="I91" s="350"/>
      <c r="J91" s="262"/>
      <c r="K91" s="214"/>
      <c r="L91" s="217"/>
      <c r="M91" s="232"/>
      <c r="N91" s="286"/>
      <c r="O91" s="381"/>
      <c r="P91" s="226"/>
    </row>
    <row r="92" spans="1:16" s="36" customFormat="1" x14ac:dyDescent="0.2">
      <c r="A92" s="436"/>
      <c r="B92" s="320"/>
      <c r="C92" s="439"/>
      <c r="D92" s="322"/>
      <c r="E92" s="353"/>
      <c r="F92" s="430"/>
      <c r="G92" s="433"/>
      <c r="H92" s="347"/>
      <c r="I92" s="350"/>
      <c r="J92" s="262"/>
      <c r="K92" s="214"/>
      <c r="L92" s="217"/>
      <c r="M92" s="232"/>
      <c r="N92" s="286"/>
      <c r="O92" s="381"/>
      <c r="P92" s="226"/>
    </row>
    <row r="93" spans="1:16" s="36" customFormat="1" x14ac:dyDescent="0.2">
      <c r="A93" s="436"/>
      <c r="B93" s="320"/>
      <c r="C93" s="439"/>
      <c r="D93" s="322"/>
      <c r="E93" s="353"/>
      <c r="F93" s="430"/>
      <c r="G93" s="433"/>
      <c r="H93" s="347"/>
      <c r="I93" s="350"/>
      <c r="J93" s="262"/>
      <c r="K93" s="214"/>
      <c r="L93" s="217"/>
      <c r="M93" s="232"/>
      <c r="N93" s="286"/>
      <c r="O93" s="381"/>
      <c r="P93" s="226"/>
    </row>
    <row r="94" spans="1:16" s="36" customFormat="1" x14ac:dyDescent="0.2">
      <c r="A94" s="436"/>
      <c r="B94" s="320"/>
      <c r="C94" s="439"/>
      <c r="D94" s="322"/>
      <c r="E94" s="353"/>
      <c r="F94" s="430"/>
      <c r="G94" s="433"/>
      <c r="H94" s="347"/>
      <c r="I94" s="350"/>
      <c r="J94" s="262"/>
      <c r="K94" s="214"/>
      <c r="L94" s="217"/>
      <c r="M94" s="232"/>
      <c r="N94" s="286"/>
      <c r="O94" s="381"/>
      <c r="P94" s="226"/>
    </row>
    <row r="95" spans="1:16" s="36" customFormat="1" x14ac:dyDescent="0.2">
      <c r="A95" s="436"/>
      <c r="B95" s="320"/>
      <c r="C95" s="439"/>
      <c r="D95" s="322"/>
      <c r="E95" s="353"/>
      <c r="F95" s="430"/>
      <c r="G95" s="433"/>
      <c r="H95" s="347"/>
      <c r="I95" s="350"/>
      <c r="J95" s="262"/>
      <c r="K95" s="214"/>
      <c r="L95" s="217"/>
      <c r="M95" s="232"/>
      <c r="N95" s="286"/>
      <c r="O95" s="381"/>
      <c r="P95" s="226"/>
    </row>
    <row r="96" spans="1:16" s="36" customFormat="1" x14ac:dyDescent="0.2">
      <c r="A96" s="436"/>
      <c r="B96" s="321"/>
      <c r="C96" s="440"/>
      <c r="D96" s="322"/>
      <c r="E96" s="354"/>
      <c r="F96" s="431"/>
      <c r="G96" s="434"/>
      <c r="H96" s="348"/>
      <c r="I96" s="351"/>
      <c r="J96" s="263"/>
      <c r="K96" s="215"/>
      <c r="L96" s="218"/>
      <c r="M96" s="233"/>
      <c r="N96" s="296"/>
      <c r="O96" s="413"/>
      <c r="P96" s="227"/>
    </row>
    <row r="97" spans="1:16" s="36" customFormat="1" x14ac:dyDescent="0.2">
      <c r="A97" s="436"/>
      <c r="B97" s="315" t="s">
        <v>794</v>
      </c>
      <c r="C97" s="365" t="s">
        <v>796</v>
      </c>
      <c r="D97" s="318">
        <v>8.9626160477453577E-3</v>
      </c>
      <c r="E97" s="335" t="s">
        <v>231</v>
      </c>
      <c r="F97" s="315">
        <v>1</v>
      </c>
      <c r="G97" s="338" t="s">
        <v>797</v>
      </c>
      <c r="H97" s="264">
        <f>L97*M97+L119*M119+L122*M122+L125*M125</f>
        <v>0.95812960432592587</v>
      </c>
      <c r="I97" s="255">
        <f>D97*F97</f>
        <v>8.9626160477453577E-3</v>
      </c>
      <c r="J97" s="267">
        <f>D97*F97*H97</f>
        <v>8.5873477675514533E-3</v>
      </c>
      <c r="K97" s="222" t="s">
        <v>7</v>
      </c>
      <c r="L97" s="219">
        <f>lookup!F98*'d.c. fault estimation'!C38+lookup!F98*'d.c. fault estimation'!C39*(1-POWER(1-'d.c. fault estimation'!C40,6))</f>
        <v>0.99129453124999833</v>
      </c>
      <c r="M97" s="234">
        <v>0.7</v>
      </c>
      <c r="N97" s="297" t="s">
        <v>1504</v>
      </c>
      <c r="O97" s="380" t="s">
        <v>798</v>
      </c>
      <c r="P97" s="225" t="s">
        <v>1527</v>
      </c>
    </row>
    <row r="98" spans="1:16" s="36" customFormat="1" x14ac:dyDescent="0.2">
      <c r="A98" s="436"/>
      <c r="B98" s="316"/>
      <c r="C98" s="366"/>
      <c r="D98" s="318"/>
      <c r="E98" s="336"/>
      <c r="F98" s="316"/>
      <c r="G98" s="339"/>
      <c r="H98" s="265"/>
      <c r="I98" s="256"/>
      <c r="J98" s="268"/>
      <c r="K98" s="223"/>
      <c r="L98" s="220"/>
      <c r="M98" s="235"/>
      <c r="N98" s="298"/>
      <c r="O98" s="381"/>
      <c r="P98" s="423"/>
    </row>
    <row r="99" spans="1:16" s="36" customFormat="1" x14ac:dyDescent="0.2">
      <c r="A99" s="436"/>
      <c r="B99" s="316"/>
      <c r="C99" s="366"/>
      <c r="D99" s="318"/>
      <c r="E99" s="336"/>
      <c r="F99" s="316"/>
      <c r="G99" s="339"/>
      <c r="H99" s="265"/>
      <c r="I99" s="256"/>
      <c r="J99" s="268"/>
      <c r="K99" s="223"/>
      <c r="L99" s="220"/>
      <c r="M99" s="235"/>
      <c r="N99" s="298"/>
      <c r="O99" s="381"/>
      <c r="P99" s="423"/>
    </row>
    <row r="100" spans="1:16" s="36" customFormat="1" x14ac:dyDescent="0.2">
      <c r="A100" s="436"/>
      <c r="B100" s="316"/>
      <c r="C100" s="366"/>
      <c r="D100" s="318"/>
      <c r="E100" s="336"/>
      <c r="F100" s="316"/>
      <c r="G100" s="339"/>
      <c r="H100" s="265"/>
      <c r="I100" s="256"/>
      <c r="J100" s="268"/>
      <c r="K100" s="223"/>
      <c r="L100" s="220"/>
      <c r="M100" s="235"/>
      <c r="N100" s="298"/>
      <c r="O100" s="381"/>
      <c r="P100" s="423"/>
    </row>
    <row r="101" spans="1:16" s="36" customFormat="1" x14ac:dyDescent="0.2">
      <c r="A101" s="436"/>
      <c r="B101" s="316"/>
      <c r="C101" s="366"/>
      <c r="D101" s="318"/>
      <c r="E101" s="336"/>
      <c r="F101" s="316"/>
      <c r="G101" s="339"/>
      <c r="H101" s="265"/>
      <c r="I101" s="256"/>
      <c r="J101" s="268"/>
      <c r="K101" s="223"/>
      <c r="L101" s="220"/>
      <c r="M101" s="235"/>
      <c r="N101" s="298"/>
      <c r="O101" s="381"/>
      <c r="P101" s="423"/>
    </row>
    <row r="102" spans="1:16" s="36" customFormat="1" x14ac:dyDescent="0.2">
      <c r="A102" s="436"/>
      <c r="B102" s="316"/>
      <c r="C102" s="366"/>
      <c r="D102" s="318"/>
      <c r="E102" s="336"/>
      <c r="F102" s="316"/>
      <c r="G102" s="339"/>
      <c r="H102" s="265"/>
      <c r="I102" s="256"/>
      <c r="J102" s="268"/>
      <c r="K102" s="223"/>
      <c r="L102" s="220"/>
      <c r="M102" s="235"/>
      <c r="N102" s="298"/>
      <c r="O102" s="381"/>
      <c r="P102" s="423"/>
    </row>
    <row r="103" spans="1:16" s="36" customFormat="1" x14ac:dyDescent="0.2">
      <c r="A103" s="436"/>
      <c r="B103" s="316"/>
      <c r="C103" s="366"/>
      <c r="D103" s="318"/>
      <c r="E103" s="336"/>
      <c r="F103" s="316"/>
      <c r="G103" s="339"/>
      <c r="H103" s="265"/>
      <c r="I103" s="256"/>
      <c r="J103" s="268"/>
      <c r="K103" s="223"/>
      <c r="L103" s="220"/>
      <c r="M103" s="235"/>
      <c r="N103" s="298"/>
      <c r="O103" s="381"/>
      <c r="P103" s="423"/>
    </row>
    <row r="104" spans="1:16" s="36" customFormat="1" x14ac:dyDescent="0.2">
      <c r="A104" s="436"/>
      <c r="B104" s="316"/>
      <c r="C104" s="366"/>
      <c r="D104" s="318"/>
      <c r="E104" s="336"/>
      <c r="F104" s="316"/>
      <c r="G104" s="339"/>
      <c r="H104" s="265"/>
      <c r="I104" s="256"/>
      <c r="J104" s="268"/>
      <c r="K104" s="223"/>
      <c r="L104" s="220"/>
      <c r="M104" s="235"/>
      <c r="N104" s="298"/>
      <c r="O104" s="381"/>
      <c r="P104" s="423"/>
    </row>
    <row r="105" spans="1:16" s="36" customFormat="1" x14ac:dyDescent="0.2">
      <c r="A105" s="436"/>
      <c r="B105" s="316"/>
      <c r="C105" s="366"/>
      <c r="D105" s="318"/>
      <c r="E105" s="336"/>
      <c r="F105" s="316"/>
      <c r="G105" s="339"/>
      <c r="H105" s="265"/>
      <c r="I105" s="256"/>
      <c r="J105" s="268"/>
      <c r="K105" s="223"/>
      <c r="L105" s="220"/>
      <c r="M105" s="235"/>
      <c r="N105" s="298"/>
      <c r="O105" s="381"/>
      <c r="P105" s="423"/>
    </row>
    <row r="106" spans="1:16" s="36" customFormat="1" x14ac:dyDescent="0.2">
      <c r="A106" s="436"/>
      <c r="B106" s="316"/>
      <c r="C106" s="366"/>
      <c r="D106" s="318"/>
      <c r="E106" s="336"/>
      <c r="F106" s="316"/>
      <c r="G106" s="339"/>
      <c r="H106" s="265"/>
      <c r="I106" s="256"/>
      <c r="J106" s="268"/>
      <c r="K106" s="223"/>
      <c r="L106" s="220"/>
      <c r="M106" s="235"/>
      <c r="N106" s="298"/>
      <c r="O106" s="381"/>
      <c r="P106" s="423"/>
    </row>
    <row r="107" spans="1:16" s="36" customFormat="1" x14ac:dyDescent="0.2">
      <c r="A107" s="436"/>
      <c r="B107" s="316"/>
      <c r="C107" s="366"/>
      <c r="D107" s="318"/>
      <c r="E107" s="336"/>
      <c r="F107" s="316"/>
      <c r="G107" s="339"/>
      <c r="H107" s="265"/>
      <c r="I107" s="256"/>
      <c r="J107" s="268"/>
      <c r="K107" s="223"/>
      <c r="L107" s="220"/>
      <c r="M107" s="235"/>
      <c r="N107" s="298"/>
      <c r="O107" s="381"/>
      <c r="P107" s="423"/>
    </row>
    <row r="108" spans="1:16" s="36" customFormat="1" x14ac:dyDescent="0.2">
      <c r="A108" s="436"/>
      <c r="B108" s="316"/>
      <c r="C108" s="366"/>
      <c r="D108" s="318"/>
      <c r="E108" s="336"/>
      <c r="F108" s="316"/>
      <c r="G108" s="339"/>
      <c r="H108" s="265"/>
      <c r="I108" s="256"/>
      <c r="J108" s="268"/>
      <c r="K108" s="223"/>
      <c r="L108" s="220"/>
      <c r="M108" s="235"/>
      <c r="N108" s="298"/>
      <c r="O108" s="381"/>
      <c r="P108" s="423"/>
    </row>
    <row r="109" spans="1:16" s="36" customFormat="1" x14ac:dyDescent="0.2">
      <c r="A109" s="436"/>
      <c r="B109" s="316"/>
      <c r="C109" s="366"/>
      <c r="D109" s="318"/>
      <c r="E109" s="336"/>
      <c r="F109" s="316"/>
      <c r="G109" s="339"/>
      <c r="H109" s="265"/>
      <c r="I109" s="256"/>
      <c r="J109" s="268"/>
      <c r="K109" s="223"/>
      <c r="L109" s="220"/>
      <c r="M109" s="235"/>
      <c r="N109" s="298"/>
      <c r="O109" s="381"/>
      <c r="P109" s="423"/>
    </row>
    <row r="110" spans="1:16" s="36" customFormat="1" x14ac:dyDescent="0.2">
      <c r="A110" s="436"/>
      <c r="B110" s="316"/>
      <c r="C110" s="366"/>
      <c r="D110" s="318"/>
      <c r="E110" s="336"/>
      <c r="F110" s="316"/>
      <c r="G110" s="339"/>
      <c r="H110" s="265"/>
      <c r="I110" s="256"/>
      <c r="J110" s="268"/>
      <c r="K110" s="223"/>
      <c r="L110" s="220"/>
      <c r="M110" s="235"/>
      <c r="N110" s="298"/>
      <c r="O110" s="381"/>
      <c r="P110" s="423"/>
    </row>
    <row r="111" spans="1:16" s="36" customFormat="1" x14ac:dyDescent="0.2">
      <c r="A111" s="436"/>
      <c r="B111" s="316"/>
      <c r="C111" s="366"/>
      <c r="D111" s="318"/>
      <c r="E111" s="336"/>
      <c r="F111" s="316"/>
      <c r="G111" s="339"/>
      <c r="H111" s="265"/>
      <c r="I111" s="256"/>
      <c r="J111" s="268"/>
      <c r="K111" s="223"/>
      <c r="L111" s="220"/>
      <c r="M111" s="235"/>
      <c r="N111" s="298"/>
      <c r="O111" s="381"/>
      <c r="P111" s="423"/>
    </row>
    <row r="112" spans="1:16" s="36" customFormat="1" x14ac:dyDescent="0.2">
      <c r="A112" s="436"/>
      <c r="B112" s="316"/>
      <c r="C112" s="366"/>
      <c r="D112" s="318"/>
      <c r="E112" s="336"/>
      <c r="F112" s="316"/>
      <c r="G112" s="339"/>
      <c r="H112" s="265"/>
      <c r="I112" s="256"/>
      <c r="J112" s="268"/>
      <c r="K112" s="223"/>
      <c r="L112" s="220"/>
      <c r="M112" s="235"/>
      <c r="N112" s="298"/>
      <c r="O112" s="381"/>
      <c r="P112" s="423"/>
    </row>
    <row r="113" spans="1:16" s="36" customFormat="1" x14ac:dyDescent="0.2">
      <c r="A113" s="436"/>
      <c r="B113" s="316"/>
      <c r="C113" s="366"/>
      <c r="D113" s="318"/>
      <c r="E113" s="336"/>
      <c r="F113" s="316"/>
      <c r="G113" s="339"/>
      <c r="H113" s="265"/>
      <c r="I113" s="256"/>
      <c r="J113" s="268"/>
      <c r="K113" s="223"/>
      <c r="L113" s="220"/>
      <c r="M113" s="235"/>
      <c r="N113" s="298"/>
      <c r="O113" s="381"/>
      <c r="P113" s="423"/>
    </row>
    <row r="114" spans="1:16" s="36" customFormat="1" x14ac:dyDescent="0.2">
      <c r="A114" s="436"/>
      <c r="B114" s="316"/>
      <c r="C114" s="366"/>
      <c r="D114" s="318"/>
      <c r="E114" s="336"/>
      <c r="F114" s="316"/>
      <c r="G114" s="339"/>
      <c r="H114" s="265"/>
      <c r="I114" s="256"/>
      <c r="J114" s="268"/>
      <c r="K114" s="223"/>
      <c r="L114" s="220"/>
      <c r="M114" s="235"/>
      <c r="N114" s="298"/>
      <c r="O114" s="381"/>
      <c r="P114" s="423"/>
    </row>
    <row r="115" spans="1:16" s="36" customFormat="1" x14ac:dyDescent="0.2">
      <c r="A115" s="436"/>
      <c r="B115" s="316"/>
      <c r="C115" s="366"/>
      <c r="D115" s="318"/>
      <c r="E115" s="336"/>
      <c r="F115" s="316"/>
      <c r="G115" s="339"/>
      <c r="H115" s="265"/>
      <c r="I115" s="256"/>
      <c r="J115" s="268"/>
      <c r="K115" s="223"/>
      <c r="L115" s="220"/>
      <c r="M115" s="235"/>
      <c r="N115" s="298"/>
      <c r="O115" s="381"/>
      <c r="P115" s="423"/>
    </row>
    <row r="116" spans="1:16" s="36" customFormat="1" x14ac:dyDescent="0.2">
      <c r="A116" s="436"/>
      <c r="B116" s="316"/>
      <c r="C116" s="366"/>
      <c r="D116" s="318"/>
      <c r="E116" s="336"/>
      <c r="F116" s="316"/>
      <c r="G116" s="339"/>
      <c r="H116" s="265"/>
      <c r="I116" s="256"/>
      <c r="J116" s="268"/>
      <c r="K116" s="223"/>
      <c r="L116" s="220"/>
      <c r="M116" s="235"/>
      <c r="N116" s="298"/>
      <c r="O116" s="381"/>
      <c r="P116" s="423"/>
    </row>
    <row r="117" spans="1:16" s="36" customFormat="1" x14ac:dyDescent="0.2">
      <c r="A117" s="436"/>
      <c r="B117" s="316"/>
      <c r="C117" s="366"/>
      <c r="D117" s="318"/>
      <c r="E117" s="336"/>
      <c r="F117" s="316"/>
      <c r="G117" s="339"/>
      <c r="H117" s="265"/>
      <c r="I117" s="256"/>
      <c r="J117" s="268"/>
      <c r="K117" s="223"/>
      <c r="L117" s="220"/>
      <c r="M117" s="235"/>
      <c r="N117" s="298"/>
      <c r="O117" s="381"/>
      <c r="P117" s="423"/>
    </row>
    <row r="118" spans="1:16" s="36" customFormat="1" x14ac:dyDescent="0.2">
      <c r="A118" s="436"/>
      <c r="B118" s="316"/>
      <c r="C118" s="366"/>
      <c r="D118" s="318"/>
      <c r="E118" s="336"/>
      <c r="F118" s="316"/>
      <c r="G118" s="339"/>
      <c r="H118" s="265"/>
      <c r="I118" s="256"/>
      <c r="J118" s="268"/>
      <c r="K118" s="224"/>
      <c r="L118" s="221"/>
      <c r="M118" s="236"/>
      <c r="N118" s="301"/>
      <c r="O118" s="382"/>
      <c r="P118" s="423"/>
    </row>
    <row r="119" spans="1:16" s="36" customFormat="1" x14ac:dyDescent="0.2">
      <c r="A119" s="436"/>
      <c r="B119" s="316"/>
      <c r="C119" s="366"/>
      <c r="D119" s="318"/>
      <c r="E119" s="336"/>
      <c r="F119" s="316"/>
      <c r="G119" s="339"/>
      <c r="H119" s="265"/>
      <c r="I119" s="256"/>
      <c r="J119" s="268"/>
      <c r="K119" s="213" t="s">
        <v>11</v>
      </c>
      <c r="L119" s="216">
        <f>('d.c. fault estimation'!E41+'d.c. fault estimation'!F48)*(lookup!F98*'d.c. fault estimation'!C38+lookup!F98*'d.c. fault estimation'!C39)</f>
        <v>0.90157321694213566</v>
      </c>
      <c r="M119" s="231">
        <v>0.2</v>
      </c>
      <c r="N119" s="285" t="s">
        <v>1505</v>
      </c>
      <c r="O119" s="382"/>
      <c r="P119" s="423"/>
    </row>
    <row r="120" spans="1:16" s="36" customFormat="1" x14ac:dyDescent="0.2">
      <c r="A120" s="436"/>
      <c r="B120" s="316"/>
      <c r="C120" s="366"/>
      <c r="D120" s="318"/>
      <c r="E120" s="336"/>
      <c r="F120" s="316"/>
      <c r="G120" s="339"/>
      <c r="H120" s="265"/>
      <c r="I120" s="256"/>
      <c r="J120" s="268"/>
      <c r="K120" s="214"/>
      <c r="L120" s="217"/>
      <c r="M120" s="232"/>
      <c r="N120" s="291"/>
      <c r="O120" s="382"/>
      <c r="P120" s="423"/>
    </row>
    <row r="121" spans="1:16" s="36" customFormat="1" x14ac:dyDescent="0.2">
      <c r="A121" s="436"/>
      <c r="B121" s="316"/>
      <c r="C121" s="366"/>
      <c r="D121" s="318"/>
      <c r="E121" s="336"/>
      <c r="F121" s="316"/>
      <c r="G121" s="339"/>
      <c r="H121" s="265"/>
      <c r="I121" s="256"/>
      <c r="J121" s="268"/>
      <c r="K121" s="215"/>
      <c r="L121" s="218"/>
      <c r="M121" s="233"/>
      <c r="N121" s="292"/>
      <c r="O121" s="382"/>
      <c r="P121" s="423"/>
    </row>
    <row r="122" spans="1:16" s="36" customFormat="1" x14ac:dyDescent="0.2">
      <c r="A122" s="436"/>
      <c r="B122" s="316"/>
      <c r="C122" s="366"/>
      <c r="D122" s="318"/>
      <c r="E122" s="336"/>
      <c r="F122" s="316"/>
      <c r="G122" s="339"/>
      <c r="H122" s="265"/>
      <c r="I122" s="256"/>
      <c r="J122" s="268"/>
      <c r="K122" s="222" t="s">
        <v>12</v>
      </c>
      <c r="L122" s="219">
        <f>('d.c. fault estimation'!O43)*(lookup!F98*'d.c. fault estimation'!C38+lookup!F98*'d.c. fault estimation'!C39)</f>
        <v>0.68688124999999889</v>
      </c>
      <c r="M122" s="234">
        <v>0.05</v>
      </c>
      <c r="N122" s="297" t="s">
        <v>1506</v>
      </c>
      <c r="O122" s="382"/>
      <c r="P122" s="423"/>
    </row>
    <row r="123" spans="1:16" s="36" customFormat="1" x14ac:dyDescent="0.2">
      <c r="A123" s="436"/>
      <c r="B123" s="316"/>
      <c r="C123" s="366"/>
      <c r="D123" s="318"/>
      <c r="E123" s="336"/>
      <c r="F123" s="316"/>
      <c r="G123" s="339"/>
      <c r="H123" s="265"/>
      <c r="I123" s="256"/>
      <c r="J123" s="268"/>
      <c r="K123" s="223"/>
      <c r="L123" s="220"/>
      <c r="M123" s="235"/>
      <c r="N123" s="298"/>
      <c r="O123" s="382"/>
      <c r="P123" s="423"/>
    </row>
    <row r="124" spans="1:16" s="36" customFormat="1" x14ac:dyDescent="0.2">
      <c r="A124" s="436"/>
      <c r="B124" s="316"/>
      <c r="C124" s="366"/>
      <c r="D124" s="318"/>
      <c r="E124" s="336"/>
      <c r="F124" s="316"/>
      <c r="G124" s="339"/>
      <c r="H124" s="265"/>
      <c r="I124" s="256"/>
      <c r="J124" s="268"/>
      <c r="K124" s="224"/>
      <c r="L124" s="221"/>
      <c r="M124" s="236"/>
      <c r="N124" s="384"/>
      <c r="O124" s="382"/>
      <c r="P124" s="423"/>
    </row>
    <row r="125" spans="1:16" s="36" customFormat="1" x14ac:dyDescent="0.2">
      <c r="A125" s="436"/>
      <c r="B125" s="316"/>
      <c r="C125" s="366"/>
      <c r="D125" s="318"/>
      <c r="E125" s="336"/>
      <c r="F125" s="316"/>
      <c r="G125" s="339"/>
      <c r="H125" s="265"/>
      <c r="I125" s="256"/>
      <c r="J125" s="268"/>
      <c r="K125" s="213" t="s">
        <v>10</v>
      </c>
      <c r="L125" s="216">
        <f>L97</f>
        <v>0.99129453124999833</v>
      </c>
      <c r="M125" s="231">
        <v>0.05</v>
      </c>
      <c r="N125" s="302" t="s">
        <v>1456</v>
      </c>
      <c r="O125" s="382"/>
      <c r="P125" s="423"/>
    </row>
    <row r="126" spans="1:16" s="36" customFormat="1" x14ac:dyDescent="0.2">
      <c r="A126" s="436"/>
      <c r="B126" s="316"/>
      <c r="C126" s="366"/>
      <c r="D126" s="318"/>
      <c r="E126" s="336"/>
      <c r="F126" s="316"/>
      <c r="G126" s="339"/>
      <c r="H126" s="265"/>
      <c r="I126" s="256"/>
      <c r="J126" s="268"/>
      <c r="K126" s="214"/>
      <c r="L126" s="217"/>
      <c r="M126" s="232"/>
      <c r="N126" s="303"/>
      <c r="O126" s="382"/>
      <c r="P126" s="423"/>
    </row>
    <row r="127" spans="1:16" s="36" customFormat="1" x14ac:dyDescent="0.2">
      <c r="A127" s="436"/>
      <c r="B127" s="316"/>
      <c r="C127" s="366"/>
      <c r="D127" s="318"/>
      <c r="E127" s="336"/>
      <c r="F127" s="316"/>
      <c r="G127" s="339"/>
      <c r="H127" s="265"/>
      <c r="I127" s="256"/>
      <c r="J127" s="268"/>
      <c r="K127" s="214"/>
      <c r="L127" s="217"/>
      <c r="M127" s="232"/>
      <c r="N127" s="303"/>
      <c r="O127" s="382"/>
      <c r="P127" s="423"/>
    </row>
    <row r="128" spans="1:16" s="36" customFormat="1" x14ac:dyDescent="0.2">
      <c r="A128" s="436"/>
      <c r="B128" s="316"/>
      <c r="C128" s="366"/>
      <c r="D128" s="318"/>
      <c r="E128" s="336"/>
      <c r="F128" s="316"/>
      <c r="G128" s="339"/>
      <c r="H128" s="265"/>
      <c r="I128" s="256"/>
      <c r="J128" s="268"/>
      <c r="K128" s="214"/>
      <c r="L128" s="217"/>
      <c r="M128" s="232"/>
      <c r="N128" s="303"/>
      <c r="O128" s="382"/>
      <c r="P128" s="423"/>
    </row>
    <row r="129" spans="1:16" s="36" customFormat="1" x14ac:dyDescent="0.2">
      <c r="A129" s="436"/>
      <c r="B129" s="316"/>
      <c r="C129" s="366"/>
      <c r="D129" s="318"/>
      <c r="E129" s="336"/>
      <c r="F129" s="316"/>
      <c r="G129" s="339"/>
      <c r="H129" s="265"/>
      <c r="I129" s="256"/>
      <c r="J129" s="268"/>
      <c r="K129" s="214"/>
      <c r="L129" s="217"/>
      <c r="M129" s="232"/>
      <c r="N129" s="303"/>
      <c r="O129" s="382"/>
      <c r="P129" s="423"/>
    </row>
    <row r="130" spans="1:16" s="36" customFormat="1" x14ac:dyDescent="0.2">
      <c r="A130" s="436"/>
      <c r="B130" s="316"/>
      <c r="C130" s="366"/>
      <c r="D130" s="318"/>
      <c r="E130" s="336"/>
      <c r="F130" s="316"/>
      <c r="G130" s="339"/>
      <c r="H130" s="265"/>
      <c r="I130" s="256"/>
      <c r="J130" s="268"/>
      <c r="K130" s="214"/>
      <c r="L130" s="217"/>
      <c r="M130" s="232"/>
      <c r="N130" s="303"/>
      <c r="O130" s="382"/>
      <c r="P130" s="423"/>
    </row>
    <row r="131" spans="1:16" s="36" customFormat="1" x14ac:dyDescent="0.2">
      <c r="A131" s="436"/>
      <c r="B131" s="316"/>
      <c r="C131" s="366"/>
      <c r="D131" s="318"/>
      <c r="E131" s="336"/>
      <c r="F131" s="316"/>
      <c r="G131" s="339"/>
      <c r="H131" s="265"/>
      <c r="I131" s="256"/>
      <c r="J131" s="268"/>
      <c r="K131" s="214"/>
      <c r="L131" s="217"/>
      <c r="M131" s="232"/>
      <c r="N131" s="304"/>
      <c r="O131" s="382"/>
      <c r="P131" s="423"/>
    </row>
    <row r="132" spans="1:16" s="36" customFormat="1" x14ac:dyDescent="0.2">
      <c r="A132" s="436"/>
      <c r="B132" s="317"/>
      <c r="C132" s="367"/>
      <c r="D132" s="318"/>
      <c r="E132" s="337"/>
      <c r="F132" s="317"/>
      <c r="G132" s="340"/>
      <c r="H132" s="266"/>
      <c r="I132" s="257"/>
      <c r="J132" s="269"/>
      <c r="K132" s="215"/>
      <c r="L132" s="218"/>
      <c r="M132" s="233"/>
      <c r="N132" s="305"/>
      <c r="O132" s="383"/>
      <c r="P132" s="424"/>
    </row>
    <row r="133" spans="1:16" s="36" customFormat="1" x14ac:dyDescent="0.2">
      <c r="A133" s="436"/>
      <c r="B133" s="315" t="s">
        <v>795</v>
      </c>
      <c r="C133" s="365" t="s">
        <v>908</v>
      </c>
      <c r="D133" s="318">
        <v>4.3207062334217504E-3</v>
      </c>
      <c r="E133" s="335" t="s">
        <v>231</v>
      </c>
      <c r="F133" s="315">
        <v>1</v>
      </c>
      <c r="G133" s="323"/>
      <c r="H133" s="252">
        <f>L133*M133+L138*M138+L143*M143+L147*M147</f>
        <v>0.90090611249999997</v>
      </c>
      <c r="I133" s="255">
        <f>D133*F133</f>
        <v>4.3207062334217504E-3</v>
      </c>
      <c r="J133" s="261">
        <f>D133*F133*H133</f>
        <v>3.8925506560065068E-3</v>
      </c>
      <c r="K133" s="222" t="s">
        <v>7</v>
      </c>
      <c r="L133" s="219">
        <f>MIN(L97,L152,L177)</f>
        <v>0.93</v>
      </c>
      <c r="M133" s="234">
        <v>0.7</v>
      </c>
      <c r="N133" s="386" t="s">
        <v>1093</v>
      </c>
      <c r="O133" s="385" t="s">
        <v>1092</v>
      </c>
      <c r="P133" s="225" t="s">
        <v>1527</v>
      </c>
    </row>
    <row r="134" spans="1:16" s="36" customFormat="1" x14ac:dyDescent="0.2">
      <c r="A134" s="436"/>
      <c r="B134" s="316"/>
      <c r="C134" s="366"/>
      <c r="D134" s="318"/>
      <c r="E134" s="336"/>
      <c r="F134" s="316"/>
      <c r="G134" s="324"/>
      <c r="H134" s="253"/>
      <c r="I134" s="256"/>
      <c r="J134" s="262"/>
      <c r="K134" s="223"/>
      <c r="L134" s="220"/>
      <c r="M134" s="235"/>
      <c r="N134" s="384"/>
      <c r="O134" s="378"/>
      <c r="P134" s="226"/>
    </row>
    <row r="135" spans="1:16" s="36" customFormat="1" x14ac:dyDescent="0.2">
      <c r="A135" s="436"/>
      <c r="B135" s="316"/>
      <c r="C135" s="366"/>
      <c r="D135" s="318"/>
      <c r="E135" s="336"/>
      <c r="F135" s="316"/>
      <c r="G135" s="324"/>
      <c r="H135" s="253"/>
      <c r="I135" s="256"/>
      <c r="J135" s="262"/>
      <c r="K135" s="223"/>
      <c r="L135" s="220"/>
      <c r="M135" s="235"/>
      <c r="N135" s="384"/>
      <c r="O135" s="378"/>
      <c r="P135" s="226"/>
    </row>
    <row r="136" spans="1:16" s="36" customFormat="1" x14ac:dyDescent="0.2">
      <c r="A136" s="436"/>
      <c r="B136" s="316"/>
      <c r="C136" s="366"/>
      <c r="D136" s="318"/>
      <c r="E136" s="336"/>
      <c r="F136" s="316"/>
      <c r="G136" s="324"/>
      <c r="H136" s="253"/>
      <c r="I136" s="256"/>
      <c r="J136" s="262"/>
      <c r="K136" s="223"/>
      <c r="L136" s="220"/>
      <c r="M136" s="235"/>
      <c r="N136" s="384"/>
      <c r="O136" s="378"/>
      <c r="P136" s="226"/>
    </row>
    <row r="137" spans="1:16" s="36" customFormat="1" x14ac:dyDescent="0.2">
      <c r="A137" s="436"/>
      <c r="B137" s="316"/>
      <c r="C137" s="366"/>
      <c r="D137" s="318"/>
      <c r="E137" s="336"/>
      <c r="F137" s="316"/>
      <c r="G137" s="324"/>
      <c r="H137" s="253"/>
      <c r="I137" s="256"/>
      <c r="J137" s="262"/>
      <c r="K137" s="224"/>
      <c r="L137" s="221"/>
      <c r="M137" s="236"/>
      <c r="N137" s="301"/>
      <c r="O137" s="378"/>
      <c r="P137" s="226"/>
    </row>
    <row r="138" spans="1:16" s="36" customFormat="1" x14ac:dyDescent="0.2">
      <c r="A138" s="436"/>
      <c r="B138" s="316"/>
      <c r="C138" s="366"/>
      <c r="D138" s="318"/>
      <c r="E138" s="336"/>
      <c r="F138" s="316"/>
      <c r="G138" s="324"/>
      <c r="H138" s="253"/>
      <c r="I138" s="256"/>
      <c r="J138" s="262"/>
      <c r="K138" s="213" t="s">
        <v>11</v>
      </c>
      <c r="L138" s="216">
        <f>(1-POWER(0.5,6))*L133</f>
        <v>0.91546875000000005</v>
      </c>
      <c r="M138" s="231">
        <v>0.2</v>
      </c>
      <c r="N138" s="302" t="s">
        <v>1549</v>
      </c>
      <c r="O138" s="378"/>
      <c r="P138" s="226"/>
    </row>
    <row r="139" spans="1:16" s="36" customFormat="1" x14ac:dyDescent="0.2">
      <c r="A139" s="436"/>
      <c r="B139" s="316"/>
      <c r="C139" s="366"/>
      <c r="D139" s="318"/>
      <c r="E139" s="336"/>
      <c r="F139" s="316"/>
      <c r="G139" s="324"/>
      <c r="H139" s="253"/>
      <c r="I139" s="256"/>
      <c r="J139" s="262"/>
      <c r="K139" s="214"/>
      <c r="L139" s="217"/>
      <c r="M139" s="232"/>
      <c r="N139" s="304"/>
      <c r="O139" s="378"/>
      <c r="P139" s="226"/>
    </row>
    <row r="140" spans="1:16" s="36" customFormat="1" x14ac:dyDescent="0.2">
      <c r="A140" s="436"/>
      <c r="B140" s="316"/>
      <c r="C140" s="366"/>
      <c r="D140" s="318"/>
      <c r="E140" s="336"/>
      <c r="F140" s="316"/>
      <c r="G140" s="324"/>
      <c r="H140" s="253"/>
      <c r="I140" s="256"/>
      <c r="J140" s="262"/>
      <c r="K140" s="214"/>
      <c r="L140" s="217"/>
      <c r="M140" s="232"/>
      <c r="N140" s="304"/>
      <c r="O140" s="378"/>
      <c r="P140" s="226"/>
    </row>
    <row r="141" spans="1:16" s="36" customFormat="1" x14ac:dyDescent="0.2">
      <c r="A141" s="436"/>
      <c r="B141" s="316"/>
      <c r="C141" s="366"/>
      <c r="D141" s="318"/>
      <c r="E141" s="336"/>
      <c r="F141" s="316"/>
      <c r="G141" s="324"/>
      <c r="H141" s="253"/>
      <c r="I141" s="256"/>
      <c r="J141" s="262"/>
      <c r="K141" s="214"/>
      <c r="L141" s="217"/>
      <c r="M141" s="232"/>
      <c r="N141" s="304"/>
      <c r="O141" s="378"/>
      <c r="P141" s="226"/>
    </row>
    <row r="142" spans="1:16" s="36" customFormat="1" x14ac:dyDescent="0.2">
      <c r="A142" s="436"/>
      <c r="B142" s="316"/>
      <c r="C142" s="366"/>
      <c r="D142" s="318"/>
      <c r="E142" s="336"/>
      <c r="F142" s="316"/>
      <c r="G142" s="324"/>
      <c r="H142" s="253"/>
      <c r="I142" s="256"/>
      <c r="J142" s="262"/>
      <c r="K142" s="215"/>
      <c r="L142" s="218"/>
      <c r="M142" s="233"/>
      <c r="N142" s="305"/>
      <c r="O142" s="378"/>
      <c r="P142" s="226"/>
    </row>
    <row r="143" spans="1:16" s="36" customFormat="1" ht="12.75" customHeight="1" x14ac:dyDescent="0.2">
      <c r="A143" s="436"/>
      <c r="B143" s="316"/>
      <c r="C143" s="366"/>
      <c r="D143" s="318"/>
      <c r="E143" s="336"/>
      <c r="F143" s="316"/>
      <c r="G143" s="324"/>
      <c r="H143" s="253"/>
      <c r="I143" s="256"/>
      <c r="J143" s="262"/>
      <c r="K143" s="222" t="s">
        <v>12</v>
      </c>
      <c r="L143" s="219">
        <f>'d.c. fault estimation'!O43*L133</f>
        <v>0.63937500000000003</v>
      </c>
      <c r="M143" s="374">
        <v>0.05</v>
      </c>
      <c r="N143" s="297" t="s">
        <v>1513</v>
      </c>
      <c r="O143" s="378"/>
      <c r="P143" s="226"/>
    </row>
    <row r="144" spans="1:16" s="36" customFormat="1" ht="12.75" customHeight="1" x14ac:dyDescent="0.2">
      <c r="A144" s="436"/>
      <c r="B144" s="316"/>
      <c r="C144" s="366"/>
      <c r="D144" s="318"/>
      <c r="E144" s="336"/>
      <c r="F144" s="316"/>
      <c r="G144" s="324"/>
      <c r="H144" s="253"/>
      <c r="I144" s="256"/>
      <c r="J144" s="262"/>
      <c r="K144" s="223"/>
      <c r="L144" s="220"/>
      <c r="M144" s="375"/>
      <c r="N144" s="384"/>
      <c r="O144" s="378"/>
      <c r="P144" s="226"/>
    </row>
    <row r="145" spans="1:16" s="36" customFormat="1" ht="12.75" customHeight="1" x14ac:dyDescent="0.2">
      <c r="A145" s="436"/>
      <c r="B145" s="316"/>
      <c r="C145" s="366"/>
      <c r="D145" s="318"/>
      <c r="E145" s="336"/>
      <c r="F145" s="316"/>
      <c r="G145" s="324"/>
      <c r="H145" s="253"/>
      <c r="I145" s="256"/>
      <c r="J145" s="262"/>
      <c r="K145" s="223"/>
      <c r="L145" s="220"/>
      <c r="M145" s="375"/>
      <c r="N145" s="384"/>
      <c r="O145" s="378"/>
      <c r="P145" s="226"/>
    </row>
    <row r="146" spans="1:16" s="36" customFormat="1" x14ac:dyDescent="0.2">
      <c r="A146" s="436"/>
      <c r="B146" s="316"/>
      <c r="C146" s="366"/>
      <c r="D146" s="318"/>
      <c r="E146" s="336"/>
      <c r="F146" s="316"/>
      <c r="G146" s="324"/>
      <c r="H146" s="253"/>
      <c r="I146" s="256"/>
      <c r="J146" s="262"/>
      <c r="K146" s="224"/>
      <c r="L146" s="221"/>
      <c r="M146" s="376"/>
      <c r="N146" s="301"/>
      <c r="O146" s="378"/>
      <c r="P146" s="226"/>
    </row>
    <row r="147" spans="1:16" s="36" customFormat="1" x14ac:dyDescent="0.2">
      <c r="A147" s="436"/>
      <c r="B147" s="316"/>
      <c r="C147" s="366"/>
      <c r="D147" s="318"/>
      <c r="E147" s="336"/>
      <c r="F147" s="316"/>
      <c r="G147" s="324"/>
      <c r="H147" s="253"/>
      <c r="I147" s="256"/>
      <c r="J147" s="262"/>
      <c r="K147" s="213" t="s">
        <v>10</v>
      </c>
      <c r="L147" s="216">
        <f>lookup!G98*L133</f>
        <v>0.69687224999999908</v>
      </c>
      <c r="M147" s="231">
        <v>0.05</v>
      </c>
      <c r="N147" s="371" t="s">
        <v>1094</v>
      </c>
      <c r="O147" s="378"/>
      <c r="P147" s="226"/>
    </row>
    <row r="148" spans="1:16" s="36" customFormat="1" x14ac:dyDescent="0.2">
      <c r="A148" s="436"/>
      <c r="B148" s="316"/>
      <c r="C148" s="366"/>
      <c r="D148" s="318"/>
      <c r="E148" s="336"/>
      <c r="F148" s="316"/>
      <c r="G148" s="324"/>
      <c r="H148" s="253"/>
      <c r="I148" s="256"/>
      <c r="J148" s="262"/>
      <c r="K148" s="214"/>
      <c r="L148" s="217"/>
      <c r="M148" s="232"/>
      <c r="N148" s="304"/>
      <c r="O148" s="378"/>
      <c r="P148" s="226"/>
    </row>
    <row r="149" spans="1:16" s="36" customFormat="1" x14ac:dyDescent="0.2">
      <c r="A149" s="436"/>
      <c r="B149" s="316"/>
      <c r="C149" s="366"/>
      <c r="D149" s="318"/>
      <c r="E149" s="336"/>
      <c r="F149" s="316"/>
      <c r="G149" s="324"/>
      <c r="H149" s="253"/>
      <c r="I149" s="256"/>
      <c r="J149" s="262"/>
      <c r="K149" s="214"/>
      <c r="L149" s="217"/>
      <c r="M149" s="232"/>
      <c r="N149" s="304"/>
      <c r="O149" s="378"/>
      <c r="P149" s="226"/>
    </row>
    <row r="150" spans="1:16" s="36" customFormat="1" x14ac:dyDescent="0.2">
      <c r="A150" s="436"/>
      <c r="B150" s="316"/>
      <c r="C150" s="366"/>
      <c r="D150" s="318"/>
      <c r="E150" s="336"/>
      <c r="F150" s="316"/>
      <c r="G150" s="324"/>
      <c r="H150" s="253"/>
      <c r="I150" s="256"/>
      <c r="J150" s="262"/>
      <c r="K150" s="214"/>
      <c r="L150" s="217"/>
      <c r="M150" s="232"/>
      <c r="N150" s="304"/>
      <c r="O150" s="378"/>
      <c r="P150" s="226"/>
    </row>
    <row r="151" spans="1:16" s="36" customFormat="1" ht="13.5" thickBot="1" x14ac:dyDescent="0.25">
      <c r="A151" s="436"/>
      <c r="B151" s="317"/>
      <c r="C151" s="367"/>
      <c r="D151" s="318"/>
      <c r="E151" s="337"/>
      <c r="F151" s="317"/>
      <c r="G151" s="325"/>
      <c r="H151" s="254"/>
      <c r="I151" s="257"/>
      <c r="J151" s="263"/>
      <c r="K151" s="215"/>
      <c r="L151" s="218"/>
      <c r="M151" s="233"/>
      <c r="N151" s="305"/>
      <c r="O151" s="379"/>
      <c r="P151" s="453"/>
    </row>
    <row r="152" spans="1:16" s="36" customFormat="1" ht="13.5" customHeight="1" x14ac:dyDescent="0.2">
      <c r="A152" s="436"/>
      <c r="B152" s="319" t="s">
        <v>229</v>
      </c>
      <c r="C152" s="331" t="s">
        <v>266</v>
      </c>
      <c r="D152" s="322">
        <v>0.22809598806366047</v>
      </c>
      <c r="E152" s="352" t="s">
        <v>231</v>
      </c>
      <c r="F152" s="319">
        <v>1</v>
      </c>
      <c r="G152" s="359"/>
      <c r="H152" s="346">
        <f>L152*M152+L161*M161+L164*M164+L170*M170</f>
        <v>0.93</v>
      </c>
      <c r="I152" s="349">
        <f>D152*F152</f>
        <v>0.22809598806366047</v>
      </c>
      <c r="J152" s="261">
        <f>D152*F152*H152</f>
        <v>0.21212926889920425</v>
      </c>
      <c r="K152" s="222" t="s">
        <v>7</v>
      </c>
      <c r="L152" s="219">
        <v>0.93</v>
      </c>
      <c r="M152" s="234">
        <v>0.7</v>
      </c>
      <c r="N152" s="297" t="s">
        <v>268</v>
      </c>
      <c r="O152" s="377" t="s">
        <v>267</v>
      </c>
      <c r="P152" s="463" t="s">
        <v>1538</v>
      </c>
    </row>
    <row r="153" spans="1:16" s="36" customFormat="1" ht="13.5" customHeight="1" x14ac:dyDescent="0.2">
      <c r="A153" s="436"/>
      <c r="B153" s="320"/>
      <c r="C153" s="309"/>
      <c r="D153" s="322"/>
      <c r="E153" s="353"/>
      <c r="F153" s="320"/>
      <c r="G153" s="360"/>
      <c r="H153" s="347"/>
      <c r="I153" s="350"/>
      <c r="J153" s="262"/>
      <c r="K153" s="223"/>
      <c r="L153" s="220"/>
      <c r="M153" s="235"/>
      <c r="N153" s="298"/>
      <c r="O153" s="378"/>
      <c r="P153" s="464"/>
    </row>
    <row r="154" spans="1:16" s="36" customFormat="1" ht="13.5" customHeight="1" x14ac:dyDescent="0.2">
      <c r="A154" s="436"/>
      <c r="B154" s="320"/>
      <c r="C154" s="309"/>
      <c r="D154" s="322"/>
      <c r="E154" s="353"/>
      <c r="F154" s="320"/>
      <c r="G154" s="360"/>
      <c r="H154" s="347"/>
      <c r="I154" s="350"/>
      <c r="J154" s="262"/>
      <c r="K154" s="223"/>
      <c r="L154" s="220"/>
      <c r="M154" s="235"/>
      <c r="N154" s="298"/>
      <c r="O154" s="378"/>
      <c r="P154" s="464"/>
    </row>
    <row r="155" spans="1:16" s="36" customFormat="1" ht="13.5" customHeight="1" x14ac:dyDescent="0.2">
      <c r="A155" s="436"/>
      <c r="B155" s="320"/>
      <c r="C155" s="309"/>
      <c r="D155" s="322"/>
      <c r="E155" s="353"/>
      <c r="F155" s="320"/>
      <c r="G155" s="360"/>
      <c r="H155" s="347"/>
      <c r="I155" s="350"/>
      <c r="J155" s="262"/>
      <c r="K155" s="223"/>
      <c r="L155" s="220"/>
      <c r="M155" s="235"/>
      <c r="N155" s="298"/>
      <c r="O155" s="378"/>
      <c r="P155" s="464"/>
    </row>
    <row r="156" spans="1:16" s="36" customFormat="1" ht="13.5" customHeight="1" x14ac:dyDescent="0.2">
      <c r="A156" s="436"/>
      <c r="B156" s="320"/>
      <c r="C156" s="309"/>
      <c r="D156" s="322"/>
      <c r="E156" s="353"/>
      <c r="F156" s="320"/>
      <c r="G156" s="360"/>
      <c r="H156" s="347"/>
      <c r="I156" s="350"/>
      <c r="J156" s="262"/>
      <c r="K156" s="223"/>
      <c r="L156" s="220"/>
      <c r="M156" s="235"/>
      <c r="N156" s="298"/>
      <c r="O156" s="378"/>
      <c r="P156" s="464"/>
    </row>
    <row r="157" spans="1:16" s="36" customFormat="1" ht="13.5" customHeight="1" x14ac:dyDescent="0.2">
      <c r="A157" s="436"/>
      <c r="B157" s="320"/>
      <c r="C157" s="309"/>
      <c r="D157" s="322"/>
      <c r="E157" s="353"/>
      <c r="F157" s="320"/>
      <c r="G157" s="360"/>
      <c r="H157" s="347"/>
      <c r="I157" s="350"/>
      <c r="J157" s="262"/>
      <c r="K157" s="223"/>
      <c r="L157" s="220"/>
      <c r="M157" s="235"/>
      <c r="N157" s="298"/>
      <c r="O157" s="378"/>
      <c r="P157" s="464"/>
    </row>
    <row r="158" spans="1:16" s="36" customFormat="1" ht="13.5" customHeight="1" x14ac:dyDescent="0.2">
      <c r="A158" s="436"/>
      <c r="B158" s="320"/>
      <c r="C158" s="309"/>
      <c r="D158" s="322"/>
      <c r="E158" s="353"/>
      <c r="F158" s="320"/>
      <c r="G158" s="360"/>
      <c r="H158" s="347"/>
      <c r="I158" s="350"/>
      <c r="J158" s="262"/>
      <c r="K158" s="223"/>
      <c r="L158" s="220"/>
      <c r="M158" s="235"/>
      <c r="N158" s="298"/>
      <c r="O158" s="378"/>
      <c r="P158" s="464"/>
    </row>
    <row r="159" spans="1:16" s="36" customFormat="1" ht="13.5" customHeight="1" x14ac:dyDescent="0.2">
      <c r="A159" s="436"/>
      <c r="B159" s="320"/>
      <c r="C159" s="309"/>
      <c r="D159" s="322"/>
      <c r="E159" s="353"/>
      <c r="F159" s="320"/>
      <c r="G159" s="360"/>
      <c r="H159" s="347"/>
      <c r="I159" s="350"/>
      <c r="J159" s="262"/>
      <c r="K159" s="223"/>
      <c r="L159" s="220"/>
      <c r="M159" s="235"/>
      <c r="N159" s="298"/>
      <c r="O159" s="378"/>
      <c r="P159" s="464"/>
    </row>
    <row r="160" spans="1:16" s="36" customFormat="1" x14ac:dyDescent="0.2">
      <c r="A160" s="436"/>
      <c r="B160" s="320"/>
      <c r="C160" s="309"/>
      <c r="D160" s="322"/>
      <c r="E160" s="353"/>
      <c r="F160" s="320"/>
      <c r="G160" s="360"/>
      <c r="H160" s="347"/>
      <c r="I160" s="350"/>
      <c r="J160" s="262"/>
      <c r="K160" s="224"/>
      <c r="L160" s="221"/>
      <c r="M160" s="236"/>
      <c r="N160" s="299"/>
      <c r="O160" s="378"/>
      <c r="P160" s="464"/>
    </row>
    <row r="161" spans="1:16" s="36" customFormat="1" x14ac:dyDescent="0.2">
      <c r="A161" s="436"/>
      <c r="B161" s="320"/>
      <c r="C161" s="309"/>
      <c r="D161" s="322"/>
      <c r="E161" s="353"/>
      <c r="F161" s="320"/>
      <c r="G161" s="360"/>
      <c r="H161" s="347"/>
      <c r="I161" s="350"/>
      <c r="J161" s="262"/>
      <c r="K161" s="213" t="s">
        <v>11</v>
      </c>
      <c r="L161" s="216">
        <v>0.93</v>
      </c>
      <c r="M161" s="231">
        <v>0.2</v>
      </c>
      <c r="N161" s="285" t="s">
        <v>270</v>
      </c>
      <c r="O161" s="378"/>
      <c r="P161" s="464"/>
    </row>
    <row r="162" spans="1:16" s="36" customFormat="1" x14ac:dyDescent="0.2">
      <c r="A162" s="436"/>
      <c r="B162" s="320"/>
      <c r="C162" s="309"/>
      <c r="D162" s="322"/>
      <c r="E162" s="353"/>
      <c r="F162" s="320"/>
      <c r="G162" s="360"/>
      <c r="H162" s="347"/>
      <c r="I162" s="350"/>
      <c r="J162" s="262"/>
      <c r="K162" s="214"/>
      <c r="L162" s="217"/>
      <c r="M162" s="232"/>
      <c r="N162" s="291"/>
      <c r="O162" s="378"/>
      <c r="P162" s="464"/>
    </row>
    <row r="163" spans="1:16" s="36" customFormat="1" x14ac:dyDescent="0.2">
      <c r="A163" s="436"/>
      <c r="B163" s="320"/>
      <c r="C163" s="309"/>
      <c r="D163" s="322"/>
      <c r="E163" s="353"/>
      <c r="F163" s="320"/>
      <c r="G163" s="360"/>
      <c r="H163" s="347"/>
      <c r="I163" s="350"/>
      <c r="J163" s="262"/>
      <c r="K163" s="215"/>
      <c r="L163" s="218"/>
      <c r="M163" s="233"/>
      <c r="N163" s="292"/>
      <c r="O163" s="378"/>
      <c r="P163" s="464"/>
    </row>
    <row r="164" spans="1:16" s="36" customFormat="1" ht="12.75" customHeight="1" x14ac:dyDescent="0.2">
      <c r="A164" s="436"/>
      <c r="B164" s="320"/>
      <c r="C164" s="309"/>
      <c r="D164" s="322"/>
      <c r="E164" s="353"/>
      <c r="F164" s="320"/>
      <c r="G164" s="360"/>
      <c r="H164" s="347"/>
      <c r="I164" s="350"/>
      <c r="J164" s="262"/>
      <c r="K164" s="222" t="s">
        <v>12</v>
      </c>
      <c r="L164" s="219">
        <v>0.93</v>
      </c>
      <c r="M164" s="234">
        <v>0.05</v>
      </c>
      <c r="N164" s="387" t="s">
        <v>269</v>
      </c>
      <c r="O164" s="378"/>
      <c r="P164" s="464"/>
    </row>
    <row r="165" spans="1:16" s="36" customFormat="1" ht="12.75" customHeight="1" x14ac:dyDescent="0.2">
      <c r="A165" s="436"/>
      <c r="B165" s="320"/>
      <c r="C165" s="309"/>
      <c r="D165" s="322"/>
      <c r="E165" s="353"/>
      <c r="F165" s="320"/>
      <c r="G165" s="360"/>
      <c r="H165" s="347"/>
      <c r="I165" s="350"/>
      <c r="J165" s="262"/>
      <c r="K165" s="223"/>
      <c r="L165" s="220"/>
      <c r="M165" s="235"/>
      <c r="N165" s="388"/>
      <c r="O165" s="378"/>
      <c r="P165" s="464"/>
    </row>
    <row r="166" spans="1:16" s="36" customFormat="1" ht="12.75" customHeight="1" x14ac:dyDescent="0.2">
      <c r="A166" s="436"/>
      <c r="B166" s="320"/>
      <c r="C166" s="309"/>
      <c r="D166" s="322"/>
      <c r="E166" s="353"/>
      <c r="F166" s="320"/>
      <c r="G166" s="360"/>
      <c r="H166" s="347"/>
      <c r="I166" s="350"/>
      <c r="J166" s="262"/>
      <c r="K166" s="223"/>
      <c r="L166" s="220"/>
      <c r="M166" s="235"/>
      <c r="N166" s="388"/>
      <c r="O166" s="378"/>
      <c r="P166" s="464"/>
    </row>
    <row r="167" spans="1:16" s="36" customFormat="1" ht="12.75" customHeight="1" x14ac:dyDescent="0.2">
      <c r="A167" s="436"/>
      <c r="B167" s="320"/>
      <c r="C167" s="309"/>
      <c r="D167" s="322"/>
      <c r="E167" s="353"/>
      <c r="F167" s="320"/>
      <c r="G167" s="360"/>
      <c r="H167" s="347"/>
      <c r="I167" s="350"/>
      <c r="J167" s="262"/>
      <c r="K167" s="223"/>
      <c r="L167" s="220"/>
      <c r="M167" s="235"/>
      <c r="N167" s="388"/>
      <c r="O167" s="378"/>
      <c r="P167" s="464"/>
    </row>
    <row r="168" spans="1:16" s="36" customFormat="1" ht="12.75" customHeight="1" x14ac:dyDescent="0.2">
      <c r="A168" s="436"/>
      <c r="B168" s="320"/>
      <c r="C168" s="309"/>
      <c r="D168" s="322"/>
      <c r="E168" s="353"/>
      <c r="F168" s="320"/>
      <c r="G168" s="360"/>
      <c r="H168" s="347"/>
      <c r="I168" s="350"/>
      <c r="J168" s="262"/>
      <c r="K168" s="223"/>
      <c r="L168" s="220"/>
      <c r="M168" s="235"/>
      <c r="N168" s="388"/>
      <c r="O168" s="378"/>
      <c r="P168" s="464"/>
    </row>
    <row r="169" spans="1:16" s="36" customFormat="1" x14ac:dyDescent="0.2">
      <c r="A169" s="436"/>
      <c r="B169" s="320"/>
      <c r="C169" s="309"/>
      <c r="D169" s="322"/>
      <c r="E169" s="353"/>
      <c r="F169" s="320"/>
      <c r="G169" s="360"/>
      <c r="H169" s="347"/>
      <c r="I169" s="350"/>
      <c r="J169" s="262"/>
      <c r="K169" s="224"/>
      <c r="L169" s="221"/>
      <c r="M169" s="236"/>
      <c r="N169" s="389"/>
      <c r="O169" s="378"/>
      <c r="P169" s="464"/>
    </row>
    <row r="170" spans="1:16" s="36" customFormat="1" ht="13.5" customHeight="1" x14ac:dyDescent="0.2">
      <c r="A170" s="436"/>
      <c r="B170" s="320"/>
      <c r="C170" s="309"/>
      <c r="D170" s="322"/>
      <c r="E170" s="353"/>
      <c r="F170" s="320"/>
      <c r="G170" s="360"/>
      <c r="H170" s="347"/>
      <c r="I170" s="350"/>
      <c r="J170" s="262"/>
      <c r="K170" s="213" t="s">
        <v>10</v>
      </c>
      <c r="L170" s="216">
        <v>0.93</v>
      </c>
      <c r="M170" s="231">
        <v>0.05</v>
      </c>
      <c r="N170" s="285" t="s">
        <v>269</v>
      </c>
      <c r="O170" s="378"/>
      <c r="P170" s="464"/>
    </row>
    <row r="171" spans="1:16" s="36" customFormat="1" ht="13.5" customHeight="1" x14ac:dyDescent="0.2">
      <c r="A171" s="436"/>
      <c r="B171" s="320"/>
      <c r="C171" s="309"/>
      <c r="D171" s="322"/>
      <c r="E171" s="353"/>
      <c r="F171" s="320"/>
      <c r="G171" s="360"/>
      <c r="H171" s="347"/>
      <c r="I171" s="350"/>
      <c r="J171" s="262"/>
      <c r="K171" s="214"/>
      <c r="L171" s="217"/>
      <c r="M171" s="232"/>
      <c r="N171" s="286"/>
      <c r="O171" s="378"/>
      <c r="P171" s="464"/>
    </row>
    <row r="172" spans="1:16" s="36" customFormat="1" ht="13.5" customHeight="1" x14ac:dyDescent="0.2">
      <c r="A172" s="436"/>
      <c r="B172" s="320"/>
      <c r="C172" s="309"/>
      <c r="D172" s="322"/>
      <c r="E172" s="353"/>
      <c r="F172" s="320"/>
      <c r="G172" s="360"/>
      <c r="H172" s="347"/>
      <c r="I172" s="350"/>
      <c r="J172" s="262"/>
      <c r="K172" s="214"/>
      <c r="L172" s="217"/>
      <c r="M172" s="232"/>
      <c r="N172" s="286"/>
      <c r="O172" s="378"/>
      <c r="P172" s="464"/>
    </row>
    <row r="173" spans="1:16" s="36" customFormat="1" ht="13.5" customHeight="1" x14ac:dyDescent="0.2">
      <c r="A173" s="436"/>
      <c r="B173" s="320"/>
      <c r="C173" s="309"/>
      <c r="D173" s="322"/>
      <c r="E173" s="353"/>
      <c r="F173" s="320"/>
      <c r="G173" s="360"/>
      <c r="H173" s="347"/>
      <c r="I173" s="350"/>
      <c r="J173" s="262"/>
      <c r="K173" s="214"/>
      <c r="L173" s="217"/>
      <c r="M173" s="232"/>
      <c r="N173" s="286"/>
      <c r="O173" s="378"/>
      <c r="P173" s="464"/>
    </row>
    <row r="174" spans="1:16" s="36" customFormat="1" ht="13.5" customHeight="1" x14ac:dyDescent="0.2">
      <c r="A174" s="436"/>
      <c r="B174" s="320"/>
      <c r="C174" s="309"/>
      <c r="D174" s="322"/>
      <c r="E174" s="353"/>
      <c r="F174" s="320"/>
      <c r="G174" s="360"/>
      <c r="H174" s="347"/>
      <c r="I174" s="350"/>
      <c r="J174" s="262"/>
      <c r="K174" s="214"/>
      <c r="L174" s="217"/>
      <c r="M174" s="232"/>
      <c r="N174" s="286"/>
      <c r="O174" s="378"/>
      <c r="P174" s="464"/>
    </row>
    <row r="175" spans="1:16" s="36" customFormat="1" x14ac:dyDescent="0.2">
      <c r="A175" s="436"/>
      <c r="B175" s="320"/>
      <c r="C175" s="309"/>
      <c r="D175" s="322"/>
      <c r="E175" s="353"/>
      <c r="F175" s="320"/>
      <c r="G175" s="360"/>
      <c r="H175" s="347"/>
      <c r="I175" s="350"/>
      <c r="J175" s="262"/>
      <c r="K175" s="214"/>
      <c r="L175" s="217"/>
      <c r="M175" s="232"/>
      <c r="N175" s="291"/>
      <c r="O175" s="378"/>
      <c r="P175" s="464"/>
    </row>
    <row r="176" spans="1:16" s="36" customFormat="1" ht="13.5" thickBot="1" x14ac:dyDescent="0.25">
      <c r="A176" s="436"/>
      <c r="B176" s="321"/>
      <c r="C176" s="310"/>
      <c r="D176" s="322"/>
      <c r="E176" s="354"/>
      <c r="F176" s="321"/>
      <c r="G176" s="361"/>
      <c r="H176" s="348"/>
      <c r="I176" s="351"/>
      <c r="J176" s="263"/>
      <c r="K176" s="215"/>
      <c r="L176" s="218"/>
      <c r="M176" s="233"/>
      <c r="N176" s="292"/>
      <c r="O176" s="379"/>
      <c r="P176" s="465"/>
    </row>
    <row r="177" spans="1:16" s="36" customFormat="1" x14ac:dyDescent="0.2">
      <c r="A177" s="436"/>
      <c r="B177" s="315" t="s">
        <v>230</v>
      </c>
      <c r="C177" s="365" t="s">
        <v>909</v>
      </c>
      <c r="D177" s="318">
        <v>3.6648292440318302E-2</v>
      </c>
      <c r="E177" s="335" t="s">
        <v>231</v>
      </c>
      <c r="F177" s="315">
        <v>1</v>
      </c>
      <c r="G177" s="323"/>
      <c r="H177" s="252">
        <f>L177*M177+L190*M190+L194*M194+L206*M206</f>
        <v>0.96371224697286095</v>
      </c>
      <c r="I177" s="255">
        <f>D177*F177</f>
        <v>3.6648292440318302E-2</v>
      </c>
      <c r="J177" s="210">
        <f>D177*F177*H177</f>
        <v>3.5318408255377666E-2</v>
      </c>
      <c r="K177" s="222" t="s">
        <v>7</v>
      </c>
      <c r="L177" s="219">
        <f>lookup!B101</f>
        <v>0.99407947077966607</v>
      </c>
      <c r="M177" s="234">
        <v>0.7</v>
      </c>
      <c r="N177" s="289" t="s">
        <v>1091</v>
      </c>
      <c r="O177" s="377" t="s">
        <v>1034</v>
      </c>
      <c r="P177" s="452" t="s">
        <v>1537</v>
      </c>
    </row>
    <row r="178" spans="1:16" s="36" customFormat="1" x14ac:dyDescent="0.2">
      <c r="A178" s="436"/>
      <c r="B178" s="316"/>
      <c r="C178" s="366"/>
      <c r="D178" s="318"/>
      <c r="E178" s="336"/>
      <c r="F178" s="316"/>
      <c r="G178" s="324"/>
      <c r="H178" s="253"/>
      <c r="I178" s="256"/>
      <c r="J178" s="211"/>
      <c r="K178" s="223"/>
      <c r="L178" s="220"/>
      <c r="M178" s="235"/>
      <c r="N178" s="293"/>
      <c r="O178" s="378"/>
      <c r="P178" s="226"/>
    </row>
    <row r="179" spans="1:16" s="36" customFormat="1" x14ac:dyDescent="0.2">
      <c r="A179" s="436"/>
      <c r="B179" s="316"/>
      <c r="C179" s="366"/>
      <c r="D179" s="318"/>
      <c r="E179" s="336"/>
      <c r="F179" s="316"/>
      <c r="G179" s="324"/>
      <c r="H179" s="253"/>
      <c r="I179" s="256"/>
      <c r="J179" s="211"/>
      <c r="K179" s="223"/>
      <c r="L179" s="220"/>
      <c r="M179" s="235"/>
      <c r="N179" s="293"/>
      <c r="O179" s="378"/>
      <c r="P179" s="226"/>
    </row>
    <row r="180" spans="1:16" s="36" customFormat="1" x14ac:dyDescent="0.2">
      <c r="A180" s="436"/>
      <c r="B180" s="316"/>
      <c r="C180" s="366"/>
      <c r="D180" s="318"/>
      <c r="E180" s="336"/>
      <c r="F180" s="316"/>
      <c r="G180" s="324"/>
      <c r="H180" s="253"/>
      <c r="I180" s="256"/>
      <c r="J180" s="211"/>
      <c r="K180" s="223"/>
      <c r="L180" s="220"/>
      <c r="M180" s="235"/>
      <c r="N180" s="293"/>
      <c r="O180" s="378"/>
      <c r="P180" s="226"/>
    </row>
    <row r="181" spans="1:16" s="36" customFormat="1" x14ac:dyDescent="0.2">
      <c r="A181" s="436"/>
      <c r="B181" s="316"/>
      <c r="C181" s="366"/>
      <c r="D181" s="318"/>
      <c r="E181" s="336"/>
      <c r="F181" s="316"/>
      <c r="G181" s="324"/>
      <c r="H181" s="253"/>
      <c r="I181" s="256"/>
      <c r="J181" s="211"/>
      <c r="K181" s="223"/>
      <c r="L181" s="220"/>
      <c r="M181" s="235"/>
      <c r="N181" s="293"/>
      <c r="O181" s="378"/>
      <c r="P181" s="226"/>
    </row>
    <row r="182" spans="1:16" s="36" customFormat="1" x14ac:dyDescent="0.2">
      <c r="A182" s="436"/>
      <c r="B182" s="316"/>
      <c r="C182" s="366"/>
      <c r="D182" s="318"/>
      <c r="E182" s="336"/>
      <c r="F182" s="316"/>
      <c r="G182" s="324"/>
      <c r="H182" s="253"/>
      <c r="I182" s="256"/>
      <c r="J182" s="211"/>
      <c r="K182" s="223"/>
      <c r="L182" s="220"/>
      <c r="M182" s="235"/>
      <c r="N182" s="293"/>
      <c r="O182" s="378"/>
      <c r="P182" s="226"/>
    </row>
    <row r="183" spans="1:16" s="36" customFormat="1" x14ac:dyDescent="0.2">
      <c r="A183" s="436"/>
      <c r="B183" s="316"/>
      <c r="C183" s="366"/>
      <c r="D183" s="318"/>
      <c r="E183" s="336"/>
      <c r="F183" s="316"/>
      <c r="G183" s="324"/>
      <c r="H183" s="253"/>
      <c r="I183" s="256"/>
      <c r="J183" s="211"/>
      <c r="K183" s="223"/>
      <c r="L183" s="220"/>
      <c r="M183" s="235"/>
      <c r="N183" s="293"/>
      <c r="O183" s="378"/>
      <c r="P183" s="226"/>
    </row>
    <row r="184" spans="1:16" s="36" customFormat="1" x14ac:dyDescent="0.2">
      <c r="A184" s="436"/>
      <c r="B184" s="316"/>
      <c r="C184" s="366"/>
      <c r="D184" s="318"/>
      <c r="E184" s="336"/>
      <c r="F184" s="316"/>
      <c r="G184" s="324"/>
      <c r="H184" s="253"/>
      <c r="I184" s="256"/>
      <c r="J184" s="211"/>
      <c r="K184" s="223"/>
      <c r="L184" s="220"/>
      <c r="M184" s="235"/>
      <c r="N184" s="293"/>
      <c r="O184" s="378"/>
      <c r="P184" s="226"/>
    </row>
    <row r="185" spans="1:16" s="36" customFormat="1" x14ac:dyDescent="0.2">
      <c r="A185" s="436"/>
      <c r="B185" s="316"/>
      <c r="C185" s="366"/>
      <c r="D185" s="318"/>
      <c r="E185" s="336"/>
      <c r="F185" s="316"/>
      <c r="G185" s="324"/>
      <c r="H185" s="253"/>
      <c r="I185" s="256"/>
      <c r="J185" s="211"/>
      <c r="K185" s="223"/>
      <c r="L185" s="220"/>
      <c r="M185" s="235"/>
      <c r="N185" s="293"/>
      <c r="O185" s="378"/>
      <c r="P185" s="226"/>
    </row>
    <row r="186" spans="1:16" s="36" customFormat="1" x14ac:dyDescent="0.2">
      <c r="A186" s="436"/>
      <c r="B186" s="316"/>
      <c r="C186" s="366"/>
      <c r="D186" s="318"/>
      <c r="E186" s="336"/>
      <c r="F186" s="316"/>
      <c r="G186" s="324"/>
      <c r="H186" s="253"/>
      <c r="I186" s="256"/>
      <c r="J186" s="211"/>
      <c r="K186" s="223"/>
      <c r="L186" s="220"/>
      <c r="M186" s="235"/>
      <c r="N186" s="293"/>
      <c r="O186" s="378"/>
      <c r="P186" s="226"/>
    </row>
    <row r="187" spans="1:16" s="36" customFormat="1" x14ac:dyDescent="0.2">
      <c r="A187" s="436"/>
      <c r="B187" s="316"/>
      <c r="C187" s="366"/>
      <c r="D187" s="318"/>
      <c r="E187" s="336"/>
      <c r="F187" s="316"/>
      <c r="G187" s="324"/>
      <c r="H187" s="253"/>
      <c r="I187" s="256"/>
      <c r="J187" s="211"/>
      <c r="K187" s="223"/>
      <c r="L187" s="220"/>
      <c r="M187" s="235"/>
      <c r="N187" s="293"/>
      <c r="O187" s="378"/>
      <c r="P187" s="226"/>
    </row>
    <row r="188" spans="1:16" s="36" customFormat="1" x14ac:dyDescent="0.2">
      <c r="A188" s="436"/>
      <c r="B188" s="316"/>
      <c r="C188" s="366"/>
      <c r="D188" s="318"/>
      <c r="E188" s="336"/>
      <c r="F188" s="316"/>
      <c r="G188" s="324"/>
      <c r="H188" s="253"/>
      <c r="I188" s="256"/>
      <c r="J188" s="211"/>
      <c r="K188" s="223"/>
      <c r="L188" s="220"/>
      <c r="M188" s="235"/>
      <c r="N188" s="293"/>
      <c r="O188" s="378"/>
      <c r="P188" s="226"/>
    </row>
    <row r="189" spans="1:16" s="36" customFormat="1" x14ac:dyDescent="0.2">
      <c r="A189" s="436"/>
      <c r="B189" s="316"/>
      <c r="C189" s="366"/>
      <c r="D189" s="318"/>
      <c r="E189" s="336"/>
      <c r="F189" s="316"/>
      <c r="G189" s="324"/>
      <c r="H189" s="253"/>
      <c r="I189" s="256"/>
      <c r="J189" s="211"/>
      <c r="K189" s="224"/>
      <c r="L189" s="221"/>
      <c r="M189" s="236"/>
      <c r="N189" s="288"/>
      <c r="O189" s="378"/>
      <c r="P189" s="226"/>
    </row>
    <row r="190" spans="1:16" s="36" customFormat="1" x14ac:dyDescent="0.2">
      <c r="A190" s="436"/>
      <c r="B190" s="316"/>
      <c r="C190" s="366"/>
      <c r="D190" s="318"/>
      <c r="E190" s="336"/>
      <c r="F190" s="316"/>
      <c r="G190" s="324"/>
      <c r="H190" s="253"/>
      <c r="I190" s="256"/>
      <c r="J190" s="211"/>
      <c r="K190" s="213" t="s">
        <v>11</v>
      </c>
      <c r="L190" s="216">
        <f>(1-POWER(0.5,6))*L177</f>
        <v>0.97854697904873378</v>
      </c>
      <c r="M190" s="231">
        <v>0.2</v>
      </c>
      <c r="N190" s="285" t="s">
        <v>1485</v>
      </c>
      <c r="O190" s="378"/>
      <c r="P190" s="226"/>
    </row>
    <row r="191" spans="1:16" s="36" customFormat="1" x14ac:dyDescent="0.2">
      <c r="A191" s="436"/>
      <c r="B191" s="316"/>
      <c r="C191" s="366"/>
      <c r="D191" s="318"/>
      <c r="E191" s="336"/>
      <c r="F191" s="316"/>
      <c r="G191" s="324"/>
      <c r="H191" s="253"/>
      <c r="I191" s="256"/>
      <c r="J191" s="211"/>
      <c r="K191" s="214"/>
      <c r="L191" s="217"/>
      <c r="M191" s="232"/>
      <c r="N191" s="286"/>
      <c r="O191" s="378"/>
      <c r="P191" s="226"/>
    </row>
    <row r="192" spans="1:16" s="36" customFormat="1" x14ac:dyDescent="0.2">
      <c r="A192" s="436"/>
      <c r="B192" s="316"/>
      <c r="C192" s="366"/>
      <c r="D192" s="318"/>
      <c r="E192" s="336"/>
      <c r="F192" s="316"/>
      <c r="G192" s="324"/>
      <c r="H192" s="253"/>
      <c r="I192" s="256"/>
      <c r="J192" s="211"/>
      <c r="K192" s="214"/>
      <c r="L192" s="217"/>
      <c r="M192" s="232"/>
      <c r="N192" s="286"/>
      <c r="O192" s="378"/>
      <c r="P192" s="226"/>
    </row>
    <row r="193" spans="1:16" s="36" customFormat="1" x14ac:dyDescent="0.2">
      <c r="A193" s="436"/>
      <c r="B193" s="316"/>
      <c r="C193" s="366"/>
      <c r="D193" s="318"/>
      <c r="E193" s="336"/>
      <c r="F193" s="316"/>
      <c r="G193" s="324"/>
      <c r="H193" s="253"/>
      <c r="I193" s="256"/>
      <c r="J193" s="211"/>
      <c r="K193" s="215"/>
      <c r="L193" s="218"/>
      <c r="M193" s="233"/>
      <c r="N193" s="286"/>
      <c r="O193" s="378"/>
      <c r="P193" s="226"/>
    </row>
    <row r="194" spans="1:16" s="36" customFormat="1" ht="12.75" customHeight="1" x14ac:dyDescent="0.2">
      <c r="A194" s="436"/>
      <c r="B194" s="316"/>
      <c r="C194" s="366"/>
      <c r="D194" s="318"/>
      <c r="E194" s="336"/>
      <c r="F194" s="316"/>
      <c r="G194" s="324"/>
      <c r="H194" s="253"/>
      <c r="I194" s="256"/>
      <c r="J194" s="211"/>
      <c r="K194" s="222" t="s">
        <v>12</v>
      </c>
      <c r="L194" s="219">
        <f>'d.c. fault estimation'!O18*L177</f>
        <v>0.68342963616102037</v>
      </c>
      <c r="M194" s="234">
        <v>0.05</v>
      </c>
      <c r="N194" s="289" t="s">
        <v>1513</v>
      </c>
      <c r="O194" s="378"/>
      <c r="P194" s="226"/>
    </row>
    <row r="195" spans="1:16" s="36" customFormat="1" ht="12.75" customHeight="1" x14ac:dyDescent="0.2">
      <c r="A195" s="436"/>
      <c r="B195" s="316"/>
      <c r="C195" s="366"/>
      <c r="D195" s="318"/>
      <c r="E195" s="336"/>
      <c r="F195" s="316"/>
      <c r="G195" s="324"/>
      <c r="H195" s="253"/>
      <c r="I195" s="256"/>
      <c r="J195" s="211"/>
      <c r="K195" s="223"/>
      <c r="L195" s="220"/>
      <c r="M195" s="235"/>
      <c r="N195" s="293"/>
      <c r="O195" s="378"/>
      <c r="P195" s="226"/>
    </row>
    <row r="196" spans="1:16" s="36" customFormat="1" ht="12.75" customHeight="1" x14ac:dyDescent="0.2">
      <c r="A196" s="436"/>
      <c r="B196" s="316"/>
      <c r="C196" s="366"/>
      <c r="D196" s="318"/>
      <c r="E196" s="336"/>
      <c r="F196" s="316"/>
      <c r="G196" s="324"/>
      <c r="H196" s="253"/>
      <c r="I196" s="256"/>
      <c r="J196" s="211"/>
      <c r="K196" s="223"/>
      <c r="L196" s="220"/>
      <c r="M196" s="235"/>
      <c r="N196" s="293"/>
      <c r="O196" s="378"/>
      <c r="P196" s="226"/>
    </row>
    <row r="197" spans="1:16" s="36" customFormat="1" ht="12.75" customHeight="1" x14ac:dyDescent="0.2">
      <c r="A197" s="436"/>
      <c r="B197" s="316"/>
      <c r="C197" s="366"/>
      <c r="D197" s="318"/>
      <c r="E197" s="336"/>
      <c r="F197" s="316"/>
      <c r="G197" s="324"/>
      <c r="H197" s="253"/>
      <c r="I197" s="256"/>
      <c r="J197" s="211"/>
      <c r="K197" s="223"/>
      <c r="L197" s="220"/>
      <c r="M197" s="235"/>
      <c r="N197" s="293"/>
      <c r="O197" s="378"/>
      <c r="P197" s="226"/>
    </row>
    <row r="198" spans="1:16" s="36" customFormat="1" ht="12.75" customHeight="1" x14ac:dyDescent="0.2">
      <c r="A198" s="436"/>
      <c r="B198" s="316"/>
      <c r="C198" s="366"/>
      <c r="D198" s="318"/>
      <c r="E198" s="336"/>
      <c r="F198" s="316"/>
      <c r="G198" s="324"/>
      <c r="H198" s="253"/>
      <c r="I198" s="256"/>
      <c r="J198" s="211"/>
      <c r="K198" s="223"/>
      <c r="L198" s="220"/>
      <c r="M198" s="235"/>
      <c r="N198" s="293"/>
      <c r="O198" s="378"/>
      <c r="P198" s="226"/>
    </row>
    <row r="199" spans="1:16" s="36" customFormat="1" ht="12.75" customHeight="1" x14ac:dyDescent="0.2">
      <c r="A199" s="436"/>
      <c r="B199" s="316"/>
      <c r="C199" s="366"/>
      <c r="D199" s="318"/>
      <c r="E199" s="336"/>
      <c r="F199" s="316"/>
      <c r="G199" s="324"/>
      <c r="H199" s="253"/>
      <c r="I199" s="256"/>
      <c r="J199" s="211"/>
      <c r="K199" s="223"/>
      <c r="L199" s="220"/>
      <c r="M199" s="235"/>
      <c r="N199" s="293"/>
      <c r="O199" s="378"/>
      <c r="P199" s="226"/>
    </row>
    <row r="200" spans="1:16" s="36" customFormat="1" ht="12.75" customHeight="1" x14ac:dyDescent="0.2">
      <c r="A200" s="436"/>
      <c r="B200" s="316"/>
      <c r="C200" s="366"/>
      <c r="D200" s="318"/>
      <c r="E200" s="336"/>
      <c r="F200" s="316"/>
      <c r="G200" s="324"/>
      <c r="H200" s="253"/>
      <c r="I200" s="256"/>
      <c r="J200" s="211"/>
      <c r="K200" s="223"/>
      <c r="L200" s="220"/>
      <c r="M200" s="235"/>
      <c r="N200" s="293"/>
      <c r="O200" s="378"/>
      <c r="P200" s="226"/>
    </row>
    <row r="201" spans="1:16" s="36" customFormat="1" ht="12.75" customHeight="1" x14ac:dyDescent="0.2">
      <c r="A201" s="436"/>
      <c r="B201" s="316"/>
      <c r="C201" s="366"/>
      <c r="D201" s="318"/>
      <c r="E201" s="336"/>
      <c r="F201" s="316"/>
      <c r="G201" s="324"/>
      <c r="H201" s="253"/>
      <c r="I201" s="256"/>
      <c r="J201" s="211"/>
      <c r="K201" s="223"/>
      <c r="L201" s="220"/>
      <c r="M201" s="235"/>
      <c r="N201" s="293"/>
      <c r="O201" s="378"/>
      <c r="P201" s="226"/>
    </row>
    <row r="202" spans="1:16" s="36" customFormat="1" ht="12.75" customHeight="1" x14ac:dyDescent="0.2">
      <c r="A202" s="436"/>
      <c r="B202" s="316"/>
      <c r="C202" s="366"/>
      <c r="D202" s="318"/>
      <c r="E202" s="336"/>
      <c r="F202" s="316"/>
      <c r="G202" s="324"/>
      <c r="H202" s="253"/>
      <c r="I202" s="256"/>
      <c r="J202" s="211"/>
      <c r="K202" s="223"/>
      <c r="L202" s="220"/>
      <c r="M202" s="235"/>
      <c r="N202" s="293"/>
      <c r="O202" s="378"/>
      <c r="P202" s="226"/>
    </row>
    <row r="203" spans="1:16" s="36" customFormat="1" ht="12.75" customHeight="1" x14ac:dyDescent="0.2">
      <c r="A203" s="436"/>
      <c r="B203" s="316"/>
      <c r="C203" s="366"/>
      <c r="D203" s="318"/>
      <c r="E203" s="336"/>
      <c r="F203" s="316"/>
      <c r="G203" s="324"/>
      <c r="H203" s="253"/>
      <c r="I203" s="256"/>
      <c r="J203" s="211"/>
      <c r="K203" s="223"/>
      <c r="L203" s="220"/>
      <c r="M203" s="235"/>
      <c r="N203" s="293"/>
      <c r="O203" s="378"/>
      <c r="P203" s="226"/>
    </row>
    <row r="204" spans="1:16" s="36" customFormat="1" ht="12.75" customHeight="1" x14ac:dyDescent="0.2">
      <c r="A204" s="436"/>
      <c r="B204" s="316"/>
      <c r="C204" s="366"/>
      <c r="D204" s="318"/>
      <c r="E204" s="336"/>
      <c r="F204" s="316"/>
      <c r="G204" s="324"/>
      <c r="H204" s="253"/>
      <c r="I204" s="256"/>
      <c r="J204" s="211"/>
      <c r="K204" s="223"/>
      <c r="L204" s="220"/>
      <c r="M204" s="235"/>
      <c r="N204" s="293"/>
      <c r="O204" s="378"/>
      <c r="P204" s="226"/>
    </row>
    <row r="205" spans="1:16" s="36" customFormat="1" x14ac:dyDescent="0.2">
      <c r="A205" s="436"/>
      <c r="B205" s="316"/>
      <c r="C205" s="366"/>
      <c r="D205" s="318"/>
      <c r="E205" s="336"/>
      <c r="F205" s="316"/>
      <c r="G205" s="324"/>
      <c r="H205" s="253"/>
      <c r="I205" s="256"/>
      <c r="J205" s="211"/>
      <c r="K205" s="224"/>
      <c r="L205" s="221"/>
      <c r="M205" s="236"/>
      <c r="N205" s="288"/>
      <c r="O205" s="378"/>
      <c r="P205" s="226"/>
    </row>
    <row r="206" spans="1:16" s="36" customFormat="1" x14ac:dyDescent="0.2">
      <c r="A206" s="436"/>
      <c r="B206" s="316"/>
      <c r="C206" s="366"/>
      <c r="D206" s="318"/>
      <c r="E206" s="336"/>
      <c r="F206" s="316"/>
      <c r="G206" s="324"/>
      <c r="H206" s="253"/>
      <c r="I206" s="256"/>
      <c r="J206" s="211"/>
      <c r="K206" s="213" t="s">
        <v>10</v>
      </c>
      <c r="L206" s="216">
        <f>'d.c. fault estimation'!C7*L177</f>
        <v>0.75951479618593931</v>
      </c>
      <c r="M206" s="231">
        <v>0.05</v>
      </c>
      <c r="N206" s="285" t="s">
        <v>1079</v>
      </c>
      <c r="O206" s="378"/>
      <c r="P206" s="226"/>
    </row>
    <row r="207" spans="1:16" s="36" customFormat="1" x14ac:dyDescent="0.2">
      <c r="A207" s="436"/>
      <c r="B207" s="316"/>
      <c r="C207" s="366"/>
      <c r="D207" s="318"/>
      <c r="E207" s="336"/>
      <c r="F207" s="316"/>
      <c r="G207" s="324"/>
      <c r="H207" s="253"/>
      <c r="I207" s="256"/>
      <c r="J207" s="211"/>
      <c r="K207" s="214"/>
      <c r="L207" s="217"/>
      <c r="M207" s="232"/>
      <c r="N207" s="286"/>
      <c r="O207" s="378"/>
      <c r="P207" s="226"/>
    </row>
    <row r="208" spans="1:16" s="36" customFormat="1" x14ac:dyDescent="0.2">
      <c r="A208" s="436"/>
      <c r="B208" s="316"/>
      <c r="C208" s="366"/>
      <c r="D208" s="318"/>
      <c r="E208" s="336"/>
      <c r="F208" s="316"/>
      <c r="G208" s="324"/>
      <c r="H208" s="253"/>
      <c r="I208" s="256"/>
      <c r="J208" s="211"/>
      <c r="K208" s="214"/>
      <c r="L208" s="217"/>
      <c r="M208" s="232"/>
      <c r="N208" s="286"/>
      <c r="O208" s="378"/>
      <c r="P208" s="226"/>
    </row>
    <row r="209" spans="1:16" s="36" customFormat="1" x14ac:dyDescent="0.2">
      <c r="A209" s="436"/>
      <c r="B209" s="316"/>
      <c r="C209" s="366"/>
      <c r="D209" s="318"/>
      <c r="E209" s="336"/>
      <c r="F209" s="316"/>
      <c r="G209" s="324"/>
      <c r="H209" s="253"/>
      <c r="I209" s="256"/>
      <c r="J209" s="211"/>
      <c r="K209" s="214"/>
      <c r="L209" s="217"/>
      <c r="M209" s="232"/>
      <c r="N209" s="286"/>
      <c r="O209" s="378"/>
      <c r="P209" s="226"/>
    </row>
    <row r="210" spans="1:16" s="36" customFormat="1" ht="13.5" thickBot="1" x14ac:dyDescent="0.25">
      <c r="A210" s="436"/>
      <c r="B210" s="317"/>
      <c r="C210" s="367"/>
      <c r="D210" s="318"/>
      <c r="E210" s="337"/>
      <c r="F210" s="317"/>
      <c r="G210" s="325"/>
      <c r="H210" s="254"/>
      <c r="I210" s="257"/>
      <c r="J210" s="212"/>
      <c r="K210" s="215"/>
      <c r="L210" s="218"/>
      <c r="M210" s="233"/>
      <c r="N210" s="286"/>
      <c r="O210" s="379"/>
      <c r="P210" s="453"/>
    </row>
    <row r="211" spans="1:16" s="36" customFormat="1" x14ac:dyDescent="0.2">
      <c r="A211" s="436"/>
      <c r="B211" s="315" t="s">
        <v>209</v>
      </c>
      <c r="C211" s="368" t="s">
        <v>91</v>
      </c>
      <c r="D211" s="322"/>
      <c r="E211" s="335" t="s">
        <v>1186</v>
      </c>
      <c r="F211" s="315"/>
      <c r="G211" s="323"/>
      <c r="H211" s="252"/>
      <c r="I211" s="255"/>
      <c r="J211" s="258"/>
      <c r="K211" s="222" t="s">
        <v>7</v>
      </c>
      <c r="L211" s="280" t="s">
        <v>1187</v>
      </c>
      <c r="M211" s="234">
        <v>0.7</v>
      </c>
      <c r="N211" s="287"/>
      <c r="O211" s="59"/>
      <c r="P211" s="60"/>
    </row>
    <row r="212" spans="1:16" s="36" customFormat="1" x14ac:dyDescent="0.2">
      <c r="A212" s="436"/>
      <c r="B212" s="316"/>
      <c r="C212" s="369"/>
      <c r="D212" s="322"/>
      <c r="E212" s="336"/>
      <c r="F212" s="316"/>
      <c r="G212" s="324"/>
      <c r="H212" s="253"/>
      <c r="I212" s="256"/>
      <c r="J212" s="259"/>
      <c r="K212" s="224"/>
      <c r="L212" s="221"/>
      <c r="M212" s="236"/>
      <c r="N212" s="288"/>
      <c r="P212" s="61"/>
    </row>
    <row r="213" spans="1:16" s="36" customFormat="1" x14ac:dyDescent="0.2">
      <c r="A213" s="436"/>
      <c r="B213" s="316"/>
      <c r="C213" s="369"/>
      <c r="D213" s="322"/>
      <c r="E213" s="336"/>
      <c r="F213" s="316"/>
      <c r="G213" s="324"/>
      <c r="H213" s="253"/>
      <c r="I213" s="256"/>
      <c r="J213" s="259"/>
      <c r="K213" s="213" t="s">
        <v>11</v>
      </c>
      <c r="L213" s="270" t="s">
        <v>1187</v>
      </c>
      <c r="M213" s="67">
        <v>0.2</v>
      </c>
      <c r="N213" s="285"/>
      <c r="P213" s="61"/>
    </row>
    <row r="214" spans="1:16" s="36" customFormat="1" x14ac:dyDescent="0.2">
      <c r="A214" s="436"/>
      <c r="B214" s="316"/>
      <c r="C214" s="369"/>
      <c r="D214" s="322"/>
      <c r="E214" s="336"/>
      <c r="F214" s="316"/>
      <c r="G214" s="324"/>
      <c r="H214" s="253"/>
      <c r="I214" s="256"/>
      <c r="J214" s="259"/>
      <c r="K214" s="214"/>
      <c r="L214" s="217"/>
      <c r="M214" s="67"/>
      <c r="N214" s="286"/>
      <c r="P214" s="62"/>
    </row>
    <row r="215" spans="1:16" s="36" customFormat="1" x14ac:dyDescent="0.2">
      <c r="A215" s="436"/>
      <c r="B215" s="316"/>
      <c r="C215" s="369"/>
      <c r="D215" s="322"/>
      <c r="E215" s="336"/>
      <c r="F215" s="316"/>
      <c r="G215" s="324"/>
      <c r="H215" s="253"/>
      <c r="I215" s="256"/>
      <c r="J215" s="259"/>
      <c r="K215" s="215"/>
      <c r="L215" s="218"/>
      <c r="M215" s="68"/>
      <c r="N215" s="286"/>
      <c r="P215" s="62"/>
    </row>
    <row r="216" spans="1:16" s="36" customFormat="1" ht="12.75" customHeight="1" x14ac:dyDescent="0.2">
      <c r="A216" s="436"/>
      <c r="B216" s="316"/>
      <c r="C216" s="369"/>
      <c r="D216" s="322"/>
      <c r="E216" s="336"/>
      <c r="F216" s="316"/>
      <c r="G216" s="324"/>
      <c r="H216" s="253"/>
      <c r="I216" s="256"/>
      <c r="J216" s="259"/>
      <c r="K216" s="222" t="s">
        <v>12</v>
      </c>
      <c r="L216" s="280" t="s">
        <v>1187</v>
      </c>
      <c r="M216" s="234">
        <v>0.05</v>
      </c>
      <c r="N216" s="287"/>
      <c r="P216" s="62"/>
    </row>
    <row r="217" spans="1:16" s="36" customFormat="1" x14ac:dyDescent="0.2">
      <c r="A217" s="436"/>
      <c r="B217" s="316"/>
      <c r="C217" s="369"/>
      <c r="D217" s="322"/>
      <c r="E217" s="336"/>
      <c r="F217" s="316"/>
      <c r="G217" s="324"/>
      <c r="H217" s="253"/>
      <c r="I217" s="256"/>
      <c r="J217" s="259"/>
      <c r="K217" s="224"/>
      <c r="L217" s="221"/>
      <c r="M217" s="236"/>
      <c r="N217" s="288"/>
      <c r="P217" s="62"/>
    </row>
    <row r="218" spans="1:16" s="36" customFormat="1" x14ac:dyDescent="0.2">
      <c r="A218" s="436"/>
      <c r="B218" s="316"/>
      <c r="C218" s="369"/>
      <c r="D218" s="322"/>
      <c r="E218" s="336"/>
      <c r="F218" s="316"/>
      <c r="G218" s="324"/>
      <c r="H218" s="253"/>
      <c r="I218" s="256"/>
      <c r="J218" s="259"/>
      <c r="K218" s="213" t="s">
        <v>10</v>
      </c>
      <c r="L218" s="270" t="s">
        <v>1187</v>
      </c>
      <c r="M218" s="67">
        <v>0.05</v>
      </c>
      <c r="N218" s="285"/>
      <c r="P218" s="62"/>
    </row>
    <row r="219" spans="1:16" s="36" customFormat="1" x14ac:dyDescent="0.2">
      <c r="A219" s="436"/>
      <c r="B219" s="316"/>
      <c r="C219" s="369"/>
      <c r="D219" s="322"/>
      <c r="E219" s="336"/>
      <c r="F219" s="316"/>
      <c r="G219" s="324"/>
      <c r="H219" s="253"/>
      <c r="I219" s="256"/>
      <c r="J219" s="259"/>
      <c r="K219" s="214"/>
      <c r="L219" s="217"/>
      <c r="M219" s="67"/>
      <c r="N219" s="286"/>
      <c r="P219" s="62"/>
    </row>
    <row r="220" spans="1:16" s="36" customFormat="1" ht="13.5" thickBot="1" x14ac:dyDescent="0.25">
      <c r="A220" s="436"/>
      <c r="B220" s="317"/>
      <c r="C220" s="370"/>
      <c r="D220" s="322"/>
      <c r="E220" s="337"/>
      <c r="F220" s="317"/>
      <c r="G220" s="325"/>
      <c r="H220" s="254"/>
      <c r="I220" s="257"/>
      <c r="J220" s="260"/>
      <c r="K220" s="215"/>
      <c r="L220" s="218"/>
      <c r="M220" s="68"/>
      <c r="N220" s="286"/>
      <c r="O220" s="63"/>
      <c r="P220" s="64"/>
    </row>
    <row r="221" spans="1:16" s="36" customFormat="1" ht="25.5" customHeight="1" x14ac:dyDescent="0.2">
      <c r="A221" s="436"/>
      <c r="B221" s="315" t="s">
        <v>210</v>
      </c>
      <c r="C221" s="341" t="s">
        <v>92</v>
      </c>
      <c r="D221" s="358">
        <v>2.626616379310345E-2</v>
      </c>
      <c r="E221" s="326"/>
      <c r="F221" s="228">
        <v>1</v>
      </c>
      <c r="G221" s="237"/>
      <c r="H221" s="246">
        <f>L221*M221+L226*M226+L234*M234+L240*M240</f>
        <v>0.64114574834057314</v>
      </c>
      <c r="I221" s="243">
        <f>D221*F221</f>
        <v>2.626616379310345E-2</v>
      </c>
      <c r="J221" s="240">
        <f>D221*F221*H221</f>
        <v>1.6840439241165378E-2</v>
      </c>
      <c r="K221" s="222" t="s">
        <v>7</v>
      </c>
      <c r="L221" s="219">
        <f>2/3*exec_estimation!B177+1/3*NVIC_DPU!B50</f>
        <v>0.67002898550724632</v>
      </c>
      <c r="M221" s="234">
        <v>0.7</v>
      </c>
      <c r="N221" s="289" t="s">
        <v>1210</v>
      </c>
      <c r="O221" s="399" t="s">
        <v>1377</v>
      </c>
      <c r="P221" s="462" t="s">
        <v>1536</v>
      </c>
    </row>
    <row r="222" spans="1:16" s="36" customFormat="1" x14ac:dyDescent="0.2">
      <c r="A222" s="436"/>
      <c r="B222" s="316"/>
      <c r="C222" s="342"/>
      <c r="D222" s="358"/>
      <c r="E222" s="327"/>
      <c r="F222" s="229"/>
      <c r="G222" s="238"/>
      <c r="H222" s="247"/>
      <c r="I222" s="244"/>
      <c r="J222" s="241"/>
      <c r="K222" s="223"/>
      <c r="L222" s="220"/>
      <c r="M222" s="235"/>
      <c r="N222" s="290"/>
      <c r="O222" s="381"/>
      <c r="P222" s="226"/>
    </row>
    <row r="223" spans="1:16" s="36" customFormat="1" x14ac:dyDescent="0.2">
      <c r="A223" s="436"/>
      <c r="B223" s="316"/>
      <c r="C223" s="342"/>
      <c r="D223" s="358"/>
      <c r="E223" s="327"/>
      <c r="F223" s="229"/>
      <c r="G223" s="238"/>
      <c r="H223" s="247"/>
      <c r="I223" s="244"/>
      <c r="J223" s="241"/>
      <c r="K223" s="223"/>
      <c r="L223" s="220"/>
      <c r="M223" s="235"/>
      <c r="N223" s="290"/>
      <c r="O223" s="381"/>
      <c r="P223" s="226"/>
    </row>
    <row r="224" spans="1:16" s="36" customFormat="1" x14ac:dyDescent="0.2">
      <c r="A224" s="436"/>
      <c r="B224" s="316"/>
      <c r="C224" s="342"/>
      <c r="D224" s="358"/>
      <c r="E224" s="327"/>
      <c r="F224" s="229"/>
      <c r="G224" s="238"/>
      <c r="H224" s="247"/>
      <c r="I224" s="244"/>
      <c r="J224" s="241"/>
      <c r="K224" s="223"/>
      <c r="L224" s="220"/>
      <c r="M224" s="235"/>
      <c r="N224" s="290"/>
      <c r="O224" s="381"/>
      <c r="P224" s="226"/>
    </row>
    <row r="225" spans="1:16" s="36" customFormat="1" x14ac:dyDescent="0.2">
      <c r="A225" s="436"/>
      <c r="B225" s="316"/>
      <c r="C225" s="342"/>
      <c r="D225" s="358"/>
      <c r="E225" s="327"/>
      <c r="F225" s="229"/>
      <c r="G225" s="238"/>
      <c r="H225" s="247"/>
      <c r="I225" s="244"/>
      <c r="J225" s="241"/>
      <c r="K225" s="224"/>
      <c r="L225" s="221"/>
      <c r="M225" s="236"/>
      <c r="N225" s="288"/>
      <c r="O225" s="382"/>
      <c r="P225" s="226"/>
    </row>
    <row r="226" spans="1:16" s="36" customFormat="1" x14ac:dyDescent="0.2">
      <c r="A226" s="436"/>
      <c r="B226" s="316"/>
      <c r="C226" s="342"/>
      <c r="D226" s="358"/>
      <c r="E226" s="327"/>
      <c r="F226" s="229"/>
      <c r="G226" s="238"/>
      <c r="H226" s="247"/>
      <c r="I226" s="244"/>
      <c r="J226" s="241"/>
      <c r="K226" s="213" t="s">
        <v>11</v>
      </c>
      <c r="L226" s="216">
        <f>(1-POWER(0.5,6))*L221</f>
        <v>0.65955978260869563</v>
      </c>
      <c r="M226" s="231">
        <v>0.2</v>
      </c>
      <c r="N226" s="285" t="s">
        <v>1529</v>
      </c>
      <c r="O226" s="382"/>
      <c r="P226" s="226"/>
    </row>
    <row r="227" spans="1:16" s="36" customFormat="1" x14ac:dyDescent="0.2">
      <c r="A227" s="436"/>
      <c r="B227" s="316"/>
      <c r="C227" s="342"/>
      <c r="D227" s="358"/>
      <c r="E227" s="327"/>
      <c r="F227" s="229"/>
      <c r="G227" s="238"/>
      <c r="H227" s="247"/>
      <c r="I227" s="244"/>
      <c r="J227" s="241"/>
      <c r="K227" s="214"/>
      <c r="L227" s="217"/>
      <c r="M227" s="232"/>
      <c r="N227" s="286"/>
      <c r="O227" s="382"/>
      <c r="P227" s="226"/>
    </row>
    <row r="228" spans="1:16" s="36" customFormat="1" x14ac:dyDescent="0.2">
      <c r="A228" s="436"/>
      <c r="B228" s="316"/>
      <c r="C228" s="342"/>
      <c r="D228" s="358"/>
      <c r="E228" s="327"/>
      <c r="F228" s="229"/>
      <c r="G228" s="238"/>
      <c r="H228" s="247"/>
      <c r="I228" s="244"/>
      <c r="J228" s="241"/>
      <c r="K228" s="214"/>
      <c r="L228" s="217"/>
      <c r="M228" s="232"/>
      <c r="N228" s="286"/>
      <c r="O228" s="382"/>
      <c r="P228" s="226"/>
    </row>
    <row r="229" spans="1:16" s="36" customFormat="1" x14ac:dyDescent="0.2">
      <c r="A229" s="436"/>
      <c r="B229" s="316"/>
      <c r="C229" s="342"/>
      <c r="D229" s="358"/>
      <c r="E229" s="327"/>
      <c r="F229" s="229"/>
      <c r="G229" s="238"/>
      <c r="H229" s="247"/>
      <c r="I229" s="244"/>
      <c r="J229" s="241"/>
      <c r="K229" s="214"/>
      <c r="L229" s="217"/>
      <c r="M229" s="232"/>
      <c r="N229" s="286"/>
      <c r="O229" s="382"/>
      <c r="P229" s="226"/>
    </row>
    <row r="230" spans="1:16" s="36" customFormat="1" x14ac:dyDescent="0.2">
      <c r="A230" s="436"/>
      <c r="B230" s="316"/>
      <c r="C230" s="342"/>
      <c r="D230" s="358"/>
      <c r="E230" s="327"/>
      <c r="F230" s="229"/>
      <c r="G230" s="238"/>
      <c r="H230" s="247"/>
      <c r="I230" s="244"/>
      <c r="J230" s="241"/>
      <c r="K230" s="214"/>
      <c r="L230" s="217"/>
      <c r="M230" s="232"/>
      <c r="N230" s="286"/>
      <c r="O230" s="382"/>
      <c r="P230" s="226"/>
    </row>
    <row r="231" spans="1:16" s="36" customFormat="1" x14ac:dyDescent="0.2">
      <c r="A231" s="436"/>
      <c r="B231" s="316"/>
      <c r="C231" s="342"/>
      <c r="D231" s="358"/>
      <c r="E231" s="327"/>
      <c r="F231" s="229"/>
      <c r="G231" s="238"/>
      <c r="H231" s="247"/>
      <c r="I231" s="244"/>
      <c r="J231" s="241"/>
      <c r="K231" s="214"/>
      <c r="L231" s="217"/>
      <c r="M231" s="232"/>
      <c r="N231" s="286"/>
      <c r="O231" s="382"/>
      <c r="P231" s="226"/>
    </row>
    <row r="232" spans="1:16" s="36" customFormat="1" x14ac:dyDescent="0.2">
      <c r="A232" s="436"/>
      <c r="B232" s="316"/>
      <c r="C232" s="342"/>
      <c r="D232" s="358"/>
      <c r="E232" s="327"/>
      <c r="F232" s="229"/>
      <c r="G232" s="238"/>
      <c r="H232" s="247"/>
      <c r="I232" s="244"/>
      <c r="J232" s="241"/>
      <c r="K232" s="214"/>
      <c r="L232" s="217"/>
      <c r="M232" s="232"/>
      <c r="N232" s="286"/>
      <c r="O232" s="382"/>
      <c r="P232" s="226"/>
    </row>
    <row r="233" spans="1:16" s="36" customFormat="1" x14ac:dyDescent="0.2">
      <c r="A233" s="436"/>
      <c r="B233" s="316"/>
      <c r="C233" s="342"/>
      <c r="D233" s="358"/>
      <c r="E233" s="327"/>
      <c r="F233" s="229"/>
      <c r="G233" s="238"/>
      <c r="H233" s="247"/>
      <c r="I233" s="244"/>
      <c r="J233" s="241"/>
      <c r="K233" s="215"/>
      <c r="L233" s="218"/>
      <c r="M233" s="233"/>
      <c r="N233" s="286"/>
      <c r="O233" s="382"/>
      <c r="P233" s="226"/>
    </row>
    <row r="234" spans="1:16" s="36" customFormat="1" ht="12.75" customHeight="1" x14ac:dyDescent="0.2">
      <c r="A234" s="436"/>
      <c r="B234" s="316"/>
      <c r="C234" s="342"/>
      <c r="D234" s="358"/>
      <c r="E234" s="327"/>
      <c r="F234" s="229"/>
      <c r="G234" s="238"/>
      <c r="H234" s="247"/>
      <c r="I234" s="244"/>
      <c r="J234" s="241"/>
      <c r="K234" s="222" t="s">
        <v>12</v>
      </c>
      <c r="L234" s="219">
        <f>'d.c. fault estimation'!O18*L221</f>
        <v>0.46064492753623187</v>
      </c>
      <c r="M234" s="234">
        <v>0.05</v>
      </c>
      <c r="N234" s="289" t="s">
        <v>1512</v>
      </c>
      <c r="O234" s="382"/>
      <c r="P234" s="226"/>
    </row>
    <row r="235" spans="1:16" s="36" customFormat="1" ht="12.75" customHeight="1" x14ac:dyDescent="0.2">
      <c r="A235" s="436"/>
      <c r="B235" s="316"/>
      <c r="C235" s="342"/>
      <c r="D235" s="358"/>
      <c r="E235" s="327"/>
      <c r="F235" s="229"/>
      <c r="G235" s="238"/>
      <c r="H235" s="247"/>
      <c r="I235" s="244"/>
      <c r="J235" s="241"/>
      <c r="K235" s="223"/>
      <c r="L235" s="220"/>
      <c r="M235" s="235"/>
      <c r="N235" s="290"/>
      <c r="O235" s="382"/>
      <c r="P235" s="226"/>
    </row>
    <row r="236" spans="1:16" s="36" customFormat="1" ht="12.75" customHeight="1" x14ac:dyDescent="0.2">
      <c r="A236" s="436"/>
      <c r="B236" s="316"/>
      <c r="C236" s="342"/>
      <c r="D236" s="358"/>
      <c r="E236" s="327"/>
      <c r="F236" s="229"/>
      <c r="G236" s="238"/>
      <c r="H236" s="247"/>
      <c r="I236" s="244"/>
      <c r="J236" s="241"/>
      <c r="K236" s="223"/>
      <c r="L236" s="220"/>
      <c r="M236" s="235"/>
      <c r="N236" s="290"/>
      <c r="O236" s="382"/>
      <c r="P236" s="226"/>
    </row>
    <row r="237" spans="1:16" s="36" customFormat="1" ht="12.75" customHeight="1" x14ac:dyDescent="0.2">
      <c r="A237" s="436"/>
      <c r="B237" s="316"/>
      <c r="C237" s="342"/>
      <c r="D237" s="358"/>
      <c r="E237" s="327"/>
      <c r="F237" s="229"/>
      <c r="G237" s="238"/>
      <c r="H237" s="247"/>
      <c r="I237" s="244"/>
      <c r="J237" s="241"/>
      <c r="K237" s="223"/>
      <c r="L237" s="220"/>
      <c r="M237" s="235"/>
      <c r="N237" s="290"/>
      <c r="O237" s="382"/>
      <c r="P237" s="226"/>
    </row>
    <row r="238" spans="1:16" s="36" customFormat="1" ht="12.75" customHeight="1" x14ac:dyDescent="0.2">
      <c r="A238" s="436"/>
      <c r="B238" s="316"/>
      <c r="C238" s="342"/>
      <c r="D238" s="358"/>
      <c r="E238" s="327"/>
      <c r="F238" s="229"/>
      <c r="G238" s="238"/>
      <c r="H238" s="247"/>
      <c r="I238" s="244"/>
      <c r="J238" s="241"/>
      <c r="K238" s="223"/>
      <c r="L238" s="220"/>
      <c r="M238" s="235"/>
      <c r="N238" s="290"/>
      <c r="O238" s="382"/>
      <c r="P238" s="226"/>
    </row>
    <row r="239" spans="1:16" s="36" customFormat="1" x14ac:dyDescent="0.2">
      <c r="A239" s="436"/>
      <c r="B239" s="316"/>
      <c r="C239" s="342"/>
      <c r="D239" s="358"/>
      <c r="E239" s="327"/>
      <c r="F239" s="229"/>
      <c r="G239" s="238"/>
      <c r="H239" s="247"/>
      <c r="I239" s="244"/>
      <c r="J239" s="241"/>
      <c r="K239" s="224"/>
      <c r="L239" s="221"/>
      <c r="M239" s="236"/>
      <c r="N239" s="288"/>
      <c r="O239" s="382"/>
      <c r="P239" s="226"/>
    </row>
    <row r="240" spans="1:16" s="36" customFormat="1" x14ac:dyDescent="0.2">
      <c r="A240" s="436"/>
      <c r="B240" s="316"/>
      <c r="C240" s="342"/>
      <c r="D240" s="358"/>
      <c r="E240" s="327"/>
      <c r="F240" s="229"/>
      <c r="G240" s="238"/>
      <c r="H240" s="247"/>
      <c r="I240" s="244"/>
      <c r="J240" s="241"/>
      <c r="K240" s="213" t="s">
        <v>10</v>
      </c>
      <c r="L240" s="216">
        <f>(1/3*lookup!L11+2/3*(0.5*lookup!J101+0.5*lookup!K101))*L221</f>
        <v>0.34362511173900112</v>
      </c>
      <c r="M240" s="231">
        <v>0.05</v>
      </c>
      <c r="N240" s="285" t="s">
        <v>1503</v>
      </c>
      <c r="O240" s="382"/>
      <c r="P240" s="226"/>
    </row>
    <row r="241" spans="1:16" s="36" customFormat="1" x14ac:dyDescent="0.2">
      <c r="A241" s="436"/>
      <c r="B241" s="316"/>
      <c r="C241" s="342"/>
      <c r="D241" s="358"/>
      <c r="E241" s="327"/>
      <c r="F241" s="229"/>
      <c r="G241" s="238"/>
      <c r="H241" s="247"/>
      <c r="I241" s="244"/>
      <c r="J241" s="241"/>
      <c r="K241" s="214"/>
      <c r="L241" s="217"/>
      <c r="M241" s="232"/>
      <c r="N241" s="286"/>
      <c r="O241" s="382"/>
      <c r="P241" s="226"/>
    </row>
    <row r="242" spans="1:16" s="36" customFormat="1" x14ac:dyDescent="0.2">
      <c r="A242" s="436"/>
      <c r="B242" s="316"/>
      <c r="C242" s="342"/>
      <c r="D242" s="358"/>
      <c r="E242" s="327"/>
      <c r="F242" s="229"/>
      <c r="G242" s="238"/>
      <c r="H242" s="247"/>
      <c r="I242" s="244"/>
      <c r="J242" s="241"/>
      <c r="K242" s="214"/>
      <c r="L242" s="217"/>
      <c r="M242" s="232"/>
      <c r="N242" s="286"/>
      <c r="O242" s="382"/>
      <c r="P242" s="226"/>
    </row>
    <row r="243" spans="1:16" s="36" customFormat="1" x14ac:dyDescent="0.2">
      <c r="A243" s="436"/>
      <c r="B243" s="316"/>
      <c r="C243" s="342"/>
      <c r="D243" s="358"/>
      <c r="E243" s="327"/>
      <c r="F243" s="229"/>
      <c r="G243" s="238"/>
      <c r="H243" s="247"/>
      <c r="I243" s="244"/>
      <c r="J243" s="241"/>
      <c r="K243" s="214"/>
      <c r="L243" s="217"/>
      <c r="M243" s="232"/>
      <c r="N243" s="286"/>
      <c r="O243" s="382"/>
      <c r="P243" s="226"/>
    </row>
    <row r="244" spans="1:16" s="36" customFormat="1" x14ac:dyDescent="0.2">
      <c r="A244" s="436"/>
      <c r="B244" s="316"/>
      <c r="C244" s="342"/>
      <c r="D244" s="358"/>
      <c r="E244" s="327"/>
      <c r="F244" s="229"/>
      <c r="G244" s="238"/>
      <c r="H244" s="247"/>
      <c r="I244" s="244"/>
      <c r="J244" s="241"/>
      <c r="K244" s="214"/>
      <c r="L244" s="217"/>
      <c r="M244" s="232"/>
      <c r="N244" s="286"/>
      <c r="O244" s="382"/>
      <c r="P244" s="226"/>
    </row>
    <row r="245" spans="1:16" s="36" customFormat="1" x14ac:dyDescent="0.2">
      <c r="A245" s="436"/>
      <c r="B245" s="316"/>
      <c r="C245" s="342"/>
      <c r="D245" s="358"/>
      <c r="E245" s="327"/>
      <c r="F245" s="229"/>
      <c r="G245" s="238"/>
      <c r="H245" s="247"/>
      <c r="I245" s="244"/>
      <c r="J245" s="241"/>
      <c r="K245" s="214"/>
      <c r="L245" s="217"/>
      <c r="M245" s="232"/>
      <c r="N245" s="286"/>
      <c r="O245" s="382"/>
      <c r="P245" s="226"/>
    </row>
    <row r="246" spans="1:16" s="36" customFormat="1" x14ac:dyDescent="0.2">
      <c r="A246" s="436"/>
      <c r="B246" s="316"/>
      <c r="C246" s="342"/>
      <c r="D246" s="358"/>
      <c r="E246" s="327"/>
      <c r="F246" s="229"/>
      <c r="G246" s="238"/>
      <c r="H246" s="247"/>
      <c r="I246" s="244"/>
      <c r="J246" s="241"/>
      <c r="K246" s="214"/>
      <c r="L246" s="217"/>
      <c r="M246" s="232"/>
      <c r="N246" s="286"/>
      <c r="O246" s="382"/>
      <c r="P246" s="226"/>
    </row>
    <row r="247" spans="1:16" s="36" customFormat="1" x14ac:dyDescent="0.2">
      <c r="A247" s="436"/>
      <c r="B247" s="316"/>
      <c r="C247" s="342"/>
      <c r="D247" s="358"/>
      <c r="E247" s="327"/>
      <c r="F247" s="229"/>
      <c r="G247" s="238"/>
      <c r="H247" s="247"/>
      <c r="I247" s="244"/>
      <c r="J247" s="241"/>
      <c r="K247" s="214"/>
      <c r="L247" s="217"/>
      <c r="M247" s="232"/>
      <c r="N247" s="286"/>
      <c r="O247" s="382"/>
      <c r="P247" s="226"/>
    </row>
    <row r="248" spans="1:16" s="36" customFormat="1" x14ac:dyDescent="0.2">
      <c r="A248" s="436"/>
      <c r="B248" s="316"/>
      <c r="C248" s="342"/>
      <c r="D248" s="358"/>
      <c r="E248" s="327"/>
      <c r="F248" s="229"/>
      <c r="G248" s="238"/>
      <c r="H248" s="247"/>
      <c r="I248" s="244"/>
      <c r="J248" s="241"/>
      <c r="K248" s="214"/>
      <c r="L248" s="217"/>
      <c r="M248" s="232"/>
      <c r="N248" s="286"/>
      <c r="O248" s="382"/>
      <c r="P248" s="226"/>
    </row>
    <row r="249" spans="1:16" s="36" customFormat="1" ht="13.5" thickBot="1" x14ac:dyDescent="0.25">
      <c r="A249" s="436"/>
      <c r="B249" s="317"/>
      <c r="C249" s="343"/>
      <c r="D249" s="358"/>
      <c r="E249" s="328"/>
      <c r="F249" s="230"/>
      <c r="G249" s="239"/>
      <c r="H249" s="248"/>
      <c r="I249" s="245"/>
      <c r="J249" s="242"/>
      <c r="K249" s="215"/>
      <c r="L249" s="218"/>
      <c r="M249" s="233"/>
      <c r="N249" s="286"/>
      <c r="O249" s="400"/>
      <c r="P249" s="453"/>
    </row>
    <row r="250" spans="1:16" s="36" customFormat="1" ht="51" customHeight="1" x14ac:dyDescent="0.2">
      <c r="A250" s="436"/>
      <c r="B250" s="315" t="s">
        <v>211</v>
      </c>
      <c r="C250" s="341" t="s">
        <v>1499</v>
      </c>
      <c r="D250" s="358">
        <v>7.8943551061007963E-2</v>
      </c>
      <c r="E250" s="326"/>
      <c r="F250" s="228">
        <v>1</v>
      </c>
      <c r="G250" s="237"/>
      <c r="H250" s="246">
        <f>L250*M250+L253*M253+L261*M261+L267*M267</f>
        <v>0.66830591192315791</v>
      </c>
      <c r="I250" s="243">
        <f>D250*F250</f>
        <v>7.8943551061007963E-2</v>
      </c>
      <c r="J250" s="240">
        <f>D250*F250*H250</f>
        <v>5.2758441882279308E-2</v>
      </c>
      <c r="K250" s="222" t="s">
        <v>7</v>
      </c>
      <c r="L250" s="219">
        <f>2/3*fetch_estimation!B30+1/3*NVIC_DPU!B49</f>
        <v>0.69841269841269837</v>
      </c>
      <c r="M250" s="234">
        <v>0.7</v>
      </c>
      <c r="N250" s="289" t="s">
        <v>1540</v>
      </c>
      <c r="O250" s="399" t="s">
        <v>1455</v>
      </c>
      <c r="P250" s="452" t="s">
        <v>1535</v>
      </c>
    </row>
    <row r="251" spans="1:16" s="36" customFormat="1" x14ac:dyDescent="0.2">
      <c r="A251" s="436"/>
      <c r="B251" s="316"/>
      <c r="C251" s="342"/>
      <c r="D251" s="358"/>
      <c r="E251" s="327"/>
      <c r="F251" s="229"/>
      <c r="G251" s="238"/>
      <c r="H251" s="247"/>
      <c r="I251" s="244"/>
      <c r="J251" s="241"/>
      <c r="K251" s="223"/>
      <c r="L251" s="220"/>
      <c r="M251" s="235"/>
      <c r="N251" s="290"/>
      <c r="O251" s="381"/>
      <c r="P251" s="226"/>
    </row>
    <row r="252" spans="1:16" s="36" customFormat="1" x14ac:dyDescent="0.2">
      <c r="A252" s="436"/>
      <c r="B252" s="316"/>
      <c r="C252" s="342"/>
      <c r="D252" s="358"/>
      <c r="E252" s="327"/>
      <c r="F252" s="229"/>
      <c r="G252" s="238"/>
      <c r="H252" s="247"/>
      <c r="I252" s="244"/>
      <c r="J252" s="241"/>
      <c r="K252" s="224"/>
      <c r="L252" s="221"/>
      <c r="M252" s="236"/>
      <c r="N252" s="288"/>
      <c r="O252" s="382"/>
      <c r="P252" s="226"/>
    </row>
    <row r="253" spans="1:16" s="36" customFormat="1" x14ac:dyDescent="0.2">
      <c r="A253" s="436"/>
      <c r="B253" s="316"/>
      <c r="C253" s="342"/>
      <c r="D253" s="358"/>
      <c r="E253" s="327"/>
      <c r="F253" s="229"/>
      <c r="G253" s="238"/>
      <c r="H253" s="247"/>
      <c r="I253" s="244"/>
      <c r="J253" s="241"/>
      <c r="K253" s="213" t="s">
        <v>11</v>
      </c>
      <c r="L253" s="216">
        <f>(1-POWER(0.5,6))*L250</f>
        <v>0.6875</v>
      </c>
      <c r="M253" s="231">
        <v>0.2</v>
      </c>
      <c r="N253" s="285" t="s">
        <v>1529</v>
      </c>
      <c r="O253" s="382"/>
      <c r="P253" s="226"/>
    </row>
    <row r="254" spans="1:16" s="36" customFormat="1" x14ac:dyDescent="0.2">
      <c r="A254" s="436"/>
      <c r="B254" s="316"/>
      <c r="C254" s="342"/>
      <c r="D254" s="358"/>
      <c r="E254" s="327"/>
      <c r="F254" s="229"/>
      <c r="G254" s="238"/>
      <c r="H254" s="247"/>
      <c r="I254" s="244"/>
      <c r="J254" s="241"/>
      <c r="K254" s="214"/>
      <c r="L254" s="217"/>
      <c r="M254" s="232"/>
      <c r="N254" s="286"/>
      <c r="O254" s="382"/>
      <c r="P254" s="226"/>
    </row>
    <row r="255" spans="1:16" s="36" customFormat="1" x14ac:dyDescent="0.2">
      <c r="A255" s="436"/>
      <c r="B255" s="316"/>
      <c r="C255" s="342"/>
      <c r="D255" s="358"/>
      <c r="E255" s="327"/>
      <c r="F255" s="229"/>
      <c r="G255" s="238"/>
      <c r="H255" s="247"/>
      <c r="I255" s="244"/>
      <c r="J255" s="241"/>
      <c r="K255" s="214"/>
      <c r="L255" s="217"/>
      <c r="M255" s="232"/>
      <c r="N255" s="286"/>
      <c r="O255" s="382"/>
      <c r="P255" s="226"/>
    </row>
    <row r="256" spans="1:16" s="36" customFormat="1" x14ac:dyDescent="0.2">
      <c r="A256" s="436"/>
      <c r="B256" s="316"/>
      <c r="C256" s="342"/>
      <c r="D256" s="358"/>
      <c r="E256" s="327"/>
      <c r="F256" s="229"/>
      <c r="G256" s="238"/>
      <c r="H256" s="247"/>
      <c r="I256" s="244"/>
      <c r="J256" s="241"/>
      <c r="K256" s="214"/>
      <c r="L256" s="217"/>
      <c r="M256" s="232"/>
      <c r="N256" s="286"/>
      <c r="O256" s="382"/>
      <c r="P256" s="226"/>
    </row>
    <row r="257" spans="1:16" s="36" customFormat="1" x14ac:dyDescent="0.2">
      <c r="A257" s="436"/>
      <c r="B257" s="316"/>
      <c r="C257" s="342"/>
      <c r="D257" s="358"/>
      <c r="E257" s="327"/>
      <c r="F257" s="229"/>
      <c r="G257" s="238"/>
      <c r="H257" s="247"/>
      <c r="I257" s="244"/>
      <c r="J257" s="241"/>
      <c r="K257" s="214"/>
      <c r="L257" s="217"/>
      <c r="M257" s="232"/>
      <c r="N257" s="286"/>
      <c r="O257" s="382"/>
      <c r="P257" s="226"/>
    </row>
    <row r="258" spans="1:16" s="36" customFormat="1" x14ac:dyDescent="0.2">
      <c r="A258" s="436"/>
      <c r="B258" s="316"/>
      <c r="C258" s="342"/>
      <c r="D258" s="358"/>
      <c r="E258" s="327"/>
      <c r="F258" s="229"/>
      <c r="G258" s="238"/>
      <c r="H258" s="247"/>
      <c r="I258" s="244"/>
      <c r="J258" s="241"/>
      <c r="K258" s="214"/>
      <c r="L258" s="217"/>
      <c r="M258" s="232"/>
      <c r="N258" s="286"/>
      <c r="O258" s="382"/>
      <c r="P258" s="226"/>
    </row>
    <row r="259" spans="1:16" s="36" customFormat="1" ht="15" customHeight="1" x14ac:dyDescent="0.2">
      <c r="A259" s="436"/>
      <c r="B259" s="316"/>
      <c r="C259" s="342"/>
      <c r="D259" s="358"/>
      <c r="E259" s="327"/>
      <c r="F259" s="229"/>
      <c r="G259" s="238"/>
      <c r="H259" s="247"/>
      <c r="I259" s="244"/>
      <c r="J259" s="241"/>
      <c r="K259" s="214"/>
      <c r="L259" s="217"/>
      <c r="M259" s="232"/>
      <c r="N259" s="286"/>
      <c r="O259" s="382"/>
      <c r="P259" s="226"/>
    </row>
    <row r="260" spans="1:16" s="36" customFormat="1" x14ac:dyDescent="0.2">
      <c r="A260" s="436"/>
      <c r="B260" s="316"/>
      <c r="C260" s="342"/>
      <c r="D260" s="358"/>
      <c r="E260" s="327"/>
      <c r="F260" s="229"/>
      <c r="G260" s="238"/>
      <c r="H260" s="247"/>
      <c r="I260" s="244"/>
      <c r="J260" s="241"/>
      <c r="K260" s="215"/>
      <c r="L260" s="218"/>
      <c r="M260" s="233"/>
      <c r="N260" s="296"/>
      <c r="O260" s="382"/>
      <c r="P260" s="226"/>
    </row>
    <row r="261" spans="1:16" s="36" customFormat="1" x14ac:dyDescent="0.2">
      <c r="A261" s="436"/>
      <c r="B261" s="316"/>
      <c r="C261" s="342"/>
      <c r="D261" s="358"/>
      <c r="E261" s="327"/>
      <c r="F261" s="229"/>
      <c r="G261" s="238"/>
      <c r="H261" s="247"/>
      <c r="I261" s="244"/>
      <c r="J261" s="241"/>
      <c r="K261" s="222" t="s">
        <v>12</v>
      </c>
      <c r="L261" s="219">
        <f>'d.c. fault estimation'!O18*L250</f>
        <v>0.48015873015873012</v>
      </c>
      <c r="M261" s="234">
        <v>0.05</v>
      </c>
      <c r="N261" s="289" t="s">
        <v>1516</v>
      </c>
      <c r="O261" s="382"/>
      <c r="P261" s="226"/>
    </row>
    <row r="262" spans="1:16" s="36" customFormat="1" x14ac:dyDescent="0.2">
      <c r="A262" s="436"/>
      <c r="B262" s="316"/>
      <c r="C262" s="342"/>
      <c r="D262" s="358"/>
      <c r="E262" s="327"/>
      <c r="F262" s="229"/>
      <c r="G262" s="238"/>
      <c r="H262" s="247"/>
      <c r="I262" s="244"/>
      <c r="J262" s="241"/>
      <c r="K262" s="223"/>
      <c r="L262" s="220"/>
      <c r="M262" s="235"/>
      <c r="N262" s="290"/>
      <c r="O262" s="382"/>
      <c r="P262" s="226"/>
    </row>
    <row r="263" spans="1:16" s="36" customFormat="1" x14ac:dyDescent="0.2">
      <c r="A263" s="436"/>
      <c r="B263" s="316"/>
      <c r="C263" s="342"/>
      <c r="D263" s="358"/>
      <c r="E263" s="327"/>
      <c r="F263" s="229"/>
      <c r="G263" s="238"/>
      <c r="H263" s="247"/>
      <c r="I263" s="244"/>
      <c r="J263" s="241"/>
      <c r="K263" s="223"/>
      <c r="L263" s="220"/>
      <c r="M263" s="235"/>
      <c r="N263" s="290"/>
      <c r="O263" s="382"/>
      <c r="P263" s="226"/>
    </row>
    <row r="264" spans="1:16" s="36" customFormat="1" x14ac:dyDescent="0.2">
      <c r="A264" s="436"/>
      <c r="B264" s="316"/>
      <c r="C264" s="342"/>
      <c r="D264" s="358"/>
      <c r="E264" s="327"/>
      <c r="F264" s="229"/>
      <c r="G264" s="238"/>
      <c r="H264" s="247"/>
      <c r="I264" s="244"/>
      <c r="J264" s="241"/>
      <c r="K264" s="223"/>
      <c r="L264" s="220"/>
      <c r="M264" s="235"/>
      <c r="N264" s="290"/>
      <c r="O264" s="382"/>
      <c r="P264" s="226"/>
    </row>
    <row r="265" spans="1:16" s="36" customFormat="1" x14ac:dyDescent="0.2">
      <c r="A265" s="436"/>
      <c r="B265" s="316"/>
      <c r="C265" s="342"/>
      <c r="D265" s="358"/>
      <c r="E265" s="327"/>
      <c r="F265" s="229"/>
      <c r="G265" s="238"/>
      <c r="H265" s="247"/>
      <c r="I265" s="244"/>
      <c r="J265" s="241"/>
      <c r="K265" s="223"/>
      <c r="L265" s="220"/>
      <c r="M265" s="235"/>
      <c r="N265" s="290"/>
      <c r="O265" s="382"/>
      <c r="P265" s="226"/>
    </row>
    <row r="266" spans="1:16" s="36" customFormat="1" x14ac:dyDescent="0.2">
      <c r="A266" s="436"/>
      <c r="B266" s="316"/>
      <c r="C266" s="342"/>
      <c r="D266" s="358"/>
      <c r="E266" s="327"/>
      <c r="F266" s="229"/>
      <c r="G266" s="238"/>
      <c r="H266" s="247"/>
      <c r="I266" s="244"/>
      <c r="J266" s="241"/>
      <c r="K266" s="224"/>
      <c r="L266" s="221"/>
      <c r="M266" s="236"/>
      <c r="N266" s="288"/>
      <c r="O266" s="382"/>
      <c r="P266" s="226"/>
    </row>
    <row r="267" spans="1:16" s="36" customFormat="1" x14ac:dyDescent="0.2">
      <c r="A267" s="436"/>
      <c r="B267" s="316"/>
      <c r="C267" s="342"/>
      <c r="D267" s="358"/>
      <c r="E267" s="327"/>
      <c r="F267" s="229"/>
      <c r="G267" s="238"/>
      <c r="H267" s="247"/>
      <c r="I267" s="244"/>
      <c r="J267" s="241"/>
      <c r="K267" s="213" t="s">
        <v>10</v>
      </c>
      <c r="L267" s="249">
        <f>(1/3*lookup!L11+2/3*(0.5*lookup!J101+0.5*lookup!K101))*L250</f>
        <v>0.35818173052664937</v>
      </c>
      <c r="M267" s="231">
        <v>0.05</v>
      </c>
      <c r="N267" s="285" t="s">
        <v>1503</v>
      </c>
      <c r="O267" s="382"/>
      <c r="P267" s="226"/>
    </row>
    <row r="268" spans="1:16" s="36" customFormat="1" x14ac:dyDescent="0.2">
      <c r="A268" s="436"/>
      <c r="B268" s="316"/>
      <c r="C268" s="342"/>
      <c r="D268" s="358"/>
      <c r="E268" s="327"/>
      <c r="F268" s="229"/>
      <c r="G268" s="238"/>
      <c r="H268" s="247"/>
      <c r="I268" s="244"/>
      <c r="J268" s="241"/>
      <c r="K268" s="214"/>
      <c r="L268" s="250"/>
      <c r="M268" s="232"/>
      <c r="N268" s="286"/>
      <c r="O268" s="382"/>
      <c r="P268" s="226"/>
    </row>
    <row r="269" spans="1:16" s="36" customFormat="1" x14ac:dyDescent="0.2">
      <c r="A269" s="436"/>
      <c r="B269" s="316"/>
      <c r="C269" s="342"/>
      <c r="D269" s="358"/>
      <c r="E269" s="327"/>
      <c r="F269" s="229"/>
      <c r="G269" s="238"/>
      <c r="H269" s="247"/>
      <c r="I269" s="244"/>
      <c r="J269" s="241"/>
      <c r="K269" s="214"/>
      <c r="L269" s="250"/>
      <c r="M269" s="232"/>
      <c r="N269" s="286"/>
      <c r="O269" s="382"/>
      <c r="P269" s="226"/>
    </row>
    <row r="270" spans="1:16" s="36" customFormat="1" x14ac:dyDescent="0.2">
      <c r="A270" s="436"/>
      <c r="B270" s="316"/>
      <c r="C270" s="342"/>
      <c r="D270" s="358"/>
      <c r="E270" s="327"/>
      <c r="F270" s="229"/>
      <c r="G270" s="238"/>
      <c r="H270" s="247"/>
      <c r="I270" s="244"/>
      <c r="J270" s="241"/>
      <c r="K270" s="214"/>
      <c r="L270" s="250"/>
      <c r="M270" s="232"/>
      <c r="N270" s="286"/>
      <c r="O270" s="382"/>
      <c r="P270" s="226"/>
    </row>
    <row r="271" spans="1:16" s="36" customFormat="1" x14ac:dyDescent="0.2">
      <c r="A271" s="436"/>
      <c r="B271" s="316"/>
      <c r="C271" s="342"/>
      <c r="D271" s="358"/>
      <c r="E271" s="327"/>
      <c r="F271" s="229"/>
      <c r="G271" s="238"/>
      <c r="H271" s="247"/>
      <c r="I271" s="244"/>
      <c r="J271" s="241"/>
      <c r="K271" s="214"/>
      <c r="L271" s="250"/>
      <c r="M271" s="232"/>
      <c r="N271" s="286"/>
      <c r="O271" s="382"/>
      <c r="P271" s="226"/>
    </row>
    <row r="272" spans="1:16" s="36" customFormat="1" x14ac:dyDescent="0.2">
      <c r="A272" s="436"/>
      <c r="B272" s="316"/>
      <c r="C272" s="342"/>
      <c r="D272" s="358"/>
      <c r="E272" s="327"/>
      <c r="F272" s="229"/>
      <c r="G272" s="238"/>
      <c r="H272" s="247"/>
      <c r="I272" s="244"/>
      <c r="J272" s="241"/>
      <c r="K272" s="214"/>
      <c r="L272" s="250"/>
      <c r="M272" s="232"/>
      <c r="N272" s="286"/>
      <c r="O272" s="382"/>
      <c r="P272" s="226"/>
    </row>
    <row r="273" spans="1:16" s="36" customFormat="1" x14ac:dyDescent="0.2">
      <c r="A273" s="436"/>
      <c r="B273" s="316"/>
      <c r="C273" s="342"/>
      <c r="D273" s="358"/>
      <c r="E273" s="327"/>
      <c r="F273" s="229"/>
      <c r="G273" s="238"/>
      <c r="H273" s="247"/>
      <c r="I273" s="244"/>
      <c r="J273" s="241"/>
      <c r="K273" s="214"/>
      <c r="L273" s="250"/>
      <c r="M273" s="232"/>
      <c r="N273" s="286"/>
      <c r="O273" s="382"/>
      <c r="P273" s="226"/>
    </row>
    <row r="274" spans="1:16" s="36" customFormat="1" x14ac:dyDescent="0.2">
      <c r="A274" s="436"/>
      <c r="B274" s="316"/>
      <c r="C274" s="342"/>
      <c r="D274" s="358"/>
      <c r="E274" s="327"/>
      <c r="F274" s="229"/>
      <c r="G274" s="238"/>
      <c r="H274" s="247"/>
      <c r="I274" s="244"/>
      <c r="J274" s="241"/>
      <c r="K274" s="214"/>
      <c r="L274" s="250"/>
      <c r="M274" s="232"/>
      <c r="N274" s="286"/>
      <c r="O274" s="382"/>
      <c r="P274" s="226"/>
    </row>
    <row r="275" spans="1:16" s="36" customFormat="1" x14ac:dyDescent="0.2">
      <c r="A275" s="436"/>
      <c r="B275" s="316"/>
      <c r="C275" s="342"/>
      <c r="D275" s="358"/>
      <c r="E275" s="327"/>
      <c r="F275" s="229"/>
      <c r="G275" s="238"/>
      <c r="H275" s="247"/>
      <c r="I275" s="244"/>
      <c r="J275" s="241"/>
      <c r="K275" s="214"/>
      <c r="L275" s="250"/>
      <c r="M275" s="232"/>
      <c r="N275" s="286"/>
      <c r="O275" s="382"/>
      <c r="P275" s="226"/>
    </row>
    <row r="276" spans="1:16" s="36" customFormat="1" ht="13.5" thickBot="1" x14ac:dyDescent="0.25">
      <c r="A276" s="436"/>
      <c r="B276" s="317"/>
      <c r="C276" s="343"/>
      <c r="D276" s="358"/>
      <c r="E276" s="328"/>
      <c r="F276" s="230"/>
      <c r="G276" s="239"/>
      <c r="H276" s="248"/>
      <c r="I276" s="245"/>
      <c r="J276" s="242"/>
      <c r="K276" s="215"/>
      <c r="L276" s="251"/>
      <c r="M276" s="233"/>
      <c r="N276" s="286"/>
      <c r="O276" s="400"/>
      <c r="P276" s="453"/>
    </row>
    <row r="277" spans="1:16" s="36" customFormat="1" ht="38.25" customHeight="1" x14ac:dyDescent="0.2">
      <c r="A277" s="436"/>
      <c r="B277" s="315" t="s">
        <v>212</v>
      </c>
      <c r="C277" s="341" t="s">
        <v>1463</v>
      </c>
      <c r="D277" s="318">
        <v>0.21281291445623343</v>
      </c>
      <c r="E277" s="335"/>
      <c r="F277" s="315">
        <v>1</v>
      </c>
      <c r="G277" s="323"/>
      <c r="H277" s="346">
        <f>L277*M277+L282*M282+L287*M287+L293*M293</f>
        <v>0.87991707785087714</v>
      </c>
      <c r="I277" s="255">
        <f>D277*F277</f>
        <v>0.21281291445623343</v>
      </c>
      <c r="J277" s="210">
        <f>D277*F277*H277</f>
        <v>0.18725771781725761</v>
      </c>
      <c r="K277" s="222" t="s">
        <v>7</v>
      </c>
      <c r="L277" s="219">
        <f>2/3*lsu_estimation!B96+1/3*NVIC_DPU!B48</f>
        <v>0.88267543859649122</v>
      </c>
      <c r="M277" s="234">
        <v>0.7</v>
      </c>
      <c r="N277" s="289" t="s">
        <v>1541</v>
      </c>
      <c r="O277" s="377" t="s">
        <v>1524</v>
      </c>
      <c r="P277" s="452" t="s">
        <v>1534</v>
      </c>
    </row>
    <row r="278" spans="1:16" s="36" customFormat="1" x14ac:dyDescent="0.2">
      <c r="A278" s="436"/>
      <c r="B278" s="316"/>
      <c r="C278" s="342"/>
      <c r="D278" s="318"/>
      <c r="E278" s="336"/>
      <c r="F278" s="316"/>
      <c r="G278" s="324"/>
      <c r="H278" s="347"/>
      <c r="I278" s="256"/>
      <c r="J278" s="211"/>
      <c r="K278" s="223"/>
      <c r="L278" s="220"/>
      <c r="M278" s="235"/>
      <c r="N278" s="293"/>
      <c r="O278" s="378"/>
      <c r="P278" s="226"/>
    </row>
    <row r="279" spans="1:16" s="36" customFormat="1" x14ac:dyDescent="0.2">
      <c r="A279" s="436"/>
      <c r="B279" s="316"/>
      <c r="C279" s="342"/>
      <c r="D279" s="318"/>
      <c r="E279" s="336"/>
      <c r="F279" s="316"/>
      <c r="G279" s="324"/>
      <c r="H279" s="347"/>
      <c r="I279" s="256"/>
      <c r="J279" s="211"/>
      <c r="K279" s="223"/>
      <c r="L279" s="220"/>
      <c r="M279" s="235"/>
      <c r="N279" s="293"/>
      <c r="O279" s="378"/>
      <c r="P279" s="226"/>
    </row>
    <row r="280" spans="1:16" s="36" customFormat="1" ht="12.75" customHeight="1" x14ac:dyDescent="0.2">
      <c r="A280" s="436"/>
      <c r="B280" s="316"/>
      <c r="C280" s="342"/>
      <c r="D280" s="318"/>
      <c r="E280" s="336"/>
      <c r="F280" s="316"/>
      <c r="G280" s="324"/>
      <c r="H280" s="347"/>
      <c r="I280" s="256"/>
      <c r="J280" s="211"/>
      <c r="K280" s="223"/>
      <c r="L280" s="220"/>
      <c r="M280" s="235"/>
      <c r="N280" s="293"/>
      <c r="O280" s="378"/>
      <c r="P280" s="226"/>
    </row>
    <row r="281" spans="1:16" s="36" customFormat="1" x14ac:dyDescent="0.2">
      <c r="A281" s="436"/>
      <c r="B281" s="316"/>
      <c r="C281" s="342"/>
      <c r="D281" s="318"/>
      <c r="E281" s="336"/>
      <c r="F281" s="316"/>
      <c r="G281" s="324"/>
      <c r="H281" s="347"/>
      <c r="I281" s="256"/>
      <c r="J281" s="211"/>
      <c r="K281" s="224"/>
      <c r="L281" s="221"/>
      <c r="M281" s="236"/>
      <c r="N281" s="288"/>
      <c r="O281" s="378"/>
      <c r="P281" s="226"/>
    </row>
    <row r="282" spans="1:16" s="36" customFormat="1" x14ac:dyDescent="0.2">
      <c r="A282" s="436"/>
      <c r="B282" s="316"/>
      <c r="C282" s="342"/>
      <c r="D282" s="318"/>
      <c r="E282" s="336"/>
      <c r="F282" s="316"/>
      <c r="G282" s="324"/>
      <c r="H282" s="347"/>
      <c r="I282" s="256"/>
      <c r="J282" s="211"/>
      <c r="K282" s="213" t="s">
        <v>11</v>
      </c>
      <c r="L282" s="216">
        <f>(1-POWER(0.5,6))*L277</f>
        <v>0.86888363486842102</v>
      </c>
      <c r="M282" s="231">
        <v>0.2</v>
      </c>
      <c r="N282" s="285" t="s">
        <v>1552</v>
      </c>
      <c r="O282" s="378"/>
      <c r="P282" s="226"/>
    </row>
    <row r="283" spans="1:16" s="36" customFormat="1" x14ac:dyDescent="0.2">
      <c r="A283" s="436"/>
      <c r="B283" s="316"/>
      <c r="C283" s="342"/>
      <c r="D283" s="318"/>
      <c r="E283" s="336"/>
      <c r="F283" s="316"/>
      <c r="G283" s="324"/>
      <c r="H283" s="347"/>
      <c r="I283" s="256"/>
      <c r="J283" s="211"/>
      <c r="K283" s="214"/>
      <c r="L283" s="217"/>
      <c r="M283" s="232"/>
      <c r="N283" s="286"/>
      <c r="O283" s="378"/>
      <c r="P283" s="226"/>
    </row>
    <row r="284" spans="1:16" s="36" customFormat="1" x14ac:dyDescent="0.2">
      <c r="A284" s="436"/>
      <c r="B284" s="316"/>
      <c r="C284" s="342"/>
      <c r="D284" s="318"/>
      <c r="E284" s="336"/>
      <c r="F284" s="316"/>
      <c r="G284" s="324"/>
      <c r="H284" s="347"/>
      <c r="I284" s="256"/>
      <c r="J284" s="211"/>
      <c r="K284" s="214"/>
      <c r="L284" s="217"/>
      <c r="M284" s="232"/>
      <c r="N284" s="286"/>
      <c r="O284" s="378"/>
      <c r="P284" s="226"/>
    </row>
    <row r="285" spans="1:16" s="36" customFormat="1" x14ac:dyDescent="0.2">
      <c r="A285" s="436"/>
      <c r="B285" s="316"/>
      <c r="C285" s="342"/>
      <c r="D285" s="318"/>
      <c r="E285" s="336"/>
      <c r="F285" s="316"/>
      <c r="G285" s="324"/>
      <c r="H285" s="347"/>
      <c r="I285" s="256"/>
      <c r="J285" s="211"/>
      <c r="K285" s="214"/>
      <c r="L285" s="217"/>
      <c r="M285" s="232"/>
      <c r="N285" s="286"/>
      <c r="O285" s="378"/>
      <c r="P285" s="226"/>
    </row>
    <row r="286" spans="1:16" s="36" customFormat="1" x14ac:dyDescent="0.2">
      <c r="A286" s="436"/>
      <c r="B286" s="316"/>
      <c r="C286" s="342"/>
      <c r="D286" s="318"/>
      <c r="E286" s="336"/>
      <c r="F286" s="316"/>
      <c r="G286" s="324"/>
      <c r="H286" s="347"/>
      <c r="I286" s="256"/>
      <c r="J286" s="211"/>
      <c r="K286" s="215"/>
      <c r="L286" s="218"/>
      <c r="M286" s="233"/>
      <c r="N286" s="296"/>
      <c r="O286" s="378"/>
      <c r="P286" s="226"/>
    </row>
    <row r="287" spans="1:16" s="36" customFormat="1" x14ac:dyDescent="0.2">
      <c r="A287" s="436"/>
      <c r="B287" s="316"/>
      <c r="C287" s="342"/>
      <c r="D287" s="318"/>
      <c r="E287" s="336"/>
      <c r="F287" s="316"/>
      <c r="G287" s="324"/>
      <c r="H287" s="347"/>
      <c r="I287" s="256"/>
      <c r="J287" s="211"/>
      <c r="K287" s="222" t="s">
        <v>12</v>
      </c>
      <c r="L287" s="219">
        <f>L277</f>
        <v>0.88267543859649122</v>
      </c>
      <c r="M287" s="234">
        <v>0.05</v>
      </c>
      <c r="N287" s="289" t="s">
        <v>1539</v>
      </c>
      <c r="O287" s="378"/>
      <c r="P287" s="226"/>
    </row>
    <row r="288" spans="1:16" s="36" customFormat="1" x14ac:dyDescent="0.2">
      <c r="A288" s="436"/>
      <c r="B288" s="316"/>
      <c r="C288" s="342"/>
      <c r="D288" s="318"/>
      <c r="E288" s="336"/>
      <c r="F288" s="316"/>
      <c r="G288" s="324"/>
      <c r="H288" s="347"/>
      <c r="I288" s="256"/>
      <c r="J288" s="211"/>
      <c r="K288" s="223"/>
      <c r="L288" s="220"/>
      <c r="M288" s="235"/>
      <c r="N288" s="293"/>
      <c r="O288" s="378"/>
      <c r="P288" s="226"/>
    </row>
    <row r="289" spans="1:16" s="36" customFormat="1" x14ac:dyDescent="0.2">
      <c r="A289" s="436"/>
      <c r="B289" s="316"/>
      <c r="C289" s="342"/>
      <c r="D289" s="318"/>
      <c r="E289" s="336"/>
      <c r="F289" s="316"/>
      <c r="G289" s="324"/>
      <c r="H289" s="347"/>
      <c r="I289" s="256"/>
      <c r="J289" s="211"/>
      <c r="K289" s="223"/>
      <c r="L289" s="220"/>
      <c r="M289" s="235"/>
      <c r="N289" s="293"/>
      <c r="O289" s="378"/>
      <c r="P289" s="226"/>
    </row>
    <row r="290" spans="1:16" s="36" customFormat="1" x14ac:dyDescent="0.2">
      <c r="A290" s="436"/>
      <c r="B290" s="316"/>
      <c r="C290" s="342"/>
      <c r="D290" s="318"/>
      <c r="E290" s="336"/>
      <c r="F290" s="316"/>
      <c r="G290" s="324"/>
      <c r="H290" s="347"/>
      <c r="I290" s="256"/>
      <c r="J290" s="211"/>
      <c r="K290" s="223"/>
      <c r="L290" s="220"/>
      <c r="M290" s="235"/>
      <c r="N290" s="293"/>
      <c r="O290" s="378"/>
      <c r="P290" s="226"/>
    </row>
    <row r="291" spans="1:16" s="36" customFormat="1" x14ac:dyDescent="0.2">
      <c r="A291" s="436"/>
      <c r="B291" s="316"/>
      <c r="C291" s="342"/>
      <c r="D291" s="318"/>
      <c r="E291" s="336"/>
      <c r="F291" s="316"/>
      <c r="G291" s="324"/>
      <c r="H291" s="347"/>
      <c r="I291" s="256"/>
      <c r="J291" s="211"/>
      <c r="K291" s="223"/>
      <c r="L291" s="220"/>
      <c r="M291" s="235"/>
      <c r="N291" s="293"/>
      <c r="O291" s="378"/>
      <c r="P291" s="226"/>
    </row>
    <row r="292" spans="1:16" s="36" customFormat="1" x14ac:dyDescent="0.2">
      <c r="A292" s="436"/>
      <c r="B292" s="316"/>
      <c r="C292" s="342"/>
      <c r="D292" s="318"/>
      <c r="E292" s="336"/>
      <c r="F292" s="316"/>
      <c r="G292" s="324"/>
      <c r="H292" s="347"/>
      <c r="I292" s="256"/>
      <c r="J292" s="211"/>
      <c r="K292" s="224"/>
      <c r="L292" s="221"/>
      <c r="M292" s="236"/>
      <c r="N292" s="288"/>
      <c r="O292" s="378"/>
      <c r="P292" s="226"/>
    </row>
    <row r="293" spans="1:16" s="36" customFormat="1" x14ac:dyDescent="0.2">
      <c r="A293" s="436"/>
      <c r="B293" s="316"/>
      <c r="C293" s="342"/>
      <c r="D293" s="318"/>
      <c r="E293" s="336"/>
      <c r="F293" s="316"/>
      <c r="G293" s="324"/>
      <c r="H293" s="347"/>
      <c r="I293" s="256"/>
      <c r="J293" s="211"/>
      <c r="K293" s="213" t="s">
        <v>10</v>
      </c>
      <c r="L293" s="216">
        <f>L277</f>
        <v>0.88267543859649122</v>
      </c>
      <c r="M293" s="231">
        <v>0.05</v>
      </c>
      <c r="N293" s="285" t="s">
        <v>1457</v>
      </c>
      <c r="O293" s="378"/>
      <c r="P293" s="226"/>
    </row>
    <row r="294" spans="1:16" s="36" customFormat="1" x14ac:dyDescent="0.2">
      <c r="A294" s="436"/>
      <c r="B294" s="316"/>
      <c r="C294" s="342"/>
      <c r="D294" s="318"/>
      <c r="E294" s="336"/>
      <c r="F294" s="316"/>
      <c r="G294" s="324"/>
      <c r="H294" s="347"/>
      <c r="I294" s="256"/>
      <c r="J294" s="211"/>
      <c r="K294" s="214"/>
      <c r="L294" s="217"/>
      <c r="M294" s="232"/>
      <c r="N294" s="286"/>
      <c r="O294" s="378"/>
      <c r="P294" s="226"/>
    </row>
    <row r="295" spans="1:16" s="36" customFormat="1" x14ac:dyDescent="0.2">
      <c r="A295" s="436"/>
      <c r="B295" s="316"/>
      <c r="C295" s="342"/>
      <c r="D295" s="318"/>
      <c r="E295" s="336"/>
      <c r="F295" s="316"/>
      <c r="G295" s="324"/>
      <c r="H295" s="347"/>
      <c r="I295" s="256"/>
      <c r="J295" s="211"/>
      <c r="K295" s="214"/>
      <c r="L295" s="217"/>
      <c r="M295" s="232"/>
      <c r="N295" s="286"/>
      <c r="O295" s="378"/>
      <c r="P295" s="226"/>
    </row>
    <row r="296" spans="1:16" s="36" customFormat="1" x14ac:dyDescent="0.2">
      <c r="A296" s="436"/>
      <c r="B296" s="316"/>
      <c r="C296" s="342"/>
      <c r="D296" s="318"/>
      <c r="E296" s="336"/>
      <c r="F296" s="316"/>
      <c r="G296" s="324"/>
      <c r="H296" s="347"/>
      <c r="I296" s="256"/>
      <c r="J296" s="211"/>
      <c r="K296" s="214"/>
      <c r="L296" s="217"/>
      <c r="M296" s="232"/>
      <c r="N296" s="286"/>
      <c r="O296" s="378"/>
      <c r="P296" s="226"/>
    </row>
    <row r="297" spans="1:16" s="36" customFormat="1" x14ac:dyDescent="0.2">
      <c r="A297" s="436"/>
      <c r="B297" s="316"/>
      <c r="C297" s="342"/>
      <c r="D297" s="318"/>
      <c r="E297" s="336"/>
      <c r="F297" s="316"/>
      <c r="G297" s="324"/>
      <c r="H297" s="347"/>
      <c r="I297" s="256"/>
      <c r="J297" s="211"/>
      <c r="K297" s="214"/>
      <c r="L297" s="217"/>
      <c r="M297" s="232"/>
      <c r="N297" s="286"/>
      <c r="O297" s="378"/>
      <c r="P297" s="226"/>
    </row>
    <row r="298" spans="1:16" s="36" customFormat="1" ht="13.5" thickBot="1" x14ac:dyDescent="0.25">
      <c r="A298" s="436"/>
      <c r="B298" s="317"/>
      <c r="C298" s="343"/>
      <c r="D298" s="318"/>
      <c r="E298" s="337"/>
      <c r="F298" s="317"/>
      <c r="G298" s="325"/>
      <c r="H298" s="348"/>
      <c r="I298" s="257"/>
      <c r="J298" s="212"/>
      <c r="K298" s="215"/>
      <c r="L298" s="218"/>
      <c r="M298" s="233"/>
      <c r="N298" s="296"/>
      <c r="O298" s="379"/>
      <c r="P298" s="453"/>
    </row>
    <row r="299" spans="1:16" s="36" customFormat="1" ht="54" customHeight="1" x14ac:dyDescent="0.2">
      <c r="A299" s="436"/>
      <c r="B299" s="311" t="s">
        <v>263</v>
      </c>
      <c r="C299" s="344" t="s">
        <v>264</v>
      </c>
      <c r="D299" s="314">
        <v>4.8802221485411142E-2</v>
      </c>
      <c r="E299" s="332" t="s">
        <v>231</v>
      </c>
      <c r="F299" s="311">
        <v>1</v>
      </c>
      <c r="G299" s="362"/>
      <c r="H299" s="271">
        <f>SUM(L299*M299,L303*M303,L306*M306,L308*M308)</f>
        <v>0.94909374999999996</v>
      </c>
      <c r="I299" s="274">
        <f>D299*F299</f>
        <v>4.8802221485411142E-2</v>
      </c>
      <c r="J299" s="277">
        <f>D299*F299*H299</f>
        <v>4.6317883397919431E-2</v>
      </c>
      <c r="K299" s="222" t="s">
        <v>7</v>
      </c>
      <c r="L299" s="219">
        <f>0.99</f>
        <v>0.99</v>
      </c>
      <c r="M299" s="234">
        <v>0.7</v>
      </c>
      <c r="N299" s="287" t="s">
        <v>265</v>
      </c>
      <c r="O299" s="372" t="s">
        <v>271</v>
      </c>
      <c r="P299" s="452" t="s">
        <v>272</v>
      </c>
    </row>
    <row r="300" spans="1:16" s="36" customFormat="1" x14ac:dyDescent="0.2">
      <c r="A300" s="436"/>
      <c r="B300" s="312"/>
      <c r="C300" s="308"/>
      <c r="D300" s="314"/>
      <c r="E300" s="333"/>
      <c r="F300" s="312"/>
      <c r="G300" s="363"/>
      <c r="H300" s="272"/>
      <c r="I300" s="275"/>
      <c r="J300" s="278"/>
      <c r="K300" s="223"/>
      <c r="L300" s="220"/>
      <c r="M300" s="235"/>
      <c r="N300" s="293"/>
      <c r="O300" s="308"/>
      <c r="P300" s="454"/>
    </row>
    <row r="301" spans="1:16" s="36" customFormat="1" x14ac:dyDescent="0.2">
      <c r="A301" s="436"/>
      <c r="B301" s="312"/>
      <c r="C301" s="308"/>
      <c r="D301" s="314"/>
      <c r="E301" s="333"/>
      <c r="F301" s="312"/>
      <c r="G301" s="363"/>
      <c r="H301" s="272"/>
      <c r="I301" s="275"/>
      <c r="J301" s="278"/>
      <c r="K301" s="223"/>
      <c r="L301" s="220"/>
      <c r="M301" s="235"/>
      <c r="N301" s="293"/>
      <c r="O301" s="308"/>
      <c r="P301" s="454"/>
    </row>
    <row r="302" spans="1:16" s="36" customFormat="1" x14ac:dyDescent="0.2">
      <c r="A302" s="436"/>
      <c r="B302" s="312"/>
      <c r="C302" s="308"/>
      <c r="D302" s="314"/>
      <c r="E302" s="333"/>
      <c r="F302" s="312"/>
      <c r="G302" s="363"/>
      <c r="H302" s="272"/>
      <c r="I302" s="275"/>
      <c r="J302" s="278"/>
      <c r="K302" s="224"/>
      <c r="L302" s="221"/>
      <c r="M302" s="236"/>
      <c r="N302" s="288"/>
      <c r="O302" s="308"/>
      <c r="P302" s="454"/>
    </row>
    <row r="303" spans="1:16" s="36" customFormat="1" ht="12.75" customHeight="1" x14ac:dyDescent="0.2">
      <c r="A303" s="436"/>
      <c r="B303" s="312"/>
      <c r="C303" s="308"/>
      <c r="D303" s="314"/>
      <c r="E303" s="333"/>
      <c r="F303" s="312"/>
      <c r="G303" s="363"/>
      <c r="H303" s="272"/>
      <c r="I303" s="275"/>
      <c r="J303" s="278"/>
      <c r="K303" s="213" t="s">
        <v>11</v>
      </c>
      <c r="L303" s="216">
        <f>(1-POWER(0.5,6))*L299</f>
        <v>0.97453124999999996</v>
      </c>
      <c r="M303" s="231">
        <v>0.2</v>
      </c>
      <c r="N303" s="285" t="s">
        <v>1530</v>
      </c>
      <c r="O303" s="308"/>
      <c r="P303" s="454"/>
    </row>
    <row r="304" spans="1:16" s="36" customFormat="1" ht="12" customHeight="1" x14ac:dyDescent="0.2">
      <c r="A304" s="436"/>
      <c r="B304" s="312"/>
      <c r="C304" s="308"/>
      <c r="D304" s="314"/>
      <c r="E304" s="333"/>
      <c r="F304" s="312"/>
      <c r="G304" s="363"/>
      <c r="H304" s="272"/>
      <c r="I304" s="275"/>
      <c r="J304" s="278"/>
      <c r="K304" s="214"/>
      <c r="L304" s="217"/>
      <c r="M304" s="232"/>
      <c r="N304" s="286"/>
      <c r="O304" s="308"/>
      <c r="P304" s="454"/>
    </row>
    <row r="305" spans="1:16" s="36" customFormat="1" ht="18.75" customHeight="1" x14ac:dyDescent="0.2">
      <c r="A305" s="436"/>
      <c r="B305" s="312"/>
      <c r="C305" s="308"/>
      <c r="D305" s="314"/>
      <c r="E305" s="333"/>
      <c r="F305" s="312"/>
      <c r="G305" s="363"/>
      <c r="H305" s="272"/>
      <c r="I305" s="275"/>
      <c r="J305" s="278"/>
      <c r="K305" s="215"/>
      <c r="L305" s="218"/>
      <c r="M305" s="233"/>
      <c r="N305" s="296"/>
      <c r="O305" s="308"/>
      <c r="P305" s="454"/>
    </row>
    <row r="306" spans="1:16" s="36" customFormat="1" ht="94.5" customHeight="1" x14ac:dyDescent="0.2">
      <c r="A306" s="436"/>
      <c r="B306" s="312"/>
      <c r="C306" s="308"/>
      <c r="D306" s="314"/>
      <c r="E306" s="333"/>
      <c r="F306" s="312"/>
      <c r="G306" s="363"/>
      <c r="H306" s="272"/>
      <c r="I306" s="275"/>
      <c r="J306" s="278"/>
      <c r="K306" s="222" t="s">
        <v>12</v>
      </c>
      <c r="L306" s="219">
        <f>'d.c. fault estimation'!O18</f>
        <v>0.6875</v>
      </c>
      <c r="M306" s="234">
        <v>0.05</v>
      </c>
      <c r="N306" s="289" t="s">
        <v>1515</v>
      </c>
      <c r="O306" s="308"/>
      <c r="P306" s="454"/>
    </row>
    <row r="307" spans="1:16" s="36" customFormat="1" ht="96.75" customHeight="1" x14ac:dyDescent="0.2">
      <c r="A307" s="436"/>
      <c r="B307" s="312"/>
      <c r="C307" s="308"/>
      <c r="D307" s="314"/>
      <c r="E307" s="333"/>
      <c r="F307" s="312"/>
      <c r="G307" s="363"/>
      <c r="H307" s="272"/>
      <c r="I307" s="275"/>
      <c r="J307" s="278"/>
      <c r="K307" s="224"/>
      <c r="L307" s="221"/>
      <c r="M307" s="236"/>
      <c r="N307" s="288"/>
      <c r="O307" s="308"/>
      <c r="P307" s="454"/>
    </row>
    <row r="308" spans="1:16" s="36" customFormat="1" ht="163.5" customHeight="1" thickBot="1" x14ac:dyDescent="0.25">
      <c r="A308" s="436"/>
      <c r="B308" s="313"/>
      <c r="C308" s="345"/>
      <c r="D308" s="314"/>
      <c r="E308" s="334"/>
      <c r="F308" s="313"/>
      <c r="G308" s="364"/>
      <c r="H308" s="273"/>
      <c r="I308" s="276"/>
      <c r="J308" s="279"/>
      <c r="K308" s="194" t="s">
        <v>10</v>
      </c>
      <c r="L308" s="104">
        <f>0.5*L299+0.5*lookup!I109*L299</f>
        <v>0.53625000000000012</v>
      </c>
      <c r="M308" s="105">
        <v>0.05</v>
      </c>
      <c r="N308" s="126" t="s">
        <v>1098</v>
      </c>
      <c r="O308" s="373"/>
      <c r="P308" s="455"/>
    </row>
    <row r="309" spans="1:16" s="36" customFormat="1" ht="54" customHeight="1" x14ac:dyDescent="0.2">
      <c r="A309" s="436"/>
      <c r="B309" s="319" t="s">
        <v>262</v>
      </c>
      <c r="C309" s="344" t="s">
        <v>1095</v>
      </c>
      <c r="D309" s="314">
        <v>0.12081399204244032</v>
      </c>
      <c r="E309" s="332" t="s">
        <v>231</v>
      </c>
      <c r="F309" s="311">
        <v>1</v>
      </c>
      <c r="G309" s="362"/>
      <c r="H309" s="271">
        <f>SUM(L309*M309,L313*M313,L318*M318,L320*M320)</f>
        <v>0.93793012499999995</v>
      </c>
      <c r="I309" s="274">
        <f>D309*F309</f>
        <v>0.12081399204244032</v>
      </c>
      <c r="J309" s="277">
        <f>D309*F309*H309</f>
        <v>0.11331508265811505</v>
      </c>
      <c r="K309" s="222" t="s">
        <v>7</v>
      </c>
      <c r="L309" s="280">
        <f>0.99</f>
        <v>0.99</v>
      </c>
      <c r="M309" s="234">
        <v>0.7</v>
      </c>
      <c r="N309" s="297" t="s">
        <v>1097</v>
      </c>
      <c r="O309" s="377" t="s">
        <v>1502</v>
      </c>
      <c r="P309" s="452" t="s">
        <v>273</v>
      </c>
    </row>
    <row r="310" spans="1:16" s="36" customFormat="1" ht="46.5" customHeight="1" x14ac:dyDescent="0.2">
      <c r="A310" s="436"/>
      <c r="B310" s="320"/>
      <c r="C310" s="308"/>
      <c r="D310" s="314"/>
      <c r="E310" s="333"/>
      <c r="F310" s="312"/>
      <c r="G310" s="363"/>
      <c r="H310" s="272"/>
      <c r="I310" s="275"/>
      <c r="J310" s="278"/>
      <c r="K310" s="223"/>
      <c r="L310" s="220"/>
      <c r="M310" s="235"/>
      <c r="N310" s="298"/>
      <c r="O310" s="378"/>
      <c r="P310" s="454"/>
    </row>
    <row r="311" spans="1:16" s="36" customFormat="1" ht="26.25" customHeight="1" x14ac:dyDescent="0.2">
      <c r="A311" s="436"/>
      <c r="B311" s="320"/>
      <c r="C311" s="308"/>
      <c r="D311" s="314"/>
      <c r="E311" s="333"/>
      <c r="F311" s="312"/>
      <c r="G311" s="363"/>
      <c r="H311" s="272"/>
      <c r="I311" s="275"/>
      <c r="J311" s="278"/>
      <c r="K311" s="223"/>
      <c r="L311" s="220"/>
      <c r="M311" s="235"/>
      <c r="N311" s="298"/>
      <c r="O311" s="378"/>
      <c r="P311" s="454"/>
    </row>
    <row r="312" spans="1:16" s="36" customFormat="1" ht="19.5" customHeight="1" x14ac:dyDescent="0.2">
      <c r="A312" s="436"/>
      <c r="B312" s="320"/>
      <c r="C312" s="308"/>
      <c r="D312" s="314"/>
      <c r="E312" s="333"/>
      <c r="F312" s="312"/>
      <c r="G312" s="363"/>
      <c r="H312" s="272"/>
      <c r="I312" s="275"/>
      <c r="J312" s="278"/>
      <c r="K312" s="224"/>
      <c r="L312" s="221"/>
      <c r="M312" s="236"/>
      <c r="N312" s="299"/>
      <c r="O312" s="378"/>
      <c r="P312" s="454"/>
    </row>
    <row r="313" spans="1:16" s="36" customFormat="1" ht="12.75" customHeight="1" x14ac:dyDescent="0.2">
      <c r="A313" s="436"/>
      <c r="B313" s="320"/>
      <c r="C313" s="308"/>
      <c r="D313" s="314"/>
      <c r="E313" s="333"/>
      <c r="F313" s="312"/>
      <c r="G313" s="363"/>
      <c r="H313" s="272"/>
      <c r="I313" s="275"/>
      <c r="J313" s="278"/>
      <c r="K313" s="213" t="s">
        <v>11</v>
      </c>
      <c r="L313" s="216">
        <f>(1-POWER(0.5,4))*L309</f>
        <v>0.92812499999999998</v>
      </c>
      <c r="M313" s="231">
        <v>0.2</v>
      </c>
      <c r="N313" s="300" t="s">
        <v>274</v>
      </c>
      <c r="O313" s="378"/>
      <c r="P313" s="454"/>
    </row>
    <row r="314" spans="1:16" s="36" customFormat="1" ht="12.75" customHeight="1" x14ac:dyDescent="0.2">
      <c r="A314" s="436"/>
      <c r="B314" s="320"/>
      <c r="C314" s="308"/>
      <c r="D314" s="314"/>
      <c r="E314" s="333"/>
      <c r="F314" s="312"/>
      <c r="G314" s="363"/>
      <c r="H314" s="272"/>
      <c r="I314" s="275"/>
      <c r="J314" s="278"/>
      <c r="K314" s="214"/>
      <c r="L314" s="217"/>
      <c r="M314" s="232"/>
      <c r="N314" s="291"/>
      <c r="O314" s="378"/>
      <c r="P314" s="454"/>
    </row>
    <row r="315" spans="1:16" s="36" customFormat="1" ht="12.75" customHeight="1" x14ac:dyDescent="0.2">
      <c r="A315" s="436"/>
      <c r="B315" s="320"/>
      <c r="C315" s="308"/>
      <c r="D315" s="314"/>
      <c r="E315" s="333"/>
      <c r="F315" s="312"/>
      <c r="G315" s="363"/>
      <c r="H315" s="272"/>
      <c r="I315" s="275"/>
      <c r="J315" s="278"/>
      <c r="K315" s="214"/>
      <c r="L315" s="217"/>
      <c r="M315" s="232"/>
      <c r="N315" s="291"/>
      <c r="O315" s="378"/>
      <c r="P315" s="454"/>
    </row>
    <row r="316" spans="1:16" s="36" customFormat="1" ht="12" customHeight="1" x14ac:dyDescent="0.2">
      <c r="A316" s="436"/>
      <c r="B316" s="320"/>
      <c r="C316" s="308"/>
      <c r="D316" s="314"/>
      <c r="E316" s="333"/>
      <c r="F316" s="312"/>
      <c r="G316" s="363"/>
      <c r="H316" s="272"/>
      <c r="I316" s="275"/>
      <c r="J316" s="278"/>
      <c r="K316" s="214"/>
      <c r="L316" s="217"/>
      <c r="M316" s="232"/>
      <c r="N316" s="291"/>
      <c r="O316" s="378"/>
      <c r="P316" s="454"/>
    </row>
    <row r="317" spans="1:16" s="36" customFormat="1" ht="13.5" customHeight="1" x14ac:dyDescent="0.2">
      <c r="A317" s="436"/>
      <c r="B317" s="320"/>
      <c r="C317" s="308"/>
      <c r="D317" s="314"/>
      <c r="E317" s="333"/>
      <c r="F317" s="312"/>
      <c r="G317" s="363"/>
      <c r="H317" s="272"/>
      <c r="I317" s="275"/>
      <c r="J317" s="278"/>
      <c r="K317" s="215"/>
      <c r="L317" s="218"/>
      <c r="M317" s="233"/>
      <c r="N317" s="292"/>
      <c r="O317" s="378"/>
      <c r="P317" s="454"/>
    </row>
    <row r="318" spans="1:16" s="36" customFormat="1" ht="94.5" customHeight="1" x14ac:dyDescent="0.2">
      <c r="A318" s="436"/>
      <c r="B318" s="320"/>
      <c r="C318" s="308"/>
      <c r="D318" s="314"/>
      <c r="E318" s="333"/>
      <c r="F318" s="312"/>
      <c r="G318" s="363"/>
      <c r="H318" s="272"/>
      <c r="I318" s="275"/>
      <c r="J318" s="278"/>
      <c r="K318" s="222" t="s">
        <v>12</v>
      </c>
      <c r="L318" s="280">
        <f>'d.c. fault estimation'!O18*L309</f>
        <v>0.68062500000000004</v>
      </c>
      <c r="M318" s="234">
        <v>0.05</v>
      </c>
      <c r="N318" s="297" t="s">
        <v>1531</v>
      </c>
      <c r="O318" s="378"/>
      <c r="P318" s="454"/>
    </row>
    <row r="319" spans="1:16" s="36" customFormat="1" ht="56.25" customHeight="1" x14ac:dyDescent="0.2">
      <c r="A319" s="436"/>
      <c r="B319" s="320"/>
      <c r="C319" s="308"/>
      <c r="D319" s="314"/>
      <c r="E319" s="333"/>
      <c r="F319" s="312"/>
      <c r="G319" s="363"/>
      <c r="H319" s="272"/>
      <c r="I319" s="275"/>
      <c r="J319" s="278"/>
      <c r="K319" s="224"/>
      <c r="L319" s="281"/>
      <c r="M319" s="236"/>
      <c r="N319" s="301"/>
      <c r="O319" s="378"/>
      <c r="P319" s="454"/>
    </row>
    <row r="320" spans="1:16" s="36" customFormat="1" ht="228.75" customHeight="1" thickBot="1" x14ac:dyDescent="0.25">
      <c r="A320" s="436"/>
      <c r="B320" s="321"/>
      <c r="C320" s="345"/>
      <c r="D320" s="314"/>
      <c r="E320" s="334"/>
      <c r="F320" s="313"/>
      <c r="G320" s="364"/>
      <c r="H320" s="273"/>
      <c r="I320" s="276"/>
      <c r="J320" s="279"/>
      <c r="K320" s="194" t="s">
        <v>10</v>
      </c>
      <c r="L320" s="104">
        <f>((0.5*lookup!H33+0.5*lookup!I97)*0.5*0.99+0.55*0.5*0.99)*L309</f>
        <v>0.50547750000000002</v>
      </c>
      <c r="M320" s="105">
        <v>0.05</v>
      </c>
      <c r="N320" s="126" t="s">
        <v>1528</v>
      </c>
      <c r="O320" s="379"/>
      <c r="P320" s="455"/>
    </row>
    <row r="321" spans="1:16" s="36" customFormat="1" ht="12.75" customHeight="1" collapsed="1" x14ac:dyDescent="0.2">
      <c r="A321" s="436"/>
      <c r="B321" s="315" t="s">
        <v>213</v>
      </c>
      <c r="C321" s="365" t="s">
        <v>93</v>
      </c>
      <c r="D321" s="355">
        <v>1.4651027851458887E-2</v>
      </c>
      <c r="E321" s="335"/>
      <c r="F321" s="315">
        <v>1</v>
      </c>
      <c r="G321" s="323"/>
      <c r="H321" s="252">
        <f>L321*M321+L326*M326+L331*M331+L337*M337</f>
        <v>0.86575993135499973</v>
      </c>
      <c r="I321" s="255"/>
      <c r="J321" s="210">
        <f>D321*F321*H321</f>
        <v>1.2684272866959235E-2</v>
      </c>
      <c r="K321" s="222" t="s">
        <v>7</v>
      </c>
      <c r="L321" s="219">
        <f>2/3*status_estimation!B87+1/3*NVIC_DPU!B51</f>
        <v>0.90476190476190466</v>
      </c>
      <c r="M321" s="234">
        <v>0.7</v>
      </c>
      <c r="N321" s="297" t="s">
        <v>1553</v>
      </c>
      <c r="O321" s="399" t="s">
        <v>1458</v>
      </c>
      <c r="P321" s="452" t="s">
        <v>1533</v>
      </c>
    </row>
    <row r="322" spans="1:16" s="36" customFormat="1" x14ac:dyDescent="0.2">
      <c r="A322" s="436"/>
      <c r="B322" s="316"/>
      <c r="C322" s="366"/>
      <c r="D322" s="356"/>
      <c r="E322" s="336"/>
      <c r="F322" s="316"/>
      <c r="G322" s="324"/>
      <c r="H322" s="253"/>
      <c r="I322" s="256"/>
      <c r="J322" s="211"/>
      <c r="K322" s="223"/>
      <c r="L322" s="220"/>
      <c r="M322" s="235"/>
      <c r="N322" s="298"/>
      <c r="O322" s="381"/>
      <c r="P322" s="226"/>
    </row>
    <row r="323" spans="1:16" s="36" customFormat="1" x14ac:dyDescent="0.2">
      <c r="A323" s="436"/>
      <c r="B323" s="316"/>
      <c r="C323" s="366"/>
      <c r="D323" s="356"/>
      <c r="E323" s="336"/>
      <c r="F323" s="316"/>
      <c r="G323" s="324"/>
      <c r="H323" s="253"/>
      <c r="I323" s="256"/>
      <c r="J323" s="211"/>
      <c r="K323" s="223"/>
      <c r="L323" s="220"/>
      <c r="M323" s="235"/>
      <c r="N323" s="298"/>
      <c r="O323" s="381"/>
      <c r="P323" s="226"/>
    </row>
    <row r="324" spans="1:16" s="36" customFormat="1" x14ac:dyDescent="0.2">
      <c r="A324" s="436"/>
      <c r="B324" s="316"/>
      <c r="C324" s="366"/>
      <c r="D324" s="356"/>
      <c r="E324" s="336"/>
      <c r="F324" s="316"/>
      <c r="G324" s="324"/>
      <c r="H324" s="253"/>
      <c r="I324" s="256"/>
      <c r="J324" s="211"/>
      <c r="K324" s="223"/>
      <c r="L324" s="220"/>
      <c r="M324" s="235"/>
      <c r="N324" s="298"/>
      <c r="O324" s="381"/>
      <c r="P324" s="226"/>
    </row>
    <row r="325" spans="1:16" s="36" customFormat="1" x14ac:dyDescent="0.2">
      <c r="A325" s="436"/>
      <c r="B325" s="316"/>
      <c r="C325" s="366"/>
      <c r="D325" s="356"/>
      <c r="E325" s="336"/>
      <c r="F325" s="316"/>
      <c r="G325" s="324"/>
      <c r="H325" s="253"/>
      <c r="I325" s="256"/>
      <c r="J325" s="211"/>
      <c r="K325" s="224"/>
      <c r="L325" s="221"/>
      <c r="M325" s="236"/>
      <c r="N325" s="299"/>
      <c r="O325" s="381"/>
      <c r="P325" s="226"/>
    </row>
    <row r="326" spans="1:16" s="36" customFormat="1" ht="12.75" customHeight="1" x14ac:dyDescent="0.2">
      <c r="A326" s="436"/>
      <c r="B326" s="316"/>
      <c r="C326" s="366"/>
      <c r="D326" s="356"/>
      <c r="E326" s="336"/>
      <c r="F326" s="316"/>
      <c r="G326" s="324"/>
      <c r="H326" s="253"/>
      <c r="I326" s="256"/>
      <c r="J326" s="211"/>
      <c r="K326" s="213" t="s">
        <v>11</v>
      </c>
      <c r="L326" s="216">
        <f>(1-POWER(0.5,6))*L321</f>
        <v>0.89062499999999989</v>
      </c>
      <c r="M326" s="231">
        <v>0.2</v>
      </c>
      <c r="N326" s="285" t="s">
        <v>1552</v>
      </c>
      <c r="O326" s="381"/>
      <c r="P326" s="226"/>
    </row>
    <row r="327" spans="1:16" s="36" customFormat="1" x14ac:dyDescent="0.2">
      <c r="A327" s="436"/>
      <c r="B327" s="316"/>
      <c r="C327" s="366"/>
      <c r="D327" s="356"/>
      <c r="E327" s="336"/>
      <c r="F327" s="316"/>
      <c r="G327" s="324"/>
      <c r="H327" s="253"/>
      <c r="I327" s="256"/>
      <c r="J327" s="211"/>
      <c r="K327" s="214"/>
      <c r="L327" s="217"/>
      <c r="M327" s="232"/>
      <c r="N327" s="286"/>
      <c r="O327" s="381"/>
      <c r="P327" s="226"/>
    </row>
    <row r="328" spans="1:16" s="36" customFormat="1" x14ac:dyDescent="0.2">
      <c r="A328" s="436"/>
      <c r="B328" s="316"/>
      <c r="C328" s="366"/>
      <c r="D328" s="356"/>
      <c r="E328" s="336"/>
      <c r="F328" s="316"/>
      <c r="G328" s="324"/>
      <c r="H328" s="253"/>
      <c r="I328" s="256"/>
      <c r="J328" s="211"/>
      <c r="K328" s="214"/>
      <c r="L328" s="217"/>
      <c r="M328" s="232"/>
      <c r="N328" s="286"/>
      <c r="O328" s="381"/>
      <c r="P328" s="226"/>
    </row>
    <row r="329" spans="1:16" s="36" customFormat="1" x14ac:dyDescent="0.2">
      <c r="A329" s="436"/>
      <c r="B329" s="316"/>
      <c r="C329" s="366"/>
      <c r="D329" s="356"/>
      <c r="E329" s="336"/>
      <c r="F329" s="316"/>
      <c r="G329" s="324"/>
      <c r="H329" s="253"/>
      <c r="I329" s="256"/>
      <c r="J329" s="211"/>
      <c r="K329" s="214"/>
      <c r="L329" s="217"/>
      <c r="M329" s="232"/>
      <c r="N329" s="286"/>
      <c r="O329" s="381"/>
      <c r="P329" s="226"/>
    </row>
    <row r="330" spans="1:16" s="36" customFormat="1" x14ac:dyDescent="0.2">
      <c r="A330" s="436"/>
      <c r="B330" s="316"/>
      <c r="C330" s="366"/>
      <c r="D330" s="356"/>
      <c r="E330" s="336"/>
      <c r="F330" s="316"/>
      <c r="G330" s="324"/>
      <c r="H330" s="253"/>
      <c r="I330" s="256"/>
      <c r="J330" s="211"/>
      <c r="K330" s="215"/>
      <c r="L330" s="218"/>
      <c r="M330" s="233"/>
      <c r="N330" s="296"/>
      <c r="O330" s="381"/>
      <c r="P330" s="226"/>
    </row>
    <row r="331" spans="1:16" s="36" customFormat="1" ht="12.75" customHeight="1" x14ac:dyDescent="0.2">
      <c r="A331" s="436"/>
      <c r="B331" s="316"/>
      <c r="C331" s="366"/>
      <c r="D331" s="356"/>
      <c r="E331" s="336"/>
      <c r="F331" s="316"/>
      <c r="G331" s="324"/>
      <c r="H331" s="253"/>
      <c r="I331" s="256"/>
      <c r="J331" s="211"/>
      <c r="K331" s="222" t="s">
        <v>12</v>
      </c>
      <c r="L331" s="219">
        <f>'d.c. fault estimation'!O18*L321</f>
        <v>0.62202380952380942</v>
      </c>
      <c r="M331" s="234">
        <v>0.05</v>
      </c>
      <c r="N331" s="297" t="s">
        <v>1514</v>
      </c>
      <c r="O331" s="381"/>
      <c r="P331" s="226"/>
    </row>
    <row r="332" spans="1:16" s="36" customFormat="1" ht="12.75" customHeight="1" x14ac:dyDescent="0.2">
      <c r="A332" s="436"/>
      <c r="B332" s="316"/>
      <c r="C332" s="366"/>
      <c r="D332" s="356"/>
      <c r="E332" s="336"/>
      <c r="F332" s="316"/>
      <c r="G332" s="324"/>
      <c r="H332" s="253"/>
      <c r="I332" s="256"/>
      <c r="J332" s="211"/>
      <c r="K332" s="223"/>
      <c r="L332" s="220"/>
      <c r="M332" s="235"/>
      <c r="N332" s="298"/>
      <c r="O332" s="381"/>
      <c r="P332" s="226"/>
    </row>
    <row r="333" spans="1:16" s="36" customFormat="1" ht="12.75" customHeight="1" x14ac:dyDescent="0.2">
      <c r="A333" s="436"/>
      <c r="B333" s="316"/>
      <c r="C333" s="366"/>
      <c r="D333" s="356"/>
      <c r="E333" s="336"/>
      <c r="F333" s="316"/>
      <c r="G333" s="324"/>
      <c r="H333" s="253"/>
      <c r="I333" s="256"/>
      <c r="J333" s="211"/>
      <c r="K333" s="223"/>
      <c r="L333" s="220"/>
      <c r="M333" s="235"/>
      <c r="N333" s="298"/>
      <c r="O333" s="381"/>
      <c r="P333" s="226"/>
    </row>
    <row r="334" spans="1:16" s="36" customFormat="1" ht="12.75" customHeight="1" x14ac:dyDescent="0.2">
      <c r="A334" s="436"/>
      <c r="B334" s="316"/>
      <c r="C334" s="366"/>
      <c r="D334" s="356"/>
      <c r="E334" s="336"/>
      <c r="F334" s="316"/>
      <c r="G334" s="324"/>
      <c r="H334" s="253"/>
      <c r="I334" s="256"/>
      <c r="J334" s="211"/>
      <c r="K334" s="223"/>
      <c r="L334" s="220"/>
      <c r="M334" s="235"/>
      <c r="N334" s="298"/>
      <c r="O334" s="381"/>
      <c r="P334" s="226"/>
    </row>
    <row r="335" spans="1:16" s="36" customFormat="1" ht="12.75" customHeight="1" x14ac:dyDescent="0.2">
      <c r="A335" s="436"/>
      <c r="B335" s="316"/>
      <c r="C335" s="366"/>
      <c r="D335" s="356"/>
      <c r="E335" s="336"/>
      <c r="F335" s="316"/>
      <c r="G335" s="324"/>
      <c r="H335" s="253"/>
      <c r="I335" s="256"/>
      <c r="J335" s="211"/>
      <c r="K335" s="223"/>
      <c r="L335" s="220"/>
      <c r="M335" s="235"/>
      <c r="N335" s="298"/>
      <c r="O335" s="381"/>
      <c r="P335" s="226"/>
    </row>
    <row r="336" spans="1:16" s="36" customFormat="1" x14ac:dyDescent="0.2">
      <c r="A336" s="436"/>
      <c r="B336" s="316"/>
      <c r="C336" s="366"/>
      <c r="D336" s="356"/>
      <c r="E336" s="336"/>
      <c r="F336" s="316"/>
      <c r="G336" s="324"/>
      <c r="H336" s="253"/>
      <c r="I336" s="256"/>
      <c r="J336" s="211"/>
      <c r="K336" s="224"/>
      <c r="L336" s="221"/>
      <c r="M336" s="236"/>
      <c r="N336" s="299"/>
      <c r="O336" s="381"/>
      <c r="P336" s="226"/>
    </row>
    <row r="337" spans="1:16" s="36" customFormat="1" ht="12.75" customHeight="1" x14ac:dyDescent="0.2">
      <c r="A337" s="436"/>
      <c r="B337" s="316"/>
      <c r="C337" s="366"/>
      <c r="D337" s="356"/>
      <c r="E337" s="336"/>
      <c r="F337" s="316"/>
      <c r="G337" s="324"/>
      <c r="H337" s="253"/>
      <c r="I337" s="256"/>
      <c r="J337" s="211"/>
      <c r="K337" s="213" t="s">
        <v>10</v>
      </c>
      <c r="L337" s="216">
        <f>(1/3*lookup!L11+2/3*(0.5*lookup!J101+0.5*lookup!K101))*L321</f>
        <v>0.46400815090952302</v>
      </c>
      <c r="M337" s="231">
        <v>0.05</v>
      </c>
      <c r="N337" s="285" t="s">
        <v>1503</v>
      </c>
      <c r="O337" s="381"/>
      <c r="P337" s="226"/>
    </row>
    <row r="338" spans="1:16" s="36" customFormat="1" ht="12.75" customHeight="1" x14ac:dyDescent="0.2">
      <c r="A338" s="436"/>
      <c r="B338" s="316"/>
      <c r="C338" s="366"/>
      <c r="D338" s="356"/>
      <c r="E338" s="336"/>
      <c r="F338" s="316"/>
      <c r="G338" s="324"/>
      <c r="H338" s="253"/>
      <c r="I338" s="256"/>
      <c r="J338" s="211"/>
      <c r="K338" s="214"/>
      <c r="L338" s="217"/>
      <c r="M338" s="232"/>
      <c r="N338" s="286"/>
      <c r="O338" s="381"/>
      <c r="P338" s="226"/>
    </row>
    <row r="339" spans="1:16" s="36" customFormat="1" ht="12.75" customHeight="1" x14ac:dyDescent="0.2">
      <c r="A339" s="436"/>
      <c r="B339" s="316"/>
      <c r="C339" s="366"/>
      <c r="D339" s="356"/>
      <c r="E339" s="336"/>
      <c r="F339" s="316"/>
      <c r="G339" s="324"/>
      <c r="H339" s="253"/>
      <c r="I339" s="256"/>
      <c r="J339" s="211"/>
      <c r="K339" s="214"/>
      <c r="L339" s="217"/>
      <c r="M339" s="232"/>
      <c r="N339" s="286"/>
      <c r="O339" s="381"/>
      <c r="P339" s="226"/>
    </row>
    <row r="340" spans="1:16" s="36" customFormat="1" ht="12.75" customHeight="1" x14ac:dyDescent="0.2">
      <c r="A340" s="436"/>
      <c r="B340" s="316"/>
      <c r="C340" s="366"/>
      <c r="D340" s="356"/>
      <c r="E340" s="336"/>
      <c r="F340" s="316"/>
      <c r="G340" s="324"/>
      <c r="H340" s="253"/>
      <c r="I340" s="256"/>
      <c r="J340" s="211"/>
      <c r="K340" s="214"/>
      <c r="L340" s="217"/>
      <c r="M340" s="232"/>
      <c r="N340" s="286"/>
      <c r="O340" s="381"/>
      <c r="P340" s="226"/>
    </row>
    <row r="341" spans="1:16" s="36" customFormat="1" ht="12.75" customHeight="1" x14ac:dyDescent="0.2">
      <c r="A341" s="436"/>
      <c r="B341" s="316"/>
      <c r="C341" s="366"/>
      <c r="D341" s="356"/>
      <c r="E341" s="336"/>
      <c r="F341" s="316"/>
      <c r="G341" s="324"/>
      <c r="H341" s="253"/>
      <c r="I341" s="256"/>
      <c r="J341" s="211"/>
      <c r="K341" s="214"/>
      <c r="L341" s="217"/>
      <c r="M341" s="232"/>
      <c r="N341" s="286"/>
      <c r="O341" s="381"/>
      <c r="P341" s="226"/>
    </row>
    <row r="342" spans="1:16" s="36" customFormat="1" ht="54" customHeight="1" thickBot="1" x14ac:dyDescent="0.25">
      <c r="A342" s="436"/>
      <c r="B342" s="317"/>
      <c r="C342" s="367"/>
      <c r="D342" s="357"/>
      <c r="E342" s="337"/>
      <c r="F342" s="317"/>
      <c r="G342" s="325"/>
      <c r="H342" s="254"/>
      <c r="I342" s="257"/>
      <c r="J342" s="212"/>
      <c r="K342" s="215"/>
      <c r="L342" s="218"/>
      <c r="M342" s="233"/>
      <c r="N342" s="296"/>
      <c r="O342" s="425"/>
      <c r="P342" s="453"/>
    </row>
    <row r="343" spans="1:16" s="36" customFormat="1" ht="12.75" customHeight="1" x14ac:dyDescent="0.2">
      <c r="A343" s="436"/>
      <c r="B343" s="315" t="s">
        <v>214</v>
      </c>
      <c r="C343" s="365"/>
      <c r="D343" s="355"/>
      <c r="E343" s="441"/>
      <c r="F343" s="444"/>
      <c r="G343" s="445"/>
      <c r="H343" s="264"/>
      <c r="I343" s="448"/>
      <c r="J343" s="449"/>
      <c r="K343" s="397" t="s">
        <v>7</v>
      </c>
      <c r="L343" s="219"/>
      <c r="M343" s="234">
        <v>0.7</v>
      </c>
      <c r="N343" s="294"/>
      <c r="O343" s="456"/>
      <c r="P343" s="459"/>
    </row>
    <row r="344" spans="1:16" s="36" customFormat="1" ht="12.75" customHeight="1" x14ac:dyDescent="0.2">
      <c r="A344" s="436"/>
      <c r="B344" s="316"/>
      <c r="C344" s="366"/>
      <c r="D344" s="356"/>
      <c r="E344" s="442"/>
      <c r="F344" s="444"/>
      <c r="G344" s="446"/>
      <c r="H344" s="265"/>
      <c r="I344" s="448"/>
      <c r="J344" s="450"/>
      <c r="K344" s="398"/>
      <c r="L344" s="221"/>
      <c r="M344" s="236"/>
      <c r="N344" s="295"/>
      <c r="O344" s="457"/>
      <c r="P344" s="460"/>
    </row>
    <row r="345" spans="1:16" s="36" customFormat="1" x14ac:dyDescent="0.2">
      <c r="A345" s="436"/>
      <c r="B345" s="316"/>
      <c r="C345" s="366"/>
      <c r="D345" s="356"/>
      <c r="E345" s="442"/>
      <c r="F345" s="444"/>
      <c r="G345" s="446"/>
      <c r="H345" s="265"/>
      <c r="I345" s="448"/>
      <c r="J345" s="450"/>
      <c r="K345" s="390" t="s">
        <v>11</v>
      </c>
      <c r="L345" s="216"/>
      <c r="M345" s="231">
        <v>0.2</v>
      </c>
      <c r="N345" s="282"/>
      <c r="O345" s="457"/>
      <c r="P345" s="460"/>
    </row>
    <row r="346" spans="1:16" s="36" customFormat="1" x14ac:dyDescent="0.2">
      <c r="A346" s="436"/>
      <c r="B346" s="316"/>
      <c r="C346" s="366"/>
      <c r="D346" s="356"/>
      <c r="E346" s="442"/>
      <c r="F346" s="444"/>
      <c r="G346" s="446"/>
      <c r="H346" s="265"/>
      <c r="I346" s="448"/>
      <c r="J346" s="450"/>
      <c r="K346" s="391"/>
      <c r="L346" s="217"/>
      <c r="M346" s="232"/>
      <c r="N346" s="283"/>
      <c r="O346" s="457"/>
      <c r="P346" s="460"/>
    </row>
    <row r="347" spans="1:16" s="36" customFormat="1" x14ac:dyDescent="0.2">
      <c r="A347" s="436"/>
      <c r="B347" s="316"/>
      <c r="C347" s="366"/>
      <c r="D347" s="356"/>
      <c r="E347" s="442"/>
      <c r="F347" s="444"/>
      <c r="G347" s="446"/>
      <c r="H347" s="265"/>
      <c r="I347" s="448"/>
      <c r="J347" s="450"/>
      <c r="K347" s="392"/>
      <c r="L347" s="218"/>
      <c r="M347" s="233"/>
      <c r="N347" s="284"/>
      <c r="O347" s="457"/>
      <c r="P347" s="460"/>
    </row>
    <row r="348" spans="1:16" s="36" customFormat="1" x14ac:dyDescent="0.2">
      <c r="A348" s="436"/>
      <c r="B348" s="316"/>
      <c r="C348" s="366"/>
      <c r="D348" s="356"/>
      <c r="E348" s="442"/>
      <c r="F348" s="444"/>
      <c r="G348" s="446"/>
      <c r="H348" s="265"/>
      <c r="I348" s="448"/>
      <c r="J348" s="450"/>
      <c r="K348" s="395" t="s">
        <v>12</v>
      </c>
      <c r="L348" s="393"/>
      <c r="M348" s="234">
        <v>0.05</v>
      </c>
      <c r="N348" s="294"/>
      <c r="O348" s="457"/>
      <c r="P348" s="460"/>
    </row>
    <row r="349" spans="1:16" s="36" customFormat="1" x14ac:dyDescent="0.2">
      <c r="A349" s="436"/>
      <c r="B349" s="316"/>
      <c r="C349" s="366"/>
      <c r="D349" s="356"/>
      <c r="E349" s="442"/>
      <c r="F349" s="444"/>
      <c r="G349" s="446"/>
      <c r="H349" s="265"/>
      <c r="I349" s="448"/>
      <c r="J349" s="450"/>
      <c r="K349" s="396"/>
      <c r="L349" s="394"/>
      <c r="M349" s="236"/>
      <c r="N349" s="295"/>
      <c r="O349" s="457"/>
      <c r="P349" s="460"/>
    </row>
    <row r="350" spans="1:16" s="36" customFormat="1" ht="12.75" customHeight="1" x14ac:dyDescent="0.2">
      <c r="A350" s="436"/>
      <c r="B350" s="316"/>
      <c r="C350" s="366"/>
      <c r="D350" s="356"/>
      <c r="E350" s="442"/>
      <c r="F350" s="444"/>
      <c r="G350" s="446"/>
      <c r="H350" s="265"/>
      <c r="I350" s="448"/>
      <c r="J350" s="450"/>
      <c r="K350" s="390" t="s">
        <v>10</v>
      </c>
      <c r="L350" s="216"/>
      <c r="M350" s="231">
        <v>0.05</v>
      </c>
      <c r="N350" s="282"/>
      <c r="O350" s="457"/>
      <c r="P350" s="460"/>
    </row>
    <row r="351" spans="1:16" s="36" customFormat="1" x14ac:dyDescent="0.2">
      <c r="A351" s="436"/>
      <c r="B351" s="316"/>
      <c r="C351" s="366"/>
      <c r="D351" s="356"/>
      <c r="E351" s="442"/>
      <c r="F351" s="444"/>
      <c r="G351" s="446"/>
      <c r="H351" s="265"/>
      <c r="I351" s="448"/>
      <c r="J351" s="450"/>
      <c r="K351" s="391"/>
      <c r="L351" s="217"/>
      <c r="M351" s="232"/>
      <c r="N351" s="283"/>
      <c r="O351" s="457"/>
      <c r="P351" s="460"/>
    </row>
    <row r="352" spans="1:16" s="36" customFormat="1" ht="13.5" thickBot="1" x14ac:dyDescent="0.25">
      <c r="A352" s="437"/>
      <c r="B352" s="317"/>
      <c r="C352" s="367"/>
      <c r="D352" s="357"/>
      <c r="E352" s="443"/>
      <c r="F352" s="444"/>
      <c r="G352" s="447"/>
      <c r="H352" s="266"/>
      <c r="I352" s="448"/>
      <c r="J352" s="451"/>
      <c r="K352" s="392"/>
      <c r="L352" s="218"/>
      <c r="M352" s="233"/>
      <c r="N352" s="284"/>
      <c r="O352" s="458"/>
      <c r="P352" s="461"/>
    </row>
    <row r="353" spans="1:16" ht="18" x14ac:dyDescent="0.2">
      <c r="A353" s="43"/>
      <c r="B353" s="43"/>
      <c r="C353" s="43"/>
      <c r="D353" s="147">
        <f>SUM(D2:D352)</f>
        <v>1</v>
      </c>
      <c r="E353" s="69"/>
      <c r="F353" s="43"/>
      <c r="G353" s="43"/>
      <c r="H353" s="43"/>
      <c r="I353" s="43"/>
      <c r="J353" s="200">
        <f>SUM(J2:J352)</f>
        <v>0.90028548259410079</v>
      </c>
      <c r="K353" s="42" t="b">
        <f>IF(J353&gt;0.9,TRUE,FALSE)</f>
        <v>1</v>
      </c>
      <c r="L353" s="65"/>
      <c r="M353" s="65"/>
      <c r="N353" s="65"/>
      <c r="O353" s="65"/>
      <c r="P353" s="42"/>
    </row>
    <row r="354" spans="1:16" x14ac:dyDescent="0.2">
      <c r="A354" s="43"/>
      <c r="B354" s="43"/>
      <c r="C354" s="43"/>
      <c r="D354" s="43"/>
      <c r="E354" s="69"/>
      <c r="F354" s="43"/>
      <c r="G354" s="43"/>
      <c r="H354" s="43"/>
      <c r="I354" s="43"/>
      <c r="J354" s="199"/>
      <c r="K354" s="43"/>
      <c r="L354" s="44"/>
      <c r="M354" s="44"/>
      <c r="N354" s="44"/>
      <c r="O354" s="44"/>
      <c r="P354" s="43"/>
    </row>
    <row r="355" spans="1:16" x14ac:dyDescent="0.2">
      <c r="A355" s="43"/>
      <c r="D355" s="43"/>
      <c r="E355" s="69"/>
      <c r="F355" s="43"/>
      <c r="G355" s="43"/>
      <c r="H355" s="43"/>
      <c r="I355" s="43"/>
      <c r="J355" s="43"/>
      <c r="K355" s="43"/>
      <c r="L355" s="44"/>
      <c r="M355" s="44"/>
      <c r="N355" s="44"/>
      <c r="O355" s="44"/>
      <c r="P355" s="43"/>
    </row>
    <row r="356" spans="1:16" x14ac:dyDescent="0.2">
      <c r="A356" s="43"/>
      <c r="D356" s="43"/>
      <c r="E356" s="69"/>
      <c r="F356" s="43"/>
      <c r="G356" s="43"/>
      <c r="H356" s="43"/>
      <c r="I356" s="43"/>
      <c r="J356" s="43"/>
      <c r="K356" s="43"/>
      <c r="L356" s="44"/>
      <c r="M356" s="44"/>
      <c r="N356" s="44"/>
      <c r="O356" s="44"/>
      <c r="P356" s="43"/>
    </row>
    <row r="357" spans="1:16" x14ac:dyDescent="0.2">
      <c r="A357" s="43"/>
      <c r="D357" s="43"/>
      <c r="E357" s="69"/>
      <c r="F357" s="43"/>
      <c r="G357" s="43"/>
      <c r="H357" s="43"/>
      <c r="I357" s="43"/>
      <c r="J357" s="43"/>
      <c r="K357" s="43"/>
      <c r="L357" s="44"/>
      <c r="M357" s="44"/>
      <c r="N357" s="44"/>
      <c r="O357" s="44"/>
      <c r="P357" s="43"/>
    </row>
    <row r="358" spans="1:16" x14ac:dyDescent="0.2">
      <c r="A358" s="43"/>
      <c r="D358" s="43"/>
      <c r="E358" s="69"/>
      <c r="F358" s="43"/>
      <c r="G358" s="43"/>
      <c r="H358" s="43"/>
      <c r="I358" s="43"/>
      <c r="J358" s="43"/>
      <c r="K358" s="43"/>
      <c r="L358" s="44"/>
      <c r="M358" s="44"/>
      <c r="N358" s="44"/>
      <c r="O358" s="44"/>
      <c r="P358" s="43"/>
    </row>
    <row r="359" spans="1:16" x14ac:dyDescent="0.2">
      <c r="A359" s="43"/>
      <c r="D359" s="43"/>
      <c r="E359" s="69"/>
      <c r="F359" s="43"/>
      <c r="G359" s="43"/>
      <c r="H359" s="43"/>
      <c r="I359" s="43"/>
      <c r="J359" s="43"/>
      <c r="K359" s="43"/>
      <c r="L359" s="44"/>
      <c r="M359" s="44"/>
      <c r="N359" s="44"/>
      <c r="O359" s="44"/>
      <c r="P359" s="43"/>
    </row>
    <row r="360" spans="1:16" x14ac:dyDescent="0.2">
      <c r="A360" s="43"/>
      <c r="D360" s="43"/>
      <c r="E360" s="69"/>
      <c r="F360" s="43"/>
      <c r="G360" s="43"/>
      <c r="H360" s="43"/>
      <c r="I360" s="43"/>
      <c r="J360" s="43"/>
      <c r="K360" s="43"/>
      <c r="L360" s="44"/>
      <c r="M360" s="44"/>
      <c r="N360" s="44"/>
      <c r="O360" s="44"/>
      <c r="P360" s="43"/>
    </row>
    <row r="361" spans="1:16" x14ac:dyDescent="0.2">
      <c r="A361" s="43"/>
      <c r="D361" s="43"/>
      <c r="E361" s="69"/>
      <c r="F361" s="43"/>
      <c r="G361" s="43"/>
      <c r="H361" s="43"/>
      <c r="I361" s="43"/>
      <c r="J361" s="43"/>
      <c r="K361" s="43"/>
      <c r="L361" s="44"/>
      <c r="M361" s="44"/>
      <c r="N361" s="44"/>
      <c r="O361" s="44"/>
      <c r="P361" s="43"/>
    </row>
    <row r="362" spans="1:16" x14ac:dyDescent="0.2">
      <c r="A362" s="43"/>
      <c r="D362" s="43"/>
      <c r="E362" s="69"/>
      <c r="F362" s="43"/>
      <c r="G362" s="43"/>
      <c r="H362" s="43"/>
      <c r="I362" s="43"/>
      <c r="J362" s="43"/>
      <c r="K362" s="43"/>
      <c r="L362" s="44"/>
      <c r="M362" s="44"/>
      <c r="N362" s="44"/>
      <c r="O362" s="44"/>
      <c r="P362" s="43"/>
    </row>
    <row r="363" spans="1:16" x14ac:dyDescent="0.2">
      <c r="A363" s="43"/>
      <c r="D363" s="43"/>
      <c r="E363" s="69"/>
      <c r="F363" s="43"/>
      <c r="G363" s="43"/>
      <c r="H363" s="43"/>
      <c r="I363" s="43"/>
      <c r="J363" s="43"/>
      <c r="K363" s="43"/>
      <c r="L363" s="44"/>
      <c r="M363" s="44"/>
      <c r="N363" s="44"/>
      <c r="O363" s="44"/>
      <c r="P363" s="43"/>
    </row>
    <row r="364" spans="1:16" x14ac:dyDescent="0.2">
      <c r="A364" s="43"/>
      <c r="D364" s="43"/>
      <c r="E364" s="69"/>
      <c r="F364" s="43"/>
      <c r="G364" s="43"/>
      <c r="H364" s="43"/>
      <c r="I364" s="43"/>
      <c r="J364" s="43"/>
      <c r="K364" s="43"/>
      <c r="L364" s="44"/>
      <c r="M364" s="44"/>
      <c r="N364" s="44"/>
      <c r="O364" s="44"/>
      <c r="P364" s="43"/>
    </row>
    <row r="365" spans="1:16" x14ac:dyDescent="0.2">
      <c r="A365" s="43"/>
      <c r="D365" s="43"/>
      <c r="E365" s="69"/>
      <c r="F365" s="43"/>
      <c r="G365" s="43"/>
      <c r="H365" s="43"/>
      <c r="I365" s="43"/>
      <c r="J365" s="43"/>
      <c r="K365" s="43"/>
      <c r="L365" s="44"/>
      <c r="M365" s="44"/>
      <c r="N365" s="44"/>
      <c r="O365" s="44"/>
      <c r="P365" s="43"/>
    </row>
    <row r="366" spans="1:16" x14ac:dyDescent="0.2">
      <c r="A366" s="43"/>
      <c r="D366" s="43"/>
      <c r="E366" s="69"/>
      <c r="F366" s="43"/>
      <c r="G366" s="43"/>
      <c r="H366" s="43"/>
      <c r="I366" s="43"/>
      <c r="J366" s="43"/>
      <c r="K366" s="43"/>
      <c r="L366" s="44"/>
      <c r="M366" s="44"/>
      <c r="N366" s="44"/>
      <c r="O366" s="44"/>
      <c r="P366" s="43"/>
    </row>
    <row r="367" spans="1:16" x14ac:dyDescent="0.2">
      <c r="A367" s="43"/>
      <c r="D367" s="43"/>
      <c r="E367" s="69"/>
      <c r="F367" s="43"/>
      <c r="G367" s="43"/>
      <c r="H367" s="43"/>
      <c r="I367" s="43"/>
      <c r="J367" s="43"/>
      <c r="K367" s="43"/>
      <c r="L367" s="44"/>
      <c r="M367" s="44"/>
      <c r="N367" s="44"/>
      <c r="O367" s="44"/>
      <c r="P367" s="43"/>
    </row>
    <row r="368" spans="1:16" x14ac:dyDescent="0.2">
      <c r="A368" s="43"/>
      <c r="D368" s="43"/>
      <c r="E368" s="69"/>
      <c r="F368" s="43"/>
      <c r="G368" s="43"/>
      <c r="H368" s="43"/>
      <c r="I368" s="43"/>
      <c r="J368" s="43"/>
      <c r="K368" s="43"/>
      <c r="L368" s="44"/>
      <c r="M368" s="44"/>
      <c r="N368" s="44"/>
      <c r="O368" s="44"/>
      <c r="P368" s="43"/>
    </row>
    <row r="369" spans="1:16" x14ac:dyDescent="0.2">
      <c r="A369" s="43"/>
      <c r="D369" s="43"/>
      <c r="E369" s="69"/>
      <c r="F369" s="43"/>
      <c r="G369" s="43"/>
      <c r="H369" s="43"/>
      <c r="I369" s="43"/>
      <c r="J369" s="43"/>
      <c r="K369" s="43"/>
      <c r="L369" s="44"/>
      <c r="M369" s="44"/>
      <c r="N369" s="44"/>
      <c r="O369" s="44"/>
      <c r="P369" s="43"/>
    </row>
    <row r="370" spans="1:16" x14ac:dyDescent="0.2">
      <c r="A370" s="43"/>
      <c r="D370" s="43"/>
      <c r="E370" s="69"/>
      <c r="F370" s="43"/>
      <c r="G370" s="43"/>
      <c r="H370" s="43"/>
      <c r="I370" s="43"/>
      <c r="J370" s="43"/>
      <c r="K370" s="43"/>
      <c r="L370" s="44"/>
      <c r="M370" s="44"/>
      <c r="N370" s="44"/>
      <c r="O370" s="44"/>
      <c r="P370" s="43"/>
    </row>
    <row r="371" spans="1:16" x14ac:dyDescent="0.2">
      <c r="A371" s="43"/>
      <c r="D371" s="43"/>
      <c r="E371" s="69"/>
      <c r="F371" s="43"/>
      <c r="G371" s="43"/>
      <c r="H371" s="43"/>
      <c r="I371" s="43"/>
      <c r="J371" s="43"/>
      <c r="K371" s="43"/>
      <c r="L371" s="44"/>
      <c r="M371" s="44"/>
      <c r="N371" s="44"/>
      <c r="O371" s="44"/>
      <c r="P371" s="43"/>
    </row>
    <row r="372" spans="1:16" x14ac:dyDescent="0.2">
      <c r="A372" s="43"/>
      <c r="D372" s="43"/>
      <c r="E372" s="69"/>
      <c r="F372" s="43"/>
      <c r="G372" s="43"/>
      <c r="H372" s="43"/>
      <c r="I372" s="43"/>
      <c r="J372" s="43"/>
      <c r="K372" s="43"/>
      <c r="L372" s="44"/>
      <c r="M372" s="44"/>
      <c r="N372" s="44"/>
      <c r="O372" s="44"/>
      <c r="P372" s="43"/>
    </row>
    <row r="373" spans="1:16" x14ac:dyDescent="0.2">
      <c r="A373" s="43"/>
      <c r="D373" s="43"/>
      <c r="E373" s="69"/>
      <c r="F373" s="43"/>
      <c r="G373" s="43"/>
      <c r="H373" s="43"/>
      <c r="I373" s="43"/>
      <c r="J373" s="43"/>
      <c r="K373" s="43"/>
      <c r="L373" s="44"/>
      <c r="M373" s="44"/>
      <c r="N373" s="44"/>
      <c r="O373" s="44"/>
      <c r="P373" s="43"/>
    </row>
    <row r="374" spans="1:16" x14ac:dyDescent="0.2">
      <c r="A374" s="43"/>
      <c r="D374" s="43"/>
      <c r="E374" s="69"/>
      <c r="F374" s="43"/>
      <c r="G374" s="43"/>
      <c r="H374" s="43"/>
      <c r="I374" s="43"/>
      <c r="J374" s="43"/>
      <c r="K374" s="43"/>
      <c r="L374" s="44"/>
      <c r="M374" s="44"/>
      <c r="N374" s="44"/>
      <c r="O374" s="44"/>
      <c r="P374" s="43"/>
    </row>
    <row r="375" spans="1:16" x14ac:dyDescent="0.2">
      <c r="A375" s="43"/>
      <c r="D375" s="43"/>
      <c r="E375" s="69"/>
      <c r="F375" s="43"/>
      <c r="G375" s="43"/>
      <c r="H375" s="43"/>
      <c r="I375" s="43"/>
      <c r="J375" s="43"/>
      <c r="K375" s="43"/>
      <c r="L375" s="44"/>
      <c r="M375" s="44"/>
      <c r="N375" s="44"/>
      <c r="O375" s="44"/>
      <c r="P375" s="43"/>
    </row>
    <row r="376" spans="1:16" x14ac:dyDescent="0.2">
      <c r="A376" s="43"/>
      <c r="D376" s="43"/>
      <c r="E376" s="69"/>
      <c r="F376" s="43"/>
      <c r="G376" s="43"/>
      <c r="H376" s="43"/>
      <c r="I376" s="43"/>
      <c r="J376" s="43"/>
      <c r="K376" s="43"/>
      <c r="L376" s="44"/>
      <c r="M376" s="44"/>
      <c r="N376" s="44"/>
      <c r="O376" s="44"/>
      <c r="P376" s="43"/>
    </row>
    <row r="377" spans="1:16" x14ac:dyDescent="0.2">
      <c r="A377" s="43"/>
      <c r="D377" s="43"/>
      <c r="E377" s="69"/>
      <c r="F377" s="43"/>
      <c r="G377" s="43"/>
      <c r="H377" s="43"/>
      <c r="I377" s="43"/>
      <c r="J377" s="43"/>
      <c r="K377" s="43"/>
      <c r="L377" s="44"/>
      <c r="M377" s="44"/>
      <c r="N377" s="44"/>
      <c r="O377" s="44"/>
      <c r="P377" s="43"/>
    </row>
    <row r="378" spans="1:16" x14ac:dyDescent="0.2">
      <c r="A378" s="43"/>
      <c r="D378" s="43"/>
      <c r="E378" s="69"/>
      <c r="F378" s="43"/>
      <c r="G378" s="43"/>
      <c r="H378" s="43"/>
      <c r="I378" s="43"/>
      <c r="J378" s="43"/>
      <c r="K378" s="43"/>
      <c r="L378" s="44"/>
      <c r="M378" s="44"/>
      <c r="N378" s="44"/>
      <c r="O378" s="44"/>
      <c r="P378" s="43"/>
    </row>
    <row r="379" spans="1:16" x14ac:dyDescent="0.2">
      <c r="A379" s="43"/>
      <c r="D379" s="43"/>
      <c r="E379" s="69"/>
      <c r="F379" s="43"/>
      <c r="G379" s="43"/>
      <c r="H379" s="43"/>
      <c r="I379" s="43"/>
      <c r="J379" s="43"/>
      <c r="K379" s="43"/>
      <c r="L379" s="44"/>
      <c r="M379" s="44"/>
      <c r="N379" s="44"/>
      <c r="O379" s="44"/>
      <c r="P379" s="43"/>
    </row>
    <row r="380" spans="1:16" x14ac:dyDescent="0.2">
      <c r="A380" s="43"/>
      <c r="D380" s="43"/>
      <c r="E380" s="69"/>
      <c r="F380" s="43"/>
      <c r="G380" s="43"/>
      <c r="H380" s="43"/>
      <c r="I380" s="43"/>
      <c r="J380" s="43"/>
      <c r="K380" s="43"/>
      <c r="L380" s="44"/>
      <c r="M380" s="44"/>
      <c r="N380" s="44"/>
      <c r="O380" s="44"/>
      <c r="P380" s="43"/>
    </row>
    <row r="381" spans="1:16" x14ac:dyDescent="0.2">
      <c r="A381" s="43"/>
      <c r="D381" s="43"/>
      <c r="E381" s="69"/>
      <c r="F381" s="43"/>
      <c r="G381" s="43"/>
      <c r="H381" s="43"/>
      <c r="I381" s="43"/>
      <c r="J381" s="43"/>
      <c r="K381" s="43"/>
      <c r="L381" s="44"/>
      <c r="M381" s="44"/>
      <c r="N381" s="44"/>
      <c r="O381" s="44"/>
      <c r="P381" s="43"/>
    </row>
    <row r="382" spans="1:16" x14ac:dyDescent="0.2">
      <c r="A382" s="43"/>
      <c r="D382" s="43"/>
      <c r="E382" s="69"/>
      <c r="F382" s="43"/>
      <c r="G382" s="43"/>
      <c r="H382" s="43"/>
      <c r="I382" s="43"/>
      <c r="J382" s="43"/>
      <c r="K382" s="43"/>
      <c r="L382" s="44"/>
      <c r="M382" s="44"/>
      <c r="N382" s="44"/>
      <c r="O382" s="44"/>
      <c r="P382" s="43"/>
    </row>
    <row r="383" spans="1:16" x14ac:dyDescent="0.2">
      <c r="A383" s="43"/>
      <c r="D383" s="43"/>
      <c r="E383" s="69"/>
      <c r="F383" s="43"/>
      <c r="G383" s="43"/>
      <c r="H383" s="43"/>
      <c r="I383" s="43"/>
      <c r="J383" s="43"/>
      <c r="K383" s="43"/>
      <c r="L383" s="44"/>
      <c r="M383" s="44"/>
      <c r="N383" s="44"/>
      <c r="O383" s="44"/>
      <c r="P383" s="43"/>
    </row>
    <row r="384" spans="1:16" x14ac:dyDescent="0.2">
      <c r="A384" s="43"/>
      <c r="D384" s="43"/>
      <c r="E384" s="69"/>
      <c r="F384" s="43"/>
      <c r="G384" s="43"/>
      <c r="H384" s="43"/>
      <c r="I384" s="43"/>
      <c r="J384" s="43"/>
      <c r="K384" s="43"/>
      <c r="L384" s="44"/>
      <c r="M384" s="44"/>
      <c r="N384" s="44"/>
      <c r="O384" s="44"/>
      <c r="P384" s="43"/>
    </row>
    <row r="385" spans="1:16" x14ac:dyDescent="0.2">
      <c r="A385" s="43"/>
      <c r="D385" s="43"/>
      <c r="E385" s="69"/>
      <c r="F385" s="43"/>
      <c r="G385" s="43"/>
      <c r="H385" s="43"/>
      <c r="I385" s="43"/>
      <c r="J385" s="43"/>
      <c r="K385" s="43"/>
      <c r="L385" s="44"/>
      <c r="M385" s="44"/>
      <c r="N385" s="44"/>
      <c r="O385" s="44"/>
      <c r="P385" s="43"/>
    </row>
    <row r="386" spans="1:16" x14ac:dyDescent="0.2">
      <c r="A386" s="43"/>
      <c r="D386" s="43"/>
      <c r="E386" s="69"/>
      <c r="F386" s="43"/>
      <c r="G386" s="43"/>
      <c r="H386" s="43"/>
      <c r="I386" s="43"/>
      <c r="J386" s="43"/>
      <c r="K386" s="43"/>
      <c r="L386" s="44"/>
      <c r="M386" s="44"/>
      <c r="N386" s="44"/>
      <c r="O386" s="44"/>
      <c r="P386" s="43"/>
    </row>
    <row r="387" spans="1:16" x14ac:dyDescent="0.2">
      <c r="A387" s="43"/>
      <c r="D387" s="43"/>
      <c r="E387" s="69"/>
      <c r="F387" s="43"/>
      <c r="G387" s="43"/>
      <c r="H387" s="43"/>
      <c r="I387" s="43"/>
      <c r="J387" s="43"/>
      <c r="K387" s="43"/>
      <c r="L387" s="44"/>
      <c r="M387" s="44"/>
      <c r="N387" s="44"/>
      <c r="O387" s="44"/>
      <c r="P387" s="43"/>
    </row>
    <row r="388" spans="1:16" x14ac:dyDescent="0.2">
      <c r="A388" s="43"/>
      <c r="D388" s="43"/>
      <c r="E388" s="69"/>
      <c r="F388" s="43"/>
      <c r="G388" s="43"/>
      <c r="H388" s="43"/>
      <c r="I388" s="43"/>
      <c r="J388" s="43"/>
      <c r="K388" s="43"/>
      <c r="L388" s="44"/>
      <c r="M388" s="44"/>
      <c r="N388" s="44"/>
      <c r="O388" s="44"/>
      <c r="P388" s="43"/>
    </row>
    <row r="389" spans="1:16" x14ac:dyDescent="0.2">
      <c r="A389" s="43"/>
      <c r="B389" s="43"/>
      <c r="C389" s="43"/>
      <c r="D389" s="43"/>
      <c r="E389" s="69"/>
      <c r="F389" s="43"/>
      <c r="G389" s="43"/>
      <c r="H389" s="43"/>
      <c r="I389" s="43"/>
      <c r="J389" s="43"/>
      <c r="K389" s="43"/>
      <c r="L389" s="44"/>
      <c r="M389" s="44"/>
      <c r="N389" s="44"/>
      <c r="O389" s="44"/>
      <c r="P389" s="43"/>
    </row>
    <row r="390" spans="1:16" x14ac:dyDescent="0.2">
      <c r="A390" s="43"/>
      <c r="B390" s="43"/>
      <c r="C390" s="43"/>
      <c r="D390" s="43"/>
      <c r="E390" s="69"/>
      <c r="F390" s="43"/>
      <c r="G390" s="43"/>
      <c r="H390" s="43"/>
      <c r="I390" s="43"/>
      <c r="J390" s="43"/>
      <c r="K390" s="43"/>
      <c r="L390" s="44"/>
      <c r="M390" s="44"/>
      <c r="N390" s="44"/>
      <c r="O390" s="44"/>
      <c r="P390" s="43"/>
    </row>
    <row r="391" spans="1:16" x14ac:dyDescent="0.2">
      <c r="A391" s="43"/>
      <c r="B391" s="43"/>
      <c r="C391" s="43"/>
      <c r="D391" s="43"/>
      <c r="E391" s="69"/>
      <c r="F391" s="43"/>
      <c r="G391" s="43"/>
      <c r="H391" s="43"/>
      <c r="I391" s="43"/>
      <c r="J391" s="43"/>
      <c r="K391" s="43"/>
      <c r="L391" s="44"/>
      <c r="M391" s="44"/>
      <c r="N391" s="44"/>
      <c r="O391" s="44"/>
      <c r="P391" s="43"/>
    </row>
    <row r="392" spans="1:16" x14ac:dyDescent="0.2">
      <c r="A392" s="43"/>
      <c r="B392" s="43"/>
      <c r="C392" s="43"/>
      <c r="D392" s="43"/>
      <c r="E392" s="69"/>
      <c r="F392" s="43"/>
      <c r="G392" s="43"/>
      <c r="H392" s="43"/>
      <c r="I392" s="43"/>
      <c r="J392" s="43"/>
      <c r="K392" s="43"/>
      <c r="L392" s="44"/>
      <c r="M392" s="44"/>
      <c r="N392" s="44"/>
      <c r="O392" s="44"/>
      <c r="P392" s="43"/>
    </row>
    <row r="393" spans="1:16" x14ac:dyDescent="0.2">
      <c r="A393" s="43"/>
      <c r="B393" s="43"/>
      <c r="C393" s="43"/>
      <c r="D393" s="43"/>
      <c r="E393" s="69"/>
      <c r="F393" s="43"/>
      <c r="G393" s="43"/>
      <c r="H393" s="43"/>
      <c r="I393" s="43"/>
      <c r="J393" s="43"/>
      <c r="K393" s="43"/>
      <c r="L393" s="44"/>
      <c r="M393" s="44"/>
      <c r="N393" s="44"/>
      <c r="O393" s="44"/>
      <c r="P393" s="43"/>
    </row>
    <row r="394" spans="1:16" x14ac:dyDescent="0.2">
      <c r="A394" s="43"/>
      <c r="B394" s="43"/>
      <c r="C394" s="43"/>
      <c r="D394" s="43"/>
      <c r="E394" s="69"/>
      <c r="F394" s="43"/>
      <c r="G394" s="43"/>
      <c r="H394" s="43"/>
      <c r="I394" s="43"/>
      <c r="J394" s="43"/>
      <c r="K394" s="43"/>
      <c r="L394" s="44"/>
      <c r="M394" s="44"/>
      <c r="N394" s="44"/>
      <c r="O394" s="44"/>
      <c r="P394" s="43"/>
    </row>
    <row r="395" spans="1:16" x14ac:dyDescent="0.2">
      <c r="A395" s="43"/>
      <c r="B395" s="43"/>
      <c r="C395" s="43"/>
      <c r="D395" s="43"/>
      <c r="E395" s="69"/>
      <c r="F395" s="43"/>
      <c r="G395" s="43"/>
      <c r="H395" s="43"/>
      <c r="I395" s="43"/>
      <c r="J395" s="43"/>
      <c r="K395" s="43"/>
      <c r="L395" s="44"/>
      <c r="M395" s="44"/>
      <c r="N395" s="44"/>
      <c r="O395" s="44"/>
      <c r="P395" s="43"/>
    </row>
    <row r="396" spans="1:16" x14ac:dyDescent="0.2">
      <c r="A396" s="43"/>
      <c r="B396" s="43"/>
      <c r="C396" s="43"/>
      <c r="D396" s="43"/>
      <c r="E396" s="69"/>
      <c r="F396" s="43"/>
      <c r="G396" s="43"/>
      <c r="H396" s="43"/>
      <c r="I396" s="43"/>
      <c r="J396" s="43"/>
      <c r="K396" s="43"/>
      <c r="L396" s="44"/>
      <c r="M396" s="44"/>
      <c r="N396" s="44"/>
      <c r="O396" s="44"/>
      <c r="P396" s="43"/>
    </row>
    <row r="397" spans="1:16" x14ac:dyDescent="0.2">
      <c r="A397" s="43"/>
      <c r="B397" s="43"/>
      <c r="C397" s="43"/>
      <c r="D397" s="43"/>
      <c r="E397" s="69"/>
      <c r="F397" s="43"/>
      <c r="G397" s="43"/>
      <c r="H397" s="43"/>
      <c r="I397" s="43"/>
      <c r="J397" s="43"/>
      <c r="K397" s="43"/>
      <c r="L397" s="44"/>
      <c r="M397" s="44"/>
      <c r="N397" s="44"/>
      <c r="O397" s="44"/>
      <c r="P397" s="43"/>
    </row>
    <row r="398" spans="1:16" x14ac:dyDescent="0.2">
      <c r="A398" s="43"/>
      <c r="B398" s="43"/>
      <c r="C398" s="43"/>
      <c r="D398" s="43"/>
      <c r="E398" s="69"/>
      <c r="F398" s="43"/>
      <c r="G398" s="43"/>
      <c r="H398" s="43"/>
      <c r="I398" s="43"/>
      <c r="J398" s="43"/>
      <c r="K398" s="43"/>
      <c r="L398" s="44"/>
      <c r="M398" s="44"/>
      <c r="N398" s="44"/>
      <c r="O398" s="44"/>
      <c r="P398" s="43"/>
    </row>
    <row r="399" spans="1:16" x14ac:dyDescent="0.2">
      <c r="A399" s="43"/>
      <c r="B399" s="43"/>
      <c r="C399" s="43"/>
      <c r="D399" s="43"/>
      <c r="E399" s="69"/>
      <c r="F399" s="43"/>
      <c r="G399" s="43"/>
      <c r="H399" s="43"/>
      <c r="I399" s="43"/>
      <c r="J399" s="43"/>
      <c r="K399" s="43"/>
      <c r="L399" s="44"/>
      <c r="M399" s="44"/>
      <c r="N399" s="44"/>
      <c r="O399" s="44"/>
      <c r="P399" s="43"/>
    </row>
    <row r="400" spans="1:16" x14ac:dyDescent="0.2">
      <c r="A400" s="43"/>
      <c r="B400" s="43"/>
      <c r="C400" s="43"/>
      <c r="D400" s="43"/>
      <c r="E400" s="69"/>
      <c r="F400" s="43"/>
      <c r="G400" s="43"/>
      <c r="H400" s="43"/>
      <c r="I400" s="43"/>
      <c r="J400" s="43"/>
      <c r="K400" s="43"/>
      <c r="L400" s="44"/>
      <c r="M400" s="44"/>
      <c r="N400" s="44"/>
      <c r="O400" s="44"/>
      <c r="P400" s="43"/>
    </row>
    <row r="401" spans="1:16" x14ac:dyDescent="0.2">
      <c r="A401" s="43"/>
      <c r="B401" s="43"/>
      <c r="C401" s="43"/>
      <c r="D401" s="43"/>
      <c r="E401" s="69"/>
      <c r="F401" s="43"/>
      <c r="G401" s="43"/>
      <c r="H401" s="43"/>
      <c r="I401" s="43"/>
      <c r="J401" s="43"/>
      <c r="K401" s="43"/>
      <c r="L401" s="44"/>
      <c r="M401" s="44"/>
      <c r="N401" s="44"/>
      <c r="O401" s="44"/>
      <c r="P401" s="43"/>
    </row>
    <row r="402" spans="1:16" x14ac:dyDescent="0.2">
      <c r="A402" s="43"/>
      <c r="B402" s="43"/>
      <c r="C402" s="43"/>
      <c r="D402" s="43"/>
      <c r="E402" s="69"/>
      <c r="F402" s="43"/>
      <c r="G402" s="43"/>
      <c r="H402" s="43"/>
      <c r="I402" s="43"/>
      <c r="J402" s="43"/>
      <c r="K402" s="43"/>
      <c r="L402" s="44"/>
      <c r="M402" s="44"/>
      <c r="N402" s="44"/>
      <c r="O402" s="44"/>
      <c r="P402" s="43"/>
    </row>
    <row r="403" spans="1:16" x14ac:dyDescent="0.2">
      <c r="A403" s="43"/>
      <c r="B403" s="43"/>
      <c r="C403" s="43"/>
      <c r="D403" s="43"/>
      <c r="E403" s="69"/>
      <c r="F403" s="43"/>
      <c r="G403" s="43"/>
      <c r="H403" s="43"/>
      <c r="I403" s="43"/>
      <c r="J403" s="43"/>
      <c r="K403" s="43"/>
      <c r="L403" s="44"/>
      <c r="M403" s="44"/>
      <c r="N403" s="44"/>
      <c r="O403" s="44"/>
      <c r="P403" s="43"/>
    </row>
    <row r="404" spans="1:16" x14ac:dyDescent="0.2">
      <c r="A404" s="43"/>
      <c r="B404" s="43"/>
      <c r="C404" s="43"/>
      <c r="D404" s="43"/>
      <c r="E404" s="69"/>
      <c r="F404" s="43"/>
      <c r="G404" s="43"/>
      <c r="H404" s="43"/>
      <c r="I404" s="43"/>
      <c r="J404" s="43"/>
      <c r="K404" s="43"/>
      <c r="L404" s="44"/>
      <c r="M404" s="44"/>
      <c r="N404" s="44"/>
      <c r="O404" s="44"/>
      <c r="P404" s="43"/>
    </row>
    <row r="405" spans="1:16" x14ac:dyDescent="0.2">
      <c r="A405" s="43"/>
      <c r="B405" s="43"/>
      <c r="C405" s="43"/>
      <c r="D405" s="43"/>
      <c r="E405" s="69"/>
      <c r="F405" s="43"/>
      <c r="G405" s="43"/>
      <c r="H405" s="43"/>
      <c r="I405" s="43"/>
      <c r="J405" s="43"/>
      <c r="K405" s="43"/>
      <c r="L405" s="44"/>
      <c r="M405" s="44"/>
      <c r="N405" s="44"/>
      <c r="O405" s="44"/>
      <c r="P405" s="43"/>
    </row>
    <row r="406" spans="1:16" x14ac:dyDescent="0.2">
      <c r="A406" s="43"/>
      <c r="B406" s="43"/>
      <c r="C406" s="43"/>
      <c r="D406" s="43"/>
      <c r="E406" s="69"/>
      <c r="F406" s="43"/>
      <c r="G406" s="43"/>
      <c r="H406" s="43"/>
      <c r="I406" s="43"/>
      <c r="J406" s="43"/>
      <c r="K406" s="43"/>
      <c r="L406" s="44"/>
      <c r="M406" s="44"/>
      <c r="N406" s="44"/>
      <c r="O406" s="44"/>
      <c r="P406" s="43"/>
    </row>
    <row r="407" spans="1:16" x14ac:dyDescent="0.2">
      <c r="A407" s="43"/>
      <c r="B407" s="43"/>
      <c r="C407" s="43"/>
      <c r="D407" s="43"/>
      <c r="E407" s="69"/>
      <c r="F407" s="43"/>
      <c r="G407" s="43"/>
      <c r="H407" s="43"/>
      <c r="I407" s="43"/>
      <c r="J407" s="43"/>
      <c r="K407" s="43"/>
      <c r="L407" s="44"/>
      <c r="M407" s="44"/>
      <c r="N407" s="44"/>
      <c r="O407" s="44"/>
      <c r="P407" s="43"/>
    </row>
    <row r="408" spans="1:16" x14ac:dyDescent="0.2">
      <c r="A408" s="43"/>
      <c r="B408" s="43"/>
      <c r="C408" s="43"/>
      <c r="D408" s="43"/>
      <c r="E408" s="69"/>
      <c r="F408" s="43"/>
      <c r="G408" s="43"/>
      <c r="H408" s="43"/>
      <c r="I408" s="43"/>
      <c r="J408" s="43"/>
      <c r="K408" s="43"/>
      <c r="L408" s="44"/>
      <c r="M408" s="44"/>
      <c r="N408" s="44"/>
      <c r="O408" s="44"/>
      <c r="P408" s="43"/>
    </row>
    <row r="409" spans="1:16" x14ac:dyDescent="0.2">
      <c r="A409" s="43"/>
      <c r="B409" s="43"/>
      <c r="C409" s="43"/>
      <c r="D409" s="43"/>
      <c r="E409" s="69"/>
      <c r="F409" s="43"/>
      <c r="G409" s="43"/>
      <c r="H409" s="43"/>
      <c r="I409" s="43"/>
      <c r="J409" s="43"/>
      <c r="K409" s="43"/>
      <c r="L409" s="44"/>
      <c r="M409" s="44"/>
      <c r="N409" s="44"/>
      <c r="O409" s="44"/>
      <c r="P409" s="43"/>
    </row>
    <row r="410" spans="1:16" x14ac:dyDescent="0.2">
      <c r="A410" s="43"/>
      <c r="B410" s="43"/>
      <c r="C410" s="43"/>
      <c r="D410" s="43"/>
      <c r="E410" s="69"/>
      <c r="F410" s="43"/>
      <c r="G410" s="43"/>
      <c r="H410" s="43"/>
      <c r="I410" s="43"/>
      <c r="J410" s="43"/>
      <c r="K410" s="43"/>
      <c r="L410" s="44"/>
      <c r="M410" s="44"/>
      <c r="N410" s="44"/>
      <c r="O410" s="44"/>
      <c r="P410" s="43"/>
    </row>
    <row r="411" spans="1:16" x14ac:dyDescent="0.2">
      <c r="A411" s="43"/>
      <c r="B411" s="43"/>
      <c r="C411" s="43"/>
      <c r="D411" s="43"/>
      <c r="E411" s="69"/>
      <c r="F411" s="43"/>
      <c r="G411" s="43"/>
      <c r="H411" s="43"/>
      <c r="I411" s="43"/>
      <c r="J411" s="43"/>
      <c r="K411" s="43"/>
      <c r="L411" s="44"/>
      <c r="M411" s="44"/>
      <c r="N411" s="44"/>
      <c r="O411" s="44"/>
      <c r="P411" s="43"/>
    </row>
    <row r="412" spans="1:16" x14ac:dyDescent="0.2">
      <c r="A412" s="43"/>
      <c r="B412" s="43"/>
      <c r="C412" s="43"/>
      <c r="D412" s="43"/>
      <c r="E412" s="69"/>
      <c r="F412" s="43"/>
      <c r="G412" s="43"/>
      <c r="H412" s="43"/>
      <c r="I412" s="43"/>
      <c r="J412" s="43"/>
      <c r="K412" s="43"/>
      <c r="L412" s="44"/>
      <c r="M412" s="44"/>
      <c r="N412" s="44"/>
      <c r="O412" s="44"/>
      <c r="P412" s="43"/>
    </row>
    <row r="413" spans="1:16" x14ac:dyDescent="0.2">
      <c r="A413" s="43"/>
      <c r="B413" s="43"/>
      <c r="C413" s="43"/>
      <c r="D413" s="43"/>
      <c r="E413" s="69"/>
      <c r="F413" s="43"/>
      <c r="G413" s="43"/>
      <c r="H413" s="43"/>
      <c r="I413" s="43"/>
      <c r="J413" s="43"/>
      <c r="K413" s="43"/>
      <c r="L413" s="44"/>
      <c r="M413" s="44"/>
      <c r="N413" s="44"/>
      <c r="O413" s="44"/>
      <c r="P413" s="43"/>
    </row>
    <row r="414" spans="1:16" x14ac:dyDescent="0.2">
      <c r="A414" s="43"/>
      <c r="B414" s="43"/>
      <c r="C414" s="43"/>
      <c r="D414" s="43"/>
      <c r="E414" s="69"/>
      <c r="F414" s="43"/>
      <c r="G414" s="43"/>
      <c r="H414" s="43"/>
      <c r="I414" s="43"/>
      <c r="J414" s="43"/>
      <c r="K414" s="43"/>
      <c r="L414" s="44"/>
      <c r="M414" s="44"/>
      <c r="N414" s="44"/>
      <c r="O414" s="44"/>
      <c r="P414" s="43"/>
    </row>
    <row r="415" spans="1:16" x14ac:dyDescent="0.2">
      <c r="A415" s="43"/>
      <c r="B415" s="43"/>
      <c r="C415" s="43"/>
      <c r="D415" s="43"/>
      <c r="E415" s="69"/>
      <c r="F415" s="43"/>
      <c r="G415" s="43"/>
      <c r="H415" s="43"/>
      <c r="I415" s="43"/>
      <c r="J415" s="43"/>
      <c r="K415" s="43"/>
      <c r="L415" s="44"/>
      <c r="M415" s="44"/>
      <c r="N415" s="44"/>
      <c r="O415" s="44"/>
      <c r="P415" s="43"/>
    </row>
    <row r="416" spans="1:16" x14ac:dyDescent="0.2">
      <c r="A416" s="43"/>
      <c r="B416" s="43"/>
      <c r="C416" s="43"/>
      <c r="D416" s="43"/>
      <c r="E416" s="69"/>
      <c r="F416" s="43"/>
      <c r="G416" s="43"/>
      <c r="H416" s="43"/>
      <c r="I416" s="43"/>
      <c r="J416" s="43"/>
      <c r="K416" s="43"/>
      <c r="L416" s="44"/>
      <c r="M416" s="44"/>
      <c r="N416" s="44"/>
      <c r="O416" s="44"/>
      <c r="P416" s="43"/>
    </row>
    <row r="417" spans="1:16" x14ac:dyDescent="0.2">
      <c r="A417" s="43"/>
      <c r="B417" s="43"/>
      <c r="C417" s="43"/>
      <c r="D417" s="43"/>
      <c r="E417" s="69"/>
      <c r="F417" s="43"/>
      <c r="G417" s="43"/>
      <c r="H417" s="43"/>
      <c r="I417" s="43"/>
      <c r="J417" s="43"/>
      <c r="K417" s="43"/>
      <c r="L417" s="44"/>
      <c r="M417" s="44"/>
      <c r="N417" s="44"/>
      <c r="O417" s="44"/>
      <c r="P417" s="43"/>
    </row>
    <row r="418" spans="1:16" x14ac:dyDescent="0.2">
      <c r="A418" s="43"/>
      <c r="B418" s="43"/>
      <c r="C418" s="43"/>
      <c r="D418" s="43"/>
      <c r="E418" s="69"/>
      <c r="F418" s="43"/>
      <c r="G418" s="43"/>
      <c r="H418" s="43"/>
      <c r="I418" s="43"/>
      <c r="J418" s="43"/>
      <c r="K418" s="43"/>
      <c r="L418" s="44"/>
      <c r="M418" s="44"/>
      <c r="N418" s="44"/>
      <c r="O418" s="44"/>
      <c r="P418" s="43"/>
    </row>
    <row r="419" spans="1:16" x14ac:dyDescent="0.2">
      <c r="A419" s="43"/>
      <c r="B419" s="43"/>
      <c r="C419" s="43"/>
      <c r="D419" s="43"/>
      <c r="E419" s="69"/>
      <c r="F419" s="43"/>
      <c r="G419" s="43"/>
      <c r="H419" s="43"/>
      <c r="I419" s="43"/>
      <c r="J419" s="43"/>
      <c r="K419" s="43"/>
      <c r="L419" s="44"/>
      <c r="M419" s="44"/>
      <c r="N419" s="44"/>
      <c r="O419" s="44"/>
      <c r="P419" s="43"/>
    </row>
    <row r="420" spans="1:16" x14ac:dyDescent="0.2">
      <c r="A420" s="43"/>
      <c r="B420" s="43"/>
      <c r="C420" s="43"/>
      <c r="D420" s="43"/>
      <c r="E420" s="69"/>
      <c r="F420" s="43"/>
      <c r="G420" s="43"/>
      <c r="H420" s="43"/>
      <c r="I420" s="43"/>
      <c r="J420" s="43"/>
      <c r="K420" s="43"/>
      <c r="L420" s="44"/>
      <c r="M420" s="44"/>
      <c r="N420" s="44"/>
      <c r="O420" s="44"/>
      <c r="P420" s="43"/>
    </row>
    <row r="421" spans="1:16" x14ac:dyDescent="0.2">
      <c r="A421" s="43"/>
      <c r="B421" s="43"/>
      <c r="C421" s="43"/>
      <c r="D421" s="43"/>
      <c r="E421" s="69"/>
      <c r="F421" s="43"/>
      <c r="G421" s="43"/>
      <c r="H421" s="43"/>
      <c r="I421" s="43"/>
      <c r="J421" s="43"/>
      <c r="K421" s="43"/>
      <c r="L421" s="44"/>
      <c r="M421" s="44"/>
      <c r="N421" s="44"/>
      <c r="O421" s="44"/>
      <c r="P421" s="43"/>
    </row>
    <row r="422" spans="1:16" x14ac:dyDescent="0.2">
      <c r="A422" s="43"/>
      <c r="B422" s="43"/>
      <c r="C422" s="43"/>
      <c r="D422" s="43"/>
      <c r="E422" s="69"/>
      <c r="F422" s="43"/>
      <c r="G422" s="43"/>
      <c r="H422" s="43"/>
      <c r="I422" s="43"/>
      <c r="J422" s="43"/>
      <c r="K422" s="43"/>
      <c r="L422" s="44"/>
      <c r="M422" s="44"/>
      <c r="N422" s="44"/>
      <c r="O422" s="44"/>
      <c r="P422" s="43"/>
    </row>
    <row r="423" spans="1:16" x14ac:dyDescent="0.2">
      <c r="A423" s="43"/>
      <c r="B423" s="43"/>
      <c r="C423" s="43"/>
      <c r="D423" s="43"/>
      <c r="E423" s="69"/>
      <c r="F423" s="43"/>
      <c r="G423" s="43"/>
      <c r="H423" s="43"/>
      <c r="I423" s="43"/>
      <c r="J423" s="43"/>
      <c r="K423" s="43"/>
      <c r="L423" s="44"/>
      <c r="M423" s="44"/>
      <c r="N423" s="44"/>
      <c r="O423" s="44"/>
      <c r="P423" s="43"/>
    </row>
    <row r="424" spans="1:16" x14ac:dyDescent="0.2">
      <c r="A424" s="43"/>
      <c r="B424" s="43"/>
      <c r="C424" s="43"/>
      <c r="D424" s="43"/>
      <c r="E424" s="69"/>
      <c r="F424" s="43"/>
      <c r="G424" s="43"/>
      <c r="H424" s="43"/>
      <c r="I424" s="43"/>
      <c r="J424" s="43"/>
      <c r="K424" s="43"/>
      <c r="L424" s="44"/>
      <c r="M424" s="44"/>
      <c r="N424" s="44"/>
      <c r="O424" s="44"/>
      <c r="P424" s="43"/>
    </row>
    <row r="425" spans="1:16" x14ac:dyDescent="0.2">
      <c r="A425" s="43"/>
      <c r="B425" s="43"/>
      <c r="C425" s="43"/>
      <c r="D425" s="43"/>
      <c r="E425" s="69"/>
      <c r="F425" s="43"/>
      <c r="G425" s="43"/>
      <c r="H425" s="43"/>
      <c r="I425" s="43"/>
      <c r="J425" s="43"/>
      <c r="K425" s="43"/>
      <c r="L425" s="44"/>
      <c r="M425" s="44"/>
      <c r="N425" s="44"/>
      <c r="O425" s="44"/>
      <c r="P425" s="43"/>
    </row>
    <row r="426" spans="1:16" x14ac:dyDescent="0.2">
      <c r="A426" s="43"/>
      <c r="B426" s="43"/>
      <c r="C426" s="43"/>
      <c r="D426" s="43"/>
      <c r="E426" s="69"/>
      <c r="F426" s="43"/>
      <c r="G426" s="43"/>
      <c r="H426" s="43"/>
      <c r="I426" s="43"/>
      <c r="J426" s="43"/>
      <c r="K426" s="43"/>
      <c r="L426" s="44"/>
      <c r="M426" s="44"/>
      <c r="N426" s="44"/>
      <c r="O426" s="44"/>
      <c r="P426" s="43"/>
    </row>
    <row r="427" spans="1:16" x14ac:dyDescent="0.2">
      <c r="A427" s="43"/>
      <c r="B427" s="43"/>
      <c r="C427" s="43"/>
      <c r="D427" s="43"/>
      <c r="E427" s="69"/>
      <c r="F427" s="43"/>
      <c r="G427" s="43"/>
      <c r="H427" s="43"/>
      <c r="I427" s="43"/>
      <c r="J427" s="43"/>
      <c r="K427" s="43"/>
      <c r="L427" s="44"/>
      <c r="M427" s="44"/>
      <c r="N427" s="44"/>
      <c r="O427" s="44"/>
      <c r="P427" s="43"/>
    </row>
    <row r="428" spans="1:16" x14ac:dyDescent="0.2">
      <c r="A428" s="43"/>
      <c r="B428" s="43"/>
      <c r="C428" s="43"/>
      <c r="D428" s="43"/>
      <c r="E428" s="69"/>
      <c r="F428" s="43"/>
      <c r="G428" s="43"/>
      <c r="H428" s="43"/>
      <c r="I428" s="43"/>
      <c r="J428" s="43"/>
      <c r="K428" s="43"/>
      <c r="L428" s="44"/>
      <c r="M428" s="44"/>
      <c r="N428" s="44"/>
      <c r="O428" s="44"/>
      <c r="P428" s="43"/>
    </row>
    <row r="429" spans="1:16" x14ac:dyDescent="0.2">
      <c r="A429" s="43"/>
      <c r="B429" s="43"/>
      <c r="C429" s="43"/>
      <c r="D429" s="43"/>
      <c r="E429" s="69"/>
      <c r="F429" s="43"/>
      <c r="G429" s="43"/>
      <c r="H429" s="43"/>
      <c r="I429" s="43"/>
      <c r="J429" s="43"/>
      <c r="K429" s="43"/>
      <c r="L429" s="44"/>
      <c r="M429" s="44"/>
      <c r="N429" s="44"/>
      <c r="O429" s="44"/>
      <c r="P429" s="43"/>
    </row>
    <row r="430" spans="1:16" x14ac:dyDescent="0.2">
      <c r="A430" s="43"/>
      <c r="B430" s="43"/>
      <c r="C430" s="43"/>
      <c r="D430" s="43"/>
      <c r="E430" s="69"/>
      <c r="F430" s="43"/>
      <c r="G430" s="43"/>
      <c r="H430" s="43"/>
      <c r="I430" s="43"/>
      <c r="J430" s="43"/>
      <c r="K430" s="43"/>
      <c r="L430" s="44"/>
      <c r="M430" s="44"/>
      <c r="N430" s="44"/>
      <c r="O430" s="44"/>
      <c r="P430" s="43"/>
    </row>
    <row r="431" spans="1:16" x14ac:dyDescent="0.2">
      <c r="A431" s="43"/>
      <c r="B431" s="43"/>
      <c r="C431" s="43"/>
      <c r="D431" s="43"/>
      <c r="E431" s="69"/>
      <c r="F431" s="43"/>
      <c r="G431" s="43"/>
      <c r="H431" s="43"/>
      <c r="I431" s="43"/>
      <c r="J431" s="43"/>
      <c r="K431" s="43"/>
      <c r="L431" s="44"/>
      <c r="M431" s="44"/>
      <c r="N431" s="44"/>
      <c r="O431" s="44"/>
      <c r="P431" s="43"/>
    </row>
    <row r="432" spans="1:16" x14ac:dyDescent="0.2">
      <c r="A432" s="43"/>
      <c r="B432" s="43"/>
      <c r="C432" s="43"/>
      <c r="D432" s="43"/>
      <c r="E432" s="69"/>
      <c r="F432" s="43"/>
      <c r="G432" s="43"/>
      <c r="H432" s="43"/>
      <c r="I432" s="43"/>
      <c r="J432" s="43"/>
      <c r="K432" s="43"/>
      <c r="L432" s="44"/>
      <c r="M432" s="44"/>
      <c r="N432" s="44"/>
      <c r="O432" s="44"/>
      <c r="P432" s="43"/>
    </row>
    <row r="433" spans="1:16" x14ac:dyDescent="0.2">
      <c r="A433" s="43"/>
      <c r="B433" s="43"/>
      <c r="C433" s="43"/>
      <c r="D433" s="43"/>
      <c r="E433" s="69"/>
      <c r="F433" s="43"/>
      <c r="G433" s="43"/>
      <c r="H433" s="43"/>
      <c r="I433" s="43"/>
      <c r="J433" s="43"/>
      <c r="K433" s="43"/>
      <c r="L433" s="44"/>
      <c r="M433" s="44"/>
      <c r="N433" s="44"/>
      <c r="O433" s="44"/>
      <c r="P433" s="43"/>
    </row>
    <row r="434" spans="1:16" x14ac:dyDescent="0.2">
      <c r="A434" s="43"/>
      <c r="B434" s="43"/>
      <c r="C434" s="43"/>
      <c r="D434" s="43"/>
      <c r="E434" s="69"/>
      <c r="F434" s="43"/>
      <c r="G434" s="43"/>
      <c r="H434" s="43"/>
      <c r="I434" s="43"/>
      <c r="J434" s="43"/>
      <c r="K434" s="43"/>
      <c r="L434" s="44"/>
      <c r="M434" s="44"/>
      <c r="N434" s="44"/>
      <c r="O434" s="44"/>
      <c r="P434" s="43"/>
    </row>
    <row r="435" spans="1:16" x14ac:dyDescent="0.2">
      <c r="A435" s="43"/>
      <c r="B435" s="43"/>
      <c r="C435" s="43"/>
      <c r="D435" s="43"/>
      <c r="E435" s="69"/>
      <c r="F435" s="43"/>
      <c r="G435" s="43"/>
      <c r="H435" s="43"/>
      <c r="I435" s="43"/>
      <c r="J435" s="43"/>
      <c r="K435" s="43"/>
      <c r="L435" s="44"/>
      <c r="M435" s="44"/>
      <c r="N435" s="44"/>
      <c r="O435" s="44"/>
      <c r="P435" s="43"/>
    </row>
    <row r="436" spans="1:16" x14ac:dyDescent="0.2">
      <c r="A436" s="43"/>
      <c r="B436" s="43"/>
      <c r="C436" s="43"/>
      <c r="D436" s="43"/>
      <c r="E436" s="69"/>
      <c r="F436" s="43"/>
      <c r="G436" s="43"/>
      <c r="H436" s="43"/>
      <c r="I436" s="43"/>
      <c r="J436" s="43"/>
      <c r="K436" s="43"/>
      <c r="L436" s="44"/>
      <c r="M436" s="44"/>
      <c r="N436" s="44"/>
      <c r="O436" s="44"/>
      <c r="P436" s="43"/>
    </row>
    <row r="437" spans="1:16" x14ac:dyDescent="0.2">
      <c r="A437" s="43"/>
      <c r="B437" s="43"/>
      <c r="C437" s="43"/>
      <c r="D437" s="43"/>
      <c r="E437" s="69"/>
      <c r="F437" s="43"/>
      <c r="G437" s="43"/>
      <c r="H437" s="43"/>
      <c r="I437" s="43"/>
      <c r="J437" s="43"/>
      <c r="K437" s="43"/>
      <c r="L437" s="44"/>
      <c r="M437" s="44"/>
      <c r="N437" s="44"/>
      <c r="O437" s="44"/>
      <c r="P437" s="43"/>
    </row>
    <row r="438" spans="1:16" x14ac:dyDescent="0.2">
      <c r="A438" s="43"/>
      <c r="B438" s="43"/>
      <c r="C438" s="43"/>
      <c r="D438" s="43"/>
      <c r="E438" s="69"/>
      <c r="F438" s="43"/>
      <c r="G438" s="43"/>
      <c r="H438" s="43"/>
      <c r="I438" s="43"/>
      <c r="J438" s="43"/>
      <c r="K438" s="43"/>
      <c r="L438" s="44"/>
      <c r="M438" s="44"/>
      <c r="N438" s="44"/>
      <c r="O438" s="44"/>
      <c r="P438" s="43"/>
    </row>
    <row r="439" spans="1:16" x14ac:dyDescent="0.2">
      <c r="A439" s="43"/>
      <c r="B439" s="43"/>
      <c r="C439" s="43"/>
      <c r="D439" s="43"/>
      <c r="E439" s="69"/>
      <c r="F439" s="43"/>
      <c r="G439" s="43"/>
      <c r="H439" s="43"/>
      <c r="I439" s="43"/>
      <c r="J439" s="43"/>
      <c r="K439" s="43"/>
      <c r="L439" s="44"/>
      <c r="M439" s="44"/>
      <c r="N439" s="44"/>
      <c r="O439" s="44"/>
      <c r="P439" s="43"/>
    </row>
    <row r="440" spans="1:16" x14ac:dyDescent="0.2">
      <c r="A440" s="43"/>
      <c r="B440" s="43"/>
      <c r="C440" s="43"/>
      <c r="D440" s="43"/>
      <c r="E440" s="69"/>
      <c r="F440" s="43"/>
      <c r="G440" s="43"/>
      <c r="H440" s="43"/>
      <c r="I440" s="43"/>
      <c r="J440" s="43"/>
      <c r="K440" s="43"/>
      <c r="L440" s="44"/>
      <c r="M440" s="44"/>
      <c r="N440" s="44"/>
      <c r="O440" s="44"/>
      <c r="P440" s="43"/>
    </row>
    <row r="441" spans="1:16" x14ac:dyDescent="0.2">
      <c r="A441" s="43"/>
      <c r="B441" s="43"/>
      <c r="C441" s="43"/>
      <c r="D441" s="43"/>
      <c r="E441" s="69"/>
      <c r="F441" s="43"/>
      <c r="G441" s="43"/>
      <c r="H441" s="43"/>
      <c r="I441" s="43"/>
      <c r="J441" s="43"/>
      <c r="K441" s="43"/>
      <c r="L441" s="44"/>
      <c r="M441" s="44"/>
      <c r="N441" s="44"/>
      <c r="O441" s="44"/>
      <c r="P441" s="43"/>
    </row>
    <row r="442" spans="1:16" x14ac:dyDescent="0.2">
      <c r="A442" s="43"/>
      <c r="B442" s="43"/>
      <c r="C442" s="43"/>
      <c r="D442" s="43"/>
      <c r="E442" s="69"/>
      <c r="F442" s="43"/>
      <c r="G442" s="43"/>
      <c r="H442" s="43"/>
      <c r="I442" s="43"/>
      <c r="J442" s="43"/>
      <c r="K442" s="43"/>
      <c r="L442" s="44"/>
      <c r="M442" s="44"/>
      <c r="N442" s="44"/>
      <c r="O442" s="44"/>
      <c r="P442" s="43"/>
    </row>
    <row r="443" spans="1:16" x14ac:dyDescent="0.2">
      <c r="A443" s="43"/>
      <c r="B443" s="43"/>
      <c r="C443" s="43"/>
      <c r="D443" s="43"/>
      <c r="E443" s="69"/>
      <c r="F443" s="43"/>
      <c r="G443" s="43"/>
      <c r="H443" s="43"/>
      <c r="I443" s="43"/>
      <c r="J443" s="43"/>
      <c r="K443" s="43"/>
      <c r="L443" s="44"/>
      <c r="M443" s="44"/>
      <c r="N443" s="44"/>
      <c r="O443" s="44"/>
      <c r="P443" s="43"/>
    </row>
    <row r="444" spans="1:16" x14ac:dyDescent="0.2">
      <c r="A444" s="43"/>
      <c r="B444" s="43"/>
      <c r="C444" s="43"/>
      <c r="D444" s="43"/>
      <c r="E444" s="69"/>
      <c r="F444" s="43"/>
      <c r="G444" s="43"/>
      <c r="H444" s="43"/>
      <c r="I444" s="43"/>
      <c r="J444" s="43"/>
      <c r="K444" s="43"/>
      <c r="L444" s="44"/>
      <c r="M444" s="44"/>
      <c r="N444" s="44"/>
      <c r="O444" s="44"/>
      <c r="P444" s="43"/>
    </row>
    <row r="445" spans="1:16" x14ac:dyDescent="0.2">
      <c r="A445" s="43"/>
      <c r="B445" s="43"/>
      <c r="C445" s="43"/>
      <c r="D445" s="43"/>
      <c r="E445" s="69"/>
      <c r="F445" s="43"/>
      <c r="G445" s="43"/>
      <c r="H445" s="43"/>
      <c r="I445" s="43"/>
      <c r="J445" s="43"/>
      <c r="K445" s="43"/>
      <c r="L445" s="44"/>
      <c r="M445" s="44"/>
      <c r="N445" s="44"/>
      <c r="O445" s="44"/>
      <c r="P445" s="43"/>
    </row>
    <row r="446" spans="1:16" x14ac:dyDescent="0.2">
      <c r="A446" s="43"/>
      <c r="B446" s="43"/>
      <c r="C446" s="43"/>
      <c r="D446" s="43"/>
      <c r="E446" s="69"/>
      <c r="F446" s="43"/>
      <c r="G446" s="43"/>
      <c r="H446" s="43"/>
      <c r="I446" s="43"/>
      <c r="J446" s="43"/>
      <c r="K446" s="43"/>
      <c r="L446" s="44"/>
      <c r="M446" s="44"/>
      <c r="N446" s="44"/>
      <c r="O446" s="44"/>
      <c r="P446" s="43"/>
    </row>
    <row r="447" spans="1:16" x14ac:dyDescent="0.2">
      <c r="A447" s="43"/>
      <c r="B447" s="43"/>
      <c r="C447" s="43"/>
      <c r="D447" s="43"/>
      <c r="E447" s="69"/>
      <c r="F447" s="43"/>
      <c r="G447" s="43"/>
      <c r="H447" s="43"/>
      <c r="I447" s="43"/>
      <c r="J447" s="43"/>
      <c r="K447" s="43"/>
      <c r="L447" s="44"/>
      <c r="M447" s="44"/>
      <c r="N447" s="44"/>
      <c r="O447" s="44"/>
      <c r="P447" s="43"/>
    </row>
    <row r="448" spans="1:16" x14ac:dyDescent="0.2">
      <c r="A448" s="43"/>
      <c r="B448" s="43"/>
      <c r="C448" s="43"/>
      <c r="D448" s="43"/>
      <c r="E448" s="69"/>
      <c r="F448" s="43"/>
      <c r="G448" s="43"/>
      <c r="H448" s="43"/>
      <c r="I448" s="43"/>
      <c r="J448" s="43"/>
      <c r="K448" s="43"/>
      <c r="L448" s="44"/>
      <c r="M448" s="44"/>
      <c r="N448" s="44"/>
      <c r="O448" s="44"/>
      <c r="P448" s="43"/>
    </row>
    <row r="449" spans="1:16" x14ac:dyDescent="0.2">
      <c r="A449" s="43"/>
      <c r="B449" s="43"/>
      <c r="C449" s="43"/>
      <c r="D449" s="43"/>
      <c r="E449" s="69"/>
      <c r="F449" s="43"/>
      <c r="G449" s="43"/>
      <c r="H449" s="43"/>
      <c r="I449" s="43"/>
      <c r="J449" s="43"/>
      <c r="K449" s="43"/>
      <c r="L449" s="44"/>
      <c r="M449" s="44"/>
      <c r="N449" s="44"/>
      <c r="O449" s="44"/>
      <c r="P449" s="43"/>
    </row>
    <row r="450" spans="1:16" x14ac:dyDescent="0.2">
      <c r="A450" s="43"/>
      <c r="B450" s="43"/>
      <c r="C450" s="43"/>
      <c r="D450" s="43"/>
      <c r="E450" s="69"/>
      <c r="F450" s="43"/>
      <c r="G450" s="43"/>
      <c r="H450" s="43"/>
      <c r="I450" s="43"/>
      <c r="J450" s="43"/>
      <c r="K450" s="43"/>
      <c r="L450" s="44"/>
      <c r="M450" s="44"/>
      <c r="N450" s="44"/>
      <c r="O450" s="44"/>
      <c r="P450" s="43"/>
    </row>
    <row r="451" spans="1:16" x14ac:dyDescent="0.2">
      <c r="A451" s="43"/>
      <c r="B451" s="43"/>
      <c r="C451" s="43"/>
      <c r="D451" s="43"/>
      <c r="E451" s="69"/>
      <c r="F451" s="43"/>
      <c r="G451" s="43"/>
      <c r="H451" s="43"/>
      <c r="I451" s="43"/>
      <c r="J451" s="43"/>
      <c r="K451" s="43"/>
      <c r="L451" s="44"/>
      <c r="M451" s="44"/>
      <c r="N451" s="44"/>
      <c r="O451" s="44"/>
      <c r="P451" s="43"/>
    </row>
    <row r="452" spans="1:16" x14ac:dyDescent="0.2">
      <c r="A452" s="43"/>
      <c r="B452" s="43"/>
      <c r="C452" s="43"/>
      <c r="D452" s="43"/>
      <c r="E452" s="69"/>
      <c r="F452" s="43"/>
      <c r="G452" s="43"/>
      <c r="H452" s="43"/>
      <c r="I452" s="43"/>
      <c r="J452" s="43"/>
      <c r="K452" s="43"/>
      <c r="L452" s="44"/>
      <c r="M452" s="44"/>
      <c r="N452" s="44"/>
      <c r="O452" s="44"/>
      <c r="P452" s="43"/>
    </row>
    <row r="453" spans="1:16" x14ac:dyDescent="0.2">
      <c r="A453" s="43"/>
      <c r="B453" s="43"/>
      <c r="C453" s="43"/>
      <c r="D453" s="43"/>
      <c r="E453" s="69"/>
      <c r="F453" s="43"/>
      <c r="G453" s="43"/>
      <c r="H453" s="43"/>
      <c r="I453" s="43"/>
      <c r="J453" s="43"/>
      <c r="K453" s="43"/>
      <c r="L453" s="44"/>
      <c r="M453" s="44"/>
      <c r="N453" s="44"/>
      <c r="O453" s="44"/>
      <c r="P453" s="43"/>
    </row>
    <row r="454" spans="1:16" x14ac:dyDescent="0.2">
      <c r="A454" s="43"/>
      <c r="B454" s="43"/>
      <c r="C454" s="43"/>
      <c r="D454" s="43"/>
      <c r="E454" s="69"/>
      <c r="F454" s="43"/>
      <c r="G454" s="43"/>
      <c r="H454" s="43"/>
      <c r="I454" s="43"/>
      <c r="J454" s="43"/>
      <c r="K454" s="43"/>
      <c r="L454" s="44"/>
      <c r="M454" s="44"/>
      <c r="N454" s="44"/>
      <c r="O454" s="44"/>
      <c r="P454" s="43"/>
    </row>
    <row r="455" spans="1:16" x14ac:dyDescent="0.2">
      <c r="A455" s="43"/>
      <c r="B455" s="43"/>
      <c r="C455" s="43"/>
      <c r="D455" s="43"/>
      <c r="E455" s="69"/>
      <c r="F455" s="43"/>
      <c r="G455" s="43"/>
      <c r="H455" s="43"/>
      <c r="I455" s="43"/>
      <c r="J455" s="43"/>
      <c r="K455" s="43"/>
      <c r="L455" s="44"/>
      <c r="M455" s="44"/>
      <c r="N455" s="44"/>
      <c r="O455" s="44"/>
      <c r="P455" s="43"/>
    </row>
    <row r="456" spans="1:16" x14ac:dyDescent="0.2">
      <c r="A456" s="43"/>
      <c r="B456" s="43"/>
      <c r="C456" s="43"/>
      <c r="D456" s="43"/>
      <c r="E456" s="69"/>
      <c r="F456" s="43"/>
      <c r="G456" s="43"/>
      <c r="H456" s="43"/>
      <c r="I456" s="43"/>
      <c r="J456" s="43"/>
      <c r="K456" s="43"/>
      <c r="L456" s="44"/>
      <c r="M456" s="44"/>
      <c r="N456" s="44"/>
      <c r="O456" s="44"/>
      <c r="P456" s="43"/>
    </row>
    <row r="457" spans="1:16" x14ac:dyDescent="0.2">
      <c r="A457" s="43"/>
      <c r="B457" s="43"/>
      <c r="C457" s="43"/>
      <c r="D457" s="43"/>
      <c r="E457" s="69"/>
      <c r="F457" s="43"/>
      <c r="G457" s="43"/>
      <c r="H457" s="43"/>
      <c r="I457" s="43"/>
      <c r="J457" s="43"/>
      <c r="K457" s="43"/>
      <c r="L457" s="44"/>
      <c r="M457" s="44"/>
      <c r="N457" s="44"/>
      <c r="O457" s="44"/>
      <c r="P457" s="43"/>
    </row>
    <row r="458" spans="1:16" x14ac:dyDescent="0.2">
      <c r="A458" s="43"/>
      <c r="B458" s="43"/>
      <c r="C458" s="43"/>
      <c r="D458" s="43"/>
      <c r="E458" s="69"/>
      <c r="F458" s="43"/>
      <c r="G458" s="43"/>
      <c r="H458" s="43"/>
      <c r="I458" s="43"/>
      <c r="J458" s="43"/>
      <c r="K458" s="43"/>
      <c r="L458" s="44"/>
      <c r="M458" s="44"/>
      <c r="N458" s="44"/>
      <c r="O458" s="44"/>
      <c r="P458" s="43"/>
    </row>
    <row r="459" spans="1:16" x14ac:dyDescent="0.2">
      <c r="A459" s="43"/>
      <c r="B459" s="43"/>
      <c r="C459" s="43"/>
      <c r="D459" s="43"/>
      <c r="E459" s="69"/>
      <c r="F459" s="43"/>
      <c r="G459" s="43"/>
      <c r="H459" s="43"/>
      <c r="I459" s="43"/>
      <c r="J459" s="43"/>
      <c r="K459" s="43"/>
      <c r="L459" s="44"/>
      <c r="M459" s="44"/>
      <c r="N459" s="44"/>
      <c r="O459" s="44"/>
      <c r="P459" s="43"/>
    </row>
    <row r="460" spans="1:16" x14ac:dyDescent="0.2">
      <c r="A460" s="43"/>
      <c r="B460" s="43"/>
      <c r="C460" s="43"/>
      <c r="D460" s="43"/>
      <c r="E460" s="69"/>
      <c r="F460" s="43"/>
      <c r="G460" s="43"/>
      <c r="H460" s="43"/>
      <c r="I460" s="43"/>
      <c r="J460" s="43"/>
      <c r="K460" s="43"/>
      <c r="L460" s="44"/>
      <c r="M460" s="44"/>
      <c r="N460" s="44"/>
      <c r="O460" s="44"/>
      <c r="P460" s="43"/>
    </row>
    <row r="461" spans="1:16" x14ac:dyDescent="0.2">
      <c r="A461" s="43"/>
      <c r="B461" s="43"/>
      <c r="C461" s="43"/>
      <c r="D461" s="43"/>
      <c r="E461" s="69"/>
      <c r="F461" s="43"/>
      <c r="G461" s="43"/>
      <c r="H461" s="43"/>
      <c r="I461" s="43"/>
      <c r="J461" s="43"/>
      <c r="K461" s="43"/>
      <c r="L461" s="44"/>
      <c r="M461" s="44"/>
      <c r="N461" s="44"/>
      <c r="O461" s="44"/>
      <c r="P461" s="43"/>
    </row>
    <row r="462" spans="1:16" x14ac:dyDescent="0.2">
      <c r="A462" s="43"/>
      <c r="B462" s="43"/>
      <c r="C462" s="43"/>
      <c r="D462" s="43"/>
      <c r="E462" s="69"/>
      <c r="F462" s="43"/>
      <c r="G462" s="43"/>
      <c r="H462" s="43"/>
      <c r="I462" s="43"/>
      <c r="J462" s="43"/>
      <c r="K462" s="43"/>
      <c r="L462" s="44"/>
      <c r="M462" s="44"/>
      <c r="N462" s="44"/>
      <c r="O462" s="44"/>
      <c r="P462" s="43"/>
    </row>
    <row r="463" spans="1:16" x14ac:dyDescent="0.2">
      <c r="A463" s="43"/>
      <c r="B463" s="43"/>
      <c r="C463" s="43"/>
      <c r="D463" s="43"/>
      <c r="E463" s="69"/>
      <c r="F463" s="43"/>
      <c r="G463" s="43"/>
      <c r="H463" s="43"/>
      <c r="I463" s="43"/>
      <c r="J463" s="43"/>
      <c r="K463" s="43"/>
      <c r="L463" s="44"/>
      <c r="M463" s="44"/>
      <c r="N463" s="44"/>
      <c r="O463" s="44"/>
      <c r="P463" s="43"/>
    </row>
    <row r="464" spans="1:16" x14ac:dyDescent="0.2">
      <c r="A464" s="43"/>
      <c r="B464" s="43"/>
      <c r="C464" s="43"/>
      <c r="D464" s="43"/>
      <c r="E464" s="69"/>
      <c r="F464" s="43"/>
      <c r="G464" s="43"/>
      <c r="H464" s="43"/>
      <c r="I464" s="43"/>
      <c r="J464" s="43"/>
      <c r="K464" s="43"/>
      <c r="L464" s="44"/>
      <c r="M464" s="44"/>
      <c r="N464" s="44"/>
      <c r="O464" s="44"/>
      <c r="P464" s="43"/>
    </row>
    <row r="465" spans="1:16" x14ac:dyDescent="0.2">
      <c r="A465" s="43"/>
      <c r="B465" s="43"/>
      <c r="C465" s="43"/>
      <c r="D465" s="43"/>
      <c r="E465" s="69"/>
      <c r="F465" s="43"/>
      <c r="G465" s="43"/>
      <c r="H465" s="43"/>
      <c r="I465" s="43"/>
      <c r="J465" s="43"/>
      <c r="K465" s="43"/>
      <c r="L465" s="44"/>
      <c r="M465" s="44"/>
      <c r="N465" s="44"/>
      <c r="O465" s="44"/>
      <c r="P465" s="43"/>
    </row>
    <row r="466" spans="1:16" x14ac:dyDescent="0.2">
      <c r="A466" s="43"/>
      <c r="B466" s="43"/>
      <c r="C466" s="43"/>
      <c r="D466" s="43"/>
      <c r="E466" s="69"/>
      <c r="F466" s="43"/>
      <c r="G466" s="43"/>
      <c r="H466" s="43"/>
      <c r="I466" s="43"/>
      <c r="J466" s="43"/>
      <c r="K466" s="43"/>
      <c r="L466" s="44"/>
      <c r="M466" s="44"/>
      <c r="N466" s="44"/>
      <c r="O466" s="44"/>
      <c r="P466" s="43"/>
    </row>
    <row r="467" spans="1:16" x14ac:dyDescent="0.2">
      <c r="A467" s="43"/>
      <c r="B467" s="43"/>
      <c r="C467" s="43"/>
      <c r="D467" s="43"/>
      <c r="E467" s="69"/>
      <c r="F467" s="43"/>
      <c r="G467" s="43"/>
      <c r="H467" s="43"/>
      <c r="I467" s="43"/>
      <c r="J467" s="43"/>
      <c r="K467" s="43"/>
      <c r="L467" s="44"/>
      <c r="M467" s="44"/>
      <c r="N467" s="44"/>
      <c r="O467" s="44"/>
      <c r="P467" s="43"/>
    </row>
    <row r="468" spans="1:16" x14ac:dyDescent="0.2">
      <c r="A468" s="43"/>
      <c r="B468" s="43"/>
      <c r="C468" s="43"/>
      <c r="D468" s="43"/>
      <c r="E468" s="69"/>
      <c r="F468" s="43"/>
      <c r="G468" s="43"/>
      <c r="H468" s="43"/>
      <c r="I468" s="43"/>
      <c r="J468" s="43"/>
      <c r="K468" s="43"/>
      <c r="L468" s="44"/>
      <c r="M468" s="44"/>
      <c r="N468" s="44"/>
      <c r="O468" s="44"/>
      <c r="P468" s="43"/>
    </row>
    <row r="469" spans="1:16" x14ac:dyDescent="0.2">
      <c r="A469" s="43"/>
      <c r="B469" s="43"/>
      <c r="C469" s="43"/>
      <c r="D469" s="43"/>
      <c r="E469" s="69"/>
      <c r="F469" s="43"/>
      <c r="G469" s="43"/>
      <c r="H469" s="43"/>
      <c r="I469" s="43"/>
      <c r="J469" s="43"/>
      <c r="K469" s="43"/>
      <c r="L469" s="44"/>
      <c r="M469" s="44"/>
      <c r="N469" s="44"/>
      <c r="O469" s="44"/>
      <c r="P469" s="43"/>
    </row>
    <row r="470" spans="1:16" x14ac:dyDescent="0.2">
      <c r="A470" s="43"/>
      <c r="B470" s="43"/>
      <c r="C470" s="43"/>
      <c r="D470" s="43"/>
      <c r="E470" s="69"/>
      <c r="F470" s="43"/>
      <c r="G470" s="43"/>
      <c r="H470" s="43"/>
      <c r="I470" s="43"/>
      <c r="J470" s="43"/>
      <c r="K470" s="43"/>
      <c r="L470" s="44"/>
      <c r="M470" s="44"/>
      <c r="N470" s="44"/>
      <c r="O470" s="44"/>
      <c r="P470" s="43"/>
    </row>
    <row r="471" spans="1:16" x14ac:dyDescent="0.2">
      <c r="A471" s="43"/>
      <c r="B471" s="43"/>
      <c r="C471" s="43"/>
      <c r="D471" s="43"/>
      <c r="E471" s="69"/>
      <c r="F471" s="43"/>
      <c r="G471" s="43"/>
      <c r="H471" s="43"/>
      <c r="I471" s="43"/>
      <c r="J471" s="43"/>
      <c r="K471" s="43"/>
      <c r="L471" s="44"/>
      <c r="M471" s="44"/>
      <c r="N471" s="44"/>
      <c r="O471" s="44"/>
      <c r="P471" s="43"/>
    </row>
    <row r="472" spans="1:16" x14ac:dyDescent="0.2">
      <c r="A472" s="43"/>
      <c r="B472" s="43"/>
      <c r="C472" s="43"/>
      <c r="D472" s="43"/>
      <c r="E472" s="69"/>
      <c r="F472" s="43"/>
      <c r="G472" s="43"/>
      <c r="H472" s="43"/>
      <c r="I472" s="43"/>
      <c r="J472" s="43"/>
      <c r="K472" s="43"/>
      <c r="L472" s="44"/>
      <c r="M472" s="44"/>
      <c r="N472" s="44"/>
      <c r="O472" s="44"/>
      <c r="P472" s="43"/>
    </row>
    <row r="473" spans="1:16" x14ac:dyDescent="0.2">
      <c r="A473" s="43"/>
      <c r="B473" s="43"/>
      <c r="C473" s="43"/>
      <c r="D473" s="43"/>
      <c r="E473" s="69"/>
      <c r="F473" s="43"/>
      <c r="G473" s="43"/>
      <c r="H473" s="43"/>
      <c r="I473" s="43"/>
      <c r="J473" s="43"/>
      <c r="K473" s="43"/>
      <c r="L473" s="44"/>
      <c r="M473" s="44"/>
      <c r="N473" s="44"/>
      <c r="O473" s="44"/>
      <c r="P473" s="43"/>
    </row>
    <row r="474" spans="1:16" x14ac:dyDescent="0.2">
      <c r="A474" s="43"/>
      <c r="B474" s="43"/>
      <c r="C474" s="43"/>
      <c r="D474" s="43"/>
      <c r="E474" s="69"/>
      <c r="F474" s="43"/>
      <c r="G474" s="43"/>
      <c r="H474" s="43"/>
      <c r="I474" s="43"/>
      <c r="J474" s="43"/>
      <c r="K474" s="43"/>
      <c r="L474" s="44"/>
      <c r="M474" s="44"/>
      <c r="N474" s="44"/>
      <c r="O474" s="44"/>
      <c r="P474" s="43"/>
    </row>
    <row r="475" spans="1:16" x14ac:dyDescent="0.2">
      <c r="A475" s="43"/>
      <c r="B475" s="43"/>
      <c r="C475" s="43"/>
      <c r="D475" s="43"/>
      <c r="E475" s="69"/>
      <c r="F475" s="43"/>
      <c r="G475" s="43"/>
      <c r="H475" s="43"/>
      <c r="I475" s="43"/>
      <c r="J475" s="43"/>
      <c r="K475" s="43"/>
      <c r="L475" s="44"/>
      <c r="M475" s="44"/>
      <c r="N475" s="44"/>
      <c r="O475" s="44"/>
      <c r="P475" s="43"/>
    </row>
    <row r="476" spans="1:16" x14ac:dyDescent="0.2">
      <c r="A476" s="43"/>
      <c r="B476" s="43"/>
      <c r="C476" s="43"/>
      <c r="D476" s="43"/>
      <c r="E476" s="69"/>
      <c r="F476" s="43"/>
      <c r="G476" s="43"/>
      <c r="H476" s="43"/>
      <c r="I476" s="43"/>
      <c r="J476" s="43"/>
      <c r="K476" s="43"/>
      <c r="L476" s="44"/>
      <c r="M476" s="44"/>
      <c r="N476" s="44"/>
      <c r="O476" s="44"/>
      <c r="P476" s="43"/>
    </row>
    <row r="477" spans="1:16" x14ac:dyDescent="0.2">
      <c r="A477" s="43"/>
      <c r="B477" s="43"/>
      <c r="C477" s="43"/>
      <c r="D477" s="43"/>
      <c r="E477" s="69"/>
      <c r="F477" s="43"/>
      <c r="G477" s="43"/>
      <c r="H477" s="43"/>
      <c r="I477" s="43"/>
      <c r="J477" s="43"/>
      <c r="K477" s="43"/>
      <c r="L477" s="44"/>
      <c r="M477" s="44"/>
      <c r="N477" s="44"/>
      <c r="O477" s="44"/>
      <c r="P477" s="43"/>
    </row>
    <row r="478" spans="1:16" x14ac:dyDescent="0.2">
      <c r="A478" s="43"/>
      <c r="B478" s="43"/>
      <c r="C478" s="43"/>
      <c r="D478" s="43"/>
      <c r="E478" s="69"/>
      <c r="F478" s="43"/>
      <c r="G478" s="43"/>
      <c r="H478" s="43"/>
      <c r="I478" s="43"/>
      <c r="J478" s="43"/>
      <c r="K478" s="43"/>
      <c r="L478" s="44"/>
      <c r="M478" s="44"/>
      <c r="N478" s="44"/>
      <c r="O478" s="44"/>
      <c r="P478" s="43"/>
    </row>
    <row r="479" spans="1:16" x14ac:dyDescent="0.2">
      <c r="A479" s="43"/>
      <c r="B479" s="43"/>
      <c r="C479" s="43"/>
      <c r="D479" s="43"/>
      <c r="E479" s="69"/>
      <c r="F479" s="43"/>
      <c r="G479" s="43"/>
      <c r="H479" s="43"/>
      <c r="I479" s="43"/>
      <c r="J479" s="43"/>
      <c r="K479" s="43"/>
      <c r="L479" s="44"/>
      <c r="M479" s="44"/>
      <c r="N479" s="44"/>
      <c r="O479" s="44"/>
      <c r="P479" s="43"/>
    </row>
    <row r="480" spans="1:16" x14ac:dyDescent="0.2">
      <c r="A480" s="43"/>
      <c r="B480" s="43"/>
      <c r="C480" s="43"/>
      <c r="D480" s="43"/>
      <c r="E480" s="69"/>
      <c r="F480" s="43"/>
      <c r="G480" s="43"/>
      <c r="H480" s="43"/>
      <c r="I480" s="43"/>
      <c r="J480" s="43"/>
      <c r="K480" s="43"/>
      <c r="L480" s="44"/>
      <c r="M480" s="44"/>
      <c r="N480" s="44"/>
      <c r="O480" s="44"/>
      <c r="P480" s="43"/>
    </row>
    <row r="481" spans="1:16" x14ac:dyDescent="0.2">
      <c r="A481" s="43"/>
      <c r="B481" s="43"/>
      <c r="C481" s="43"/>
      <c r="D481" s="43"/>
      <c r="E481" s="69"/>
      <c r="F481" s="43"/>
      <c r="G481" s="43"/>
      <c r="H481" s="43"/>
      <c r="I481" s="43"/>
      <c r="J481" s="43"/>
      <c r="K481" s="43"/>
      <c r="L481" s="44"/>
      <c r="M481" s="44"/>
      <c r="N481" s="44"/>
      <c r="O481" s="44"/>
      <c r="P481" s="43"/>
    </row>
    <row r="482" spans="1:16" x14ac:dyDescent="0.2">
      <c r="A482" s="43"/>
      <c r="B482" s="43"/>
      <c r="C482" s="43"/>
      <c r="D482" s="43"/>
      <c r="E482" s="69"/>
      <c r="F482" s="43"/>
      <c r="G482" s="43"/>
      <c r="H482" s="43"/>
      <c r="I482" s="43"/>
      <c r="J482" s="43"/>
      <c r="K482" s="43"/>
      <c r="L482" s="44"/>
      <c r="M482" s="44"/>
      <c r="N482" s="44"/>
      <c r="O482" s="44"/>
      <c r="P482" s="43"/>
    </row>
    <row r="483" spans="1:16" x14ac:dyDescent="0.2">
      <c r="A483" s="43"/>
      <c r="B483" s="43"/>
      <c r="C483" s="43"/>
      <c r="D483" s="43"/>
      <c r="E483" s="69"/>
      <c r="F483" s="43"/>
      <c r="G483" s="43"/>
      <c r="H483" s="43"/>
      <c r="I483" s="43"/>
      <c r="J483" s="43"/>
      <c r="K483" s="43"/>
      <c r="L483" s="44"/>
      <c r="M483" s="44"/>
      <c r="N483" s="44"/>
      <c r="O483" s="44"/>
      <c r="P483" s="43"/>
    </row>
    <row r="484" spans="1:16" x14ac:dyDescent="0.2">
      <c r="A484" s="43"/>
      <c r="B484" s="43"/>
      <c r="C484" s="43"/>
      <c r="D484" s="43"/>
      <c r="E484" s="69"/>
      <c r="F484" s="43"/>
      <c r="G484" s="43"/>
      <c r="H484" s="43"/>
      <c r="I484" s="43"/>
      <c r="J484" s="43"/>
      <c r="K484" s="43"/>
      <c r="L484" s="44"/>
      <c r="M484" s="44"/>
      <c r="N484" s="44"/>
      <c r="O484" s="44"/>
      <c r="P484" s="43"/>
    </row>
    <row r="485" spans="1:16" x14ac:dyDescent="0.2">
      <c r="A485" s="43"/>
      <c r="B485" s="43"/>
      <c r="C485" s="43"/>
      <c r="D485" s="43"/>
      <c r="E485" s="69"/>
      <c r="F485" s="43"/>
      <c r="G485" s="43"/>
      <c r="H485" s="43"/>
      <c r="I485" s="43"/>
      <c r="J485" s="43"/>
      <c r="K485" s="43"/>
      <c r="L485" s="44"/>
      <c r="M485" s="44"/>
      <c r="N485" s="44"/>
      <c r="O485" s="44"/>
      <c r="P485" s="43"/>
    </row>
    <row r="486" spans="1:16" x14ac:dyDescent="0.2">
      <c r="A486" s="43"/>
      <c r="B486" s="43"/>
      <c r="C486" s="43"/>
      <c r="D486" s="43"/>
      <c r="E486" s="69"/>
      <c r="F486" s="43"/>
      <c r="G486" s="43"/>
      <c r="H486" s="43"/>
      <c r="I486" s="43"/>
      <c r="J486" s="43"/>
      <c r="K486" s="43"/>
      <c r="L486" s="44"/>
      <c r="M486" s="44"/>
      <c r="N486" s="44"/>
      <c r="O486" s="44"/>
      <c r="P486" s="43"/>
    </row>
    <row r="487" spans="1:16" x14ac:dyDescent="0.2">
      <c r="A487" s="43"/>
      <c r="B487" s="43"/>
      <c r="C487" s="43"/>
      <c r="D487" s="43"/>
      <c r="E487" s="69"/>
      <c r="F487" s="43"/>
      <c r="G487" s="43"/>
      <c r="H487" s="43"/>
      <c r="I487" s="43"/>
      <c r="J487" s="43"/>
      <c r="K487" s="43"/>
      <c r="L487" s="44"/>
      <c r="M487" s="44"/>
      <c r="N487" s="44"/>
      <c r="O487" s="44"/>
      <c r="P487" s="43"/>
    </row>
    <row r="488" spans="1:16" x14ac:dyDescent="0.2">
      <c r="A488" s="43"/>
      <c r="B488" s="43"/>
      <c r="C488" s="43"/>
      <c r="D488" s="43"/>
      <c r="E488" s="69"/>
      <c r="F488" s="43"/>
      <c r="G488" s="43"/>
      <c r="H488" s="43"/>
      <c r="I488" s="43"/>
      <c r="J488" s="43"/>
      <c r="K488" s="43"/>
      <c r="L488" s="44"/>
      <c r="M488" s="44"/>
      <c r="N488" s="44"/>
      <c r="O488" s="44"/>
      <c r="P488" s="43"/>
    </row>
    <row r="489" spans="1:16" x14ac:dyDescent="0.2">
      <c r="A489" s="43"/>
      <c r="B489" s="43"/>
      <c r="C489" s="43"/>
      <c r="D489" s="43"/>
      <c r="E489" s="69"/>
      <c r="F489" s="43"/>
      <c r="G489" s="43"/>
      <c r="H489" s="43"/>
      <c r="I489" s="43"/>
      <c r="J489" s="43"/>
      <c r="K489" s="43"/>
      <c r="L489" s="44"/>
      <c r="M489" s="44"/>
      <c r="N489" s="44"/>
      <c r="O489" s="44"/>
      <c r="P489" s="43"/>
    </row>
    <row r="490" spans="1:16" x14ac:dyDescent="0.2">
      <c r="A490" s="43"/>
      <c r="B490" s="43"/>
      <c r="C490" s="43"/>
      <c r="D490" s="43"/>
      <c r="E490" s="69"/>
      <c r="F490" s="43"/>
      <c r="G490" s="43"/>
      <c r="H490" s="43"/>
      <c r="I490" s="43"/>
      <c r="J490" s="43"/>
      <c r="K490" s="43"/>
      <c r="L490" s="44"/>
      <c r="M490" s="44"/>
      <c r="N490" s="44"/>
      <c r="O490" s="44"/>
      <c r="P490" s="43"/>
    </row>
    <row r="491" spans="1:16" x14ac:dyDescent="0.2">
      <c r="A491" s="43"/>
      <c r="B491" s="43"/>
      <c r="C491" s="43"/>
      <c r="D491" s="43"/>
      <c r="E491" s="69"/>
      <c r="F491" s="43"/>
      <c r="G491" s="43"/>
      <c r="H491" s="43"/>
      <c r="I491" s="43"/>
      <c r="J491" s="43"/>
      <c r="K491" s="43"/>
      <c r="L491" s="44"/>
      <c r="M491" s="44"/>
      <c r="N491" s="44"/>
      <c r="O491" s="44"/>
      <c r="P491" s="43"/>
    </row>
    <row r="492" spans="1:16" x14ac:dyDescent="0.2">
      <c r="A492" s="43"/>
      <c r="B492" s="43"/>
      <c r="C492" s="43"/>
      <c r="D492" s="43"/>
      <c r="E492" s="69"/>
      <c r="F492" s="43"/>
      <c r="G492" s="43"/>
      <c r="H492" s="43"/>
      <c r="I492" s="43"/>
      <c r="J492" s="43"/>
      <c r="K492" s="43"/>
      <c r="L492" s="44"/>
      <c r="M492" s="44"/>
      <c r="N492" s="44"/>
      <c r="O492" s="44"/>
      <c r="P492" s="43"/>
    </row>
    <row r="493" spans="1:16" x14ac:dyDescent="0.2">
      <c r="A493" s="43"/>
      <c r="B493" s="43"/>
      <c r="C493" s="43"/>
      <c r="D493" s="43"/>
      <c r="E493" s="69"/>
      <c r="F493" s="43"/>
      <c r="G493" s="43"/>
      <c r="H493" s="43"/>
      <c r="I493" s="43"/>
      <c r="J493" s="43"/>
      <c r="K493" s="43"/>
      <c r="L493" s="44"/>
      <c r="M493" s="44"/>
      <c r="N493" s="44"/>
      <c r="O493" s="44"/>
      <c r="P493" s="43"/>
    </row>
    <row r="494" spans="1:16" x14ac:dyDescent="0.2">
      <c r="A494" s="43"/>
      <c r="B494" s="43"/>
      <c r="C494" s="43"/>
      <c r="D494" s="43"/>
      <c r="E494" s="69"/>
      <c r="F494" s="43"/>
      <c r="G494" s="43"/>
      <c r="H494" s="43"/>
      <c r="I494" s="43"/>
      <c r="J494" s="43"/>
      <c r="K494" s="43"/>
      <c r="L494" s="44"/>
      <c r="M494" s="44"/>
      <c r="N494" s="44"/>
      <c r="O494" s="44"/>
      <c r="P494" s="43"/>
    </row>
    <row r="495" spans="1:16" x14ac:dyDescent="0.2">
      <c r="A495" s="43"/>
      <c r="B495" s="43"/>
      <c r="C495" s="43"/>
      <c r="D495" s="43"/>
      <c r="E495" s="69"/>
      <c r="F495" s="43"/>
      <c r="G495" s="43"/>
      <c r="H495" s="43"/>
      <c r="I495" s="43"/>
      <c r="J495" s="43"/>
      <c r="K495" s="43"/>
      <c r="L495" s="44"/>
      <c r="M495" s="44"/>
      <c r="N495" s="44"/>
      <c r="O495" s="44"/>
      <c r="P495" s="43"/>
    </row>
    <row r="496" spans="1:16" x14ac:dyDescent="0.2">
      <c r="A496" s="43"/>
      <c r="B496" s="43"/>
      <c r="C496" s="43"/>
      <c r="D496" s="43"/>
      <c r="E496" s="69"/>
      <c r="F496" s="43"/>
      <c r="G496" s="43"/>
      <c r="H496" s="43"/>
      <c r="I496" s="43"/>
      <c r="J496" s="43"/>
      <c r="K496" s="43"/>
      <c r="L496" s="44"/>
      <c r="M496" s="44"/>
      <c r="N496" s="44"/>
      <c r="O496" s="44"/>
      <c r="P496" s="43"/>
    </row>
    <row r="497" spans="1:16" x14ac:dyDescent="0.2">
      <c r="A497" s="43"/>
      <c r="B497" s="43"/>
      <c r="C497" s="43"/>
      <c r="D497" s="43"/>
      <c r="E497" s="69"/>
      <c r="F497" s="43"/>
      <c r="G497" s="43"/>
      <c r="H497" s="43"/>
      <c r="I497" s="43"/>
      <c r="J497" s="43"/>
      <c r="K497" s="43"/>
      <c r="L497" s="44"/>
      <c r="M497" s="44"/>
      <c r="N497" s="44"/>
      <c r="O497" s="44"/>
      <c r="P497" s="43"/>
    </row>
    <row r="498" spans="1:16" x14ac:dyDescent="0.2">
      <c r="A498" s="43"/>
      <c r="B498" s="43"/>
      <c r="C498" s="43"/>
      <c r="D498" s="43"/>
      <c r="E498" s="69"/>
      <c r="F498" s="43"/>
      <c r="G498" s="43"/>
      <c r="H498" s="43"/>
      <c r="I498" s="43"/>
      <c r="J498" s="43"/>
      <c r="K498" s="43"/>
      <c r="L498" s="44"/>
      <c r="M498" s="44"/>
      <c r="N498" s="44"/>
      <c r="O498" s="44"/>
      <c r="P498" s="43"/>
    </row>
    <row r="499" spans="1:16" x14ac:dyDescent="0.2">
      <c r="A499" s="43"/>
      <c r="B499" s="43"/>
      <c r="C499" s="43"/>
      <c r="D499" s="43"/>
      <c r="E499" s="69"/>
      <c r="F499" s="43"/>
      <c r="G499" s="43"/>
      <c r="H499" s="43"/>
      <c r="I499" s="43"/>
      <c r="J499" s="43"/>
      <c r="K499" s="43"/>
      <c r="L499" s="44"/>
      <c r="M499" s="44"/>
      <c r="N499" s="44"/>
      <c r="O499" s="44"/>
      <c r="P499" s="43"/>
    </row>
    <row r="500" spans="1:16" x14ac:dyDescent="0.2">
      <c r="A500" s="43"/>
      <c r="B500" s="43"/>
      <c r="C500" s="43"/>
      <c r="D500" s="43"/>
      <c r="E500" s="69"/>
      <c r="F500" s="43"/>
      <c r="G500" s="43"/>
      <c r="H500" s="43"/>
      <c r="I500" s="43"/>
      <c r="J500" s="43"/>
      <c r="K500" s="43"/>
      <c r="L500" s="44"/>
      <c r="M500" s="44"/>
      <c r="N500" s="44"/>
      <c r="O500" s="44"/>
      <c r="P500" s="43"/>
    </row>
    <row r="501" spans="1:16" x14ac:dyDescent="0.2">
      <c r="A501" s="43"/>
      <c r="B501" s="43"/>
      <c r="C501" s="43"/>
      <c r="D501" s="43"/>
      <c r="E501" s="69"/>
      <c r="F501" s="43"/>
      <c r="G501" s="43"/>
      <c r="H501" s="43"/>
      <c r="I501" s="43"/>
      <c r="J501" s="43"/>
      <c r="K501" s="43"/>
      <c r="L501" s="44"/>
      <c r="M501" s="44"/>
      <c r="N501" s="44"/>
      <c r="O501" s="44"/>
      <c r="P501" s="43"/>
    </row>
    <row r="502" spans="1:16" x14ac:dyDescent="0.2">
      <c r="A502" s="43"/>
      <c r="B502" s="43"/>
      <c r="C502" s="43"/>
      <c r="D502" s="43"/>
      <c r="E502" s="69"/>
      <c r="F502" s="43"/>
      <c r="G502" s="43"/>
      <c r="H502" s="43"/>
      <c r="I502" s="43"/>
      <c r="J502" s="43"/>
      <c r="K502" s="43"/>
      <c r="L502" s="44"/>
      <c r="M502" s="44"/>
      <c r="N502" s="44"/>
      <c r="O502" s="44"/>
      <c r="P502" s="43"/>
    </row>
    <row r="503" spans="1:16" x14ac:dyDescent="0.2">
      <c r="A503" s="43"/>
      <c r="B503" s="43"/>
      <c r="C503" s="43"/>
      <c r="D503" s="43"/>
      <c r="E503" s="69"/>
      <c r="F503" s="43"/>
      <c r="G503" s="43"/>
      <c r="H503" s="43"/>
      <c r="I503" s="43"/>
      <c r="J503" s="43"/>
      <c r="K503" s="43"/>
      <c r="L503" s="44"/>
      <c r="M503" s="44"/>
      <c r="N503" s="44"/>
      <c r="O503" s="44"/>
      <c r="P503" s="43"/>
    </row>
    <row r="504" spans="1:16" x14ac:dyDescent="0.2">
      <c r="A504" s="43"/>
      <c r="B504" s="43"/>
      <c r="C504" s="43"/>
      <c r="D504" s="43"/>
      <c r="E504" s="69"/>
      <c r="F504" s="43"/>
      <c r="G504" s="43"/>
      <c r="H504" s="43"/>
      <c r="I504" s="43"/>
      <c r="J504" s="43"/>
      <c r="K504" s="43"/>
      <c r="L504" s="44"/>
      <c r="M504" s="44"/>
      <c r="N504" s="44"/>
      <c r="O504" s="44"/>
      <c r="P504" s="43"/>
    </row>
    <row r="505" spans="1:16" x14ac:dyDescent="0.2">
      <c r="A505" s="43"/>
      <c r="B505" s="43"/>
      <c r="C505" s="43"/>
      <c r="D505" s="43"/>
      <c r="E505" s="69"/>
      <c r="F505" s="43"/>
      <c r="G505" s="43"/>
      <c r="H505" s="43"/>
      <c r="I505" s="43"/>
      <c r="J505" s="43"/>
      <c r="K505" s="43"/>
      <c r="L505" s="44"/>
      <c r="M505" s="44"/>
      <c r="N505" s="44"/>
      <c r="O505" s="44"/>
      <c r="P505" s="43"/>
    </row>
    <row r="506" spans="1:16" x14ac:dyDescent="0.2">
      <c r="A506" s="43"/>
      <c r="B506" s="43"/>
      <c r="C506" s="43"/>
      <c r="D506" s="43"/>
      <c r="E506" s="69"/>
      <c r="F506" s="43"/>
      <c r="G506" s="43"/>
      <c r="H506" s="43"/>
      <c r="I506" s="43"/>
      <c r="J506" s="43"/>
      <c r="K506" s="43"/>
      <c r="L506" s="44"/>
      <c r="M506" s="44"/>
      <c r="N506" s="44"/>
      <c r="O506" s="44"/>
      <c r="P506" s="43"/>
    </row>
    <row r="507" spans="1:16" x14ac:dyDescent="0.2">
      <c r="A507" s="43"/>
      <c r="B507" s="43"/>
      <c r="C507" s="43"/>
      <c r="D507" s="43"/>
      <c r="E507" s="69"/>
      <c r="F507" s="43"/>
      <c r="G507" s="43"/>
      <c r="H507" s="43"/>
      <c r="I507" s="43"/>
      <c r="J507" s="43"/>
      <c r="K507" s="43"/>
      <c r="L507" s="44"/>
      <c r="M507" s="44"/>
      <c r="N507" s="44"/>
      <c r="O507" s="44"/>
      <c r="P507" s="43"/>
    </row>
    <row r="508" spans="1:16" x14ac:dyDescent="0.2">
      <c r="A508" s="43"/>
      <c r="B508" s="43"/>
      <c r="C508" s="43"/>
      <c r="D508" s="43"/>
      <c r="E508" s="69"/>
      <c r="F508" s="43"/>
      <c r="G508" s="43"/>
      <c r="H508" s="43"/>
      <c r="I508" s="43"/>
      <c r="J508" s="43"/>
      <c r="K508" s="43"/>
      <c r="L508" s="44"/>
      <c r="M508" s="44"/>
      <c r="N508" s="44"/>
      <c r="O508" s="44"/>
      <c r="P508" s="43"/>
    </row>
    <row r="509" spans="1:16" x14ac:dyDescent="0.2">
      <c r="A509" s="43"/>
      <c r="B509" s="43"/>
      <c r="C509" s="43"/>
      <c r="D509" s="43"/>
      <c r="E509" s="69"/>
      <c r="F509" s="43"/>
      <c r="G509" s="43"/>
      <c r="H509" s="43"/>
      <c r="I509" s="43"/>
      <c r="J509" s="43"/>
      <c r="K509" s="43"/>
      <c r="L509" s="44"/>
      <c r="M509" s="44"/>
      <c r="N509" s="44"/>
      <c r="O509" s="44"/>
      <c r="P509" s="43"/>
    </row>
    <row r="510" spans="1:16" x14ac:dyDescent="0.2">
      <c r="A510" s="43"/>
      <c r="B510" s="43"/>
      <c r="C510" s="43"/>
      <c r="D510" s="43"/>
      <c r="E510" s="69"/>
      <c r="F510" s="43"/>
      <c r="G510" s="43"/>
      <c r="H510" s="43"/>
      <c r="I510" s="43"/>
      <c r="J510" s="43"/>
      <c r="K510" s="43"/>
      <c r="L510" s="44"/>
      <c r="M510" s="44"/>
      <c r="N510" s="44"/>
      <c r="O510" s="44"/>
      <c r="P510" s="43"/>
    </row>
    <row r="511" spans="1:16" x14ac:dyDescent="0.2">
      <c r="A511" s="43"/>
      <c r="B511" s="43"/>
      <c r="C511" s="43"/>
      <c r="D511" s="43"/>
      <c r="E511" s="69"/>
      <c r="F511" s="43"/>
      <c r="G511" s="43"/>
      <c r="H511" s="43"/>
      <c r="I511" s="43"/>
      <c r="J511" s="43"/>
      <c r="K511" s="43"/>
      <c r="L511" s="44"/>
      <c r="M511" s="44"/>
      <c r="N511" s="44"/>
      <c r="O511" s="44"/>
      <c r="P511" s="43"/>
    </row>
    <row r="512" spans="1:16" x14ac:dyDescent="0.2">
      <c r="A512" s="43"/>
      <c r="B512" s="43"/>
      <c r="C512" s="43"/>
      <c r="D512" s="43"/>
      <c r="E512" s="69"/>
      <c r="F512" s="43"/>
      <c r="G512" s="43"/>
      <c r="H512" s="43"/>
      <c r="I512" s="43"/>
      <c r="J512" s="43"/>
      <c r="K512" s="43"/>
      <c r="L512" s="44"/>
      <c r="M512" s="44"/>
      <c r="N512" s="44"/>
      <c r="O512" s="44"/>
      <c r="P512" s="43"/>
    </row>
    <row r="513" spans="1:16" x14ac:dyDescent="0.2">
      <c r="A513" s="43"/>
      <c r="B513" s="43"/>
      <c r="C513" s="43"/>
      <c r="D513" s="43"/>
      <c r="E513" s="69"/>
      <c r="F513" s="43"/>
      <c r="G513" s="43"/>
      <c r="H513" s="43"/>
      <c r="I513" s="43"/>
      <c r="J513" s="43"/>
      <c r="K513" s="43"/>
      <c r="L513" s="44"/>
      <c r="M513" s="44"/>
      <c r="N513" s="44"/>
      <c r="O513" s="44"/>
      <c r="P513" s="43"/>
    </row>
    <row r="514" spans="1:16" x14ac:dyDescent="0.2">
      <c r="A514" s="43"/>
      <c r="B514" s="43"/>
      <c r="C514" s="43"/>
      <c r="D514" s="43"/>
      <c r="E514" s="69"/>
      <c r="F514" s="43"/>
      <c r="G514" s="43"/>
      <c r="H514" s="43"/>
      <c r="I514" s="43"/>
      <c r="J514" s="43"/>
      <c r="K514" s="43"/>
      <c r="L514" s="44"/>
      <c r="M514" s="44"/>
      <c r="N514" s="44"/>
      <c r="O514" s="44"/>
      <c r="P514" s="43"/>
    </row>
    <row r="515" spans="1:16" x14ac:dyDescent="0.2">
      <c r="A515" s="43"/>
      <c r="B515" s="43"/>
      <c r="C515" s="43"/>
      <c r="D515" s="43"/>
      <c r="E515" s="69"/>
      <c r="F515" s="43"/>
      <c r="G515" s="43"/>
      <c r="H515" s="43"/>
      <c r="I515" s="43"/>
      <c r="J515" s="43"/>
      <c r="K515" s="43"/>
      <c r="L515" s="44"/>
      <c r="M515" s="44"/>
      <c r="N515" s="44"/>
      <c r="O515" s="44"/>
      <c r="P515" s="43"/>
    </row>
    <row r="516" spans="1:16" x14ac:dyDescent="0.2">
      <c r="A516" s="43"/>
      <c r="B516" s="43"/>
      <c r="C516" s="43"/>
      <c r="D516" s="43"/>
      <c r="E516" s="69"/>
      <c r="F516" s="43"/>
      <c r="G516" s="43"/>
      <c r="H516" s="43"/>
      <c r="I516" s="43"/>
      <c r="J516" s="43"/>
      <c r="K516" s="43"/>
      <c r="L516" s="44"/>
      <c r="M516" s="44"/>
      <c r="N516" s="44"/>
      <c r="O516" s="44"/>
      <c r="P516" s="43"/>
    </row>
    <row r="517" spans="1:16" x14ac:dyDescent="0.2">
      <c r="A517" s="43"/>
      <c r="B517" s="43"/>
      <c r="C517" s="43"/>
      <c r="D517" s="43"/>
      <c r="E517" s="69"/>
      <c r="F517" s="43"/>
      <c r="G517" s="43"/>
      <c r="H517" s="43"/>
      <c r="I517" s="43"/>
      <c r="J517" s="43"/>
      <c r="K517" s="43"/>
      <c r="L517" s="44"/>
      <c r="M517" s="44"/>
      <c r="N517" s="44"/>
      <c r="O517" s="44"/>
      <c r="P517" s="43"/>
    </row>
    <row r="518" spans="1:16" x14ac:dyDescent="0.2">
      <c r="A518" s="43"/>
      <c r="B518" s="43"/>
      <c r="C518" s="43"/>
      <c r="D518" s="43"/>
      <c r="E518" s="69"/>
      <c r="F518" s="43"/>
      <c r="G518" s="43"/>
      <c r="H518" s="43"/>
      <c r="I518" s="43"/>
      <c r="J518" s="43"/>
      <c r="K518" s="43"/>
      <c r="L518" s="44"/>
      <c r="M518" s="44"/>
      <c r="N518" s="44"/>
      <c r="O518" s="44"/>
      <c r="P518" s="43"/>
    </row>
    <row r="519" spans="1:16" x14ac:dyDescent="0.2">
      <c r="A519" s="43"/>
      <c r="B519" s="43"/>
      <c r="C519" s="43"/>
      <c r="D519" s="43"/>
      <c r="E519" s="69"/>
      <c r="F519" s="43"/>
      <c r="G519" s="43"/>
      <c r="H519" s="43"/>
      <c r="I519" s="43"/>
      <c r="J519" s="43"/>
      <c r="K519" s="43"/>
      <c r="L519" s="44"/>
      <c r="M519" s="44"/>
      <c r="N519" s="44"/>
      <c r="O519" s="44"/>
      <c r="P519" s="43"/>
    </row>
    <row r="520" spans="1:16" x14ac:dyDescent="0.2">
      <c r="A520" s="43"/>
      <c r="B520" s="43"/>
      <c r="C520" s="43"/>
      <c r="D520" s="43"/>
      <c r="E520" s="69"/>
      <c r="F520" s="43"/>
      <c r="G520" s="43"/>
      <c r="H520" s="43"/>
      <c r="I520" s="43"/>
      <c r="J520" s="43"/>
      <c r="K520" s="43"/>
      <c r="L520" s="44"/>
      <c r="M520" s="44"/>
      <c r="N520" s="44"/>
      <c r="O520" s="44"/>
      <c r="P520" s="43"/>
    </row>
    <row r="521" spans="1:16" x14ac:dyDescent="0.2">
      <c r="A521" s="43"/>
      <c r="B521" s="43"/>
      <c r="C521" s="43"/>
      <c r="D521" s="43"/>
      <c r="E521" s="69"/>
      <c r="F521" s="43"/>
      <c r="G521" s="43"/>
      <c r="H521" s="43"/>
      <c r="I521" s="43"/>
      <c r="J521" s="43"/>
      <c r="K521" s="43"/>
      <c r="L521" s="44"/>
      <c r="M521" s="44"/>
      <c r="N521" s="44"/>
      <c r="O521" s="44"/>
      <c r="P521" s="43"/>
    </row>
    <row r="522" spans="1:16" x14ac:dyDescent="0.2">
      <c r="A522" s="43"/>
      <c r="B522" s="43"/>
      <c r="C522" s="43"/>
      <c r="D522" s="43"/>
      <c r="E522" s="69"/>
      <c r="F522" s="43"/>
      <c r="G522" s="43"/>
      <c r="H522" s="43"/>
      <c r="I522" s="43"/>
      <c r="J522" s="43"/>
      <c r="K522" s="43"/>
      <c r="L522" s="44"/>
      <c r="M522" s="44"/>
      <c r="N522" s="44"/>
      <c r="O522" s="44"/>
      <c r="P522" s="43"/>
    </row>
    <row r="523" spans="1:16" x14ac:dyDescent="0.2">
      <c r="A523" s="43"/>
      <c r="B523" s="43"/>
      <c r="C523" s="43"/>
      <c r="D523" s="43"/>
      <c r="E523" s="69"/>
      <c r="F523" s="43"/>
      <c r="G523" s="43"/>
      <c r="H523" s="43"/>
      <c r="I523" s="43"/>
      <c r="J523" s="43"/>
      <c r="K523" s="43"/>
      <c r="L523" s="44"/>
      <c r="M523" s="44"/>
      <c r="N523" s="44"/>
      <c r="O523" s="44"/>
      <c r="P523" s="43"/>
    </row>
    <row r="524" spans="1:16" x14ac:dyDescent="0.2">
      <c r="A524" s="43"/>
      <c r="B524" s="43"/>
      <c r="C524" s="43"/>
      <c r="D524" s="43"/>
      <c r="E524" s="69"/>
      <c r="F524" s="43"/>
      <c r="G524" s="43"/>
      <c r="H524" s="43"/>
      <c r="I524" s="43"/>
      <c r="J524" s="43"/>
      <c r="K524" s="43"/>
      <c r="L524" s="44"/>
      <c r="M524" s="44"/>
      <c r="N524" s="44"/>
      <c r="O524" s="44"/>
      <c r="P524" s="43"/>
    </row>
    <row r="525" spans="1:16" x14ac:dyDescent="0.2">
      <c r="A525" s="43"/>
      <c r="B525" s="43"/>
      <c r="C525" s="43"/>
      <c r="D525" s="43"/>
      <c r="E525" s="69"/>
      <c r="F525" s="43"/>
      <c r="G525" s="43"/>
      <c r="H525" s="43"/>
      <c r="I525" s="43"/>
      <c r="J525" s="43"/>
      <c r="K525" s="43"/>
      <c r="L525" s="44"/>
      <c r="M525" s="44"/>
      <c r="N525" s="44"/>
      <c r="O525" s="44"/>
      <c r="P525" s="43"/>
    </row>
    <row r="526" spans="1:16" x14ac:dyDescent="0.2">
      <c r="A526" s="43"/>
      <c r="B526" s="43"/>
      <c r="C526" s="43"/>
      <c r="D526" s="43"/>
      <c r="E526" s="69"/>
      <c r="F526" s="43"/>
      <c r="G526" s="43"/>
      <c r="H526" s="43"/>
      <c r="I526" s="43"/>
      <c r="J526" s="43"/>
      <c r="K526" s="43"/>
      <c r="L526" s="44"/>
      <c r="M526" s="44"/>
      <c r="N526" s="44"/>
      <c r="O526" s="44"/>
      <c r="P526" s="43"/>
    </row>
    <row r="527" spans="1:16" x14ac:dyDescent="0.2">
      <c r="A527" s="43"/>
      <c r="B527" s="43"/>
      <c r="C527" s="43"/>
      <c r="D527" s="43"/>
      <c r="E527" s="69"/>
      <c r="F527" s="43"/>
      <c r="G527" s="43"/>
      <c r="H527" s="43"/>
      <c r="I527" s="43"/>
      <c r="J527" s="43"/>
      <c r="K527" s="43"/>
      <c r="L527" s="44"/>
      <c r="M527" s="44"/>
      <c r="N527" s="44"/>
      <c r="O527" s="44"/>
      <c r="P527" s="43"/>
    </row>
    <row r="528" spans="1:16" x14ac:dyDescent="0.2">
      <c r="A528" s="43"/>
      <c r="B528" s="43"/>
      <c r="C528" s="43"/>
      <c r="D528" s="43"/>
      <c r="E528" s="69"/>
      <c r="F528" s="43"/>
      <c r="G528" s="43"/>
      <c r="H528" s="43"/>
      <c r="I528" s="43"/>
      <c r="J528" s="43"/>
      <c r="K528" s="43"/>
      <c r="L528" s="44"/>
      <c r="M528" s="44"/>
      <c r="N528" s="44"/>
      <c r="O528" s="44"/>
      <c r="P528" s="43"/>
    </row>
  </sheetData>
  <mergeCells count="368">
    <mergeCell ref="C97:C132"/>
    <mergeCell ref="C133:C151"/>
    <mergeCell ref="C177:C210"/>
    <mergeCell ref="P97:P132"/>
    <mergeCell ref="A2:A352"/>
    <mergeCell ref="C50:C96"/>
    <mergeCell ref="C343:C352"/>
    <mergeCell ref="E343:E352"/>
    <mergeCell ref="F343:F352"/>
    <mergeCell ref="G343:G352"/>
    <mergeCell ref="H343:H352"/>
    <mergeCell ref="I343:I352"/>
    <mergeCell ref="J343:J352"/>
    <mergeCell ref="P321:P342"/>
    <mergeCell ref="P309:P320"/>
    <mergeCell ref="O343:O352"/>
    <mergeCell ref="P343:P352"/>
    <mergeCell ref="P299:P308"/>
    <mergeCell ref="P277:P298"/>
    <mergeCell ref="P250:P276"/>
    <mergeCell ref="P221:P249"/>
    <mergeCell ref="P177:P210"/>
    <mergeCell ref="P152:P176"/>
    <mergeCell ref="P133:P151"/>
    <mergeCell ref="P2:P49"/>
    <mergeCell ref="C221:C249"/>
    <mergeCell ref="C250:C276"/>
    <mergeCell ref="N321:N325"/>
    <mergeCell ref="N326:N330"/>
    <mergeCell ref="N331:N336"/>
    <mergeCell ref="N337:N342"/>
    <mergeCell ref="O321:O342"/>
    <mergeCell ref="K321:K325"/>
    <mergeCell ref="K326:K330"/>
    <mergeCell ref="K331:K336"/>
    <mergeCell ref="K337:K342"/>
    <mergeCell ref="M337:M342"/>
    <mergeCell ref="O2:O49"/>
    <mergeCell ref="E50:E96"/>
    <mergeCell ref="F50:F96"/>
    <mergeCell ref="G50:G96"/>
    <mergeCell ref="H50:H96"/>
    <mergeCell ref="I50:I96"/>
    <mergeCell ref="J50:J96"/>
    <mergeCell ref="K79:K96"/>
    <mergeCell ref="L79:L96"/>
    <mergeCell ref="M79:M96"/>
    <mergeCell ref="N79:N96"/>
    <mergeCell ref="O50:O96"/>
    <mergeCell ref="N50:N72"/>
    <mergeCell ref="M50:M72"/>
    <mergeCell ref="M73:M75"/>
    <mergeCell ref="M76:M78"/>
    <mergeCell ref="N76:N78"/>
    <mergeCell ref="K2:K26"/>
    <mergeCell ref="M43:M49"/>
    <mergeCell ref="N27:N30"/>
    <mergeCell ref="L31:L42"/>
    <mergeCell ref="L2:L26"/>
    <mergeCell ref="K31:K42"/>
    <mergeCell ref="K27:K30"/>
    <mergeCell ref="N2:N26"/>
    <mergeCell ref="N31:N42"/>
    <mergeCell ref="M2:M26"/>
    <mergeCell ref="E2:E49"/>
    <mergeCell ref="F2:F49"/>
    <mergeCell ref="G2:G49"/>
    <mergeCell ref="H2:H49"/>
    <mergeCell ref="I2:I49"/>
    <mergeCell ref="J2:J49"/>
    <mergeCell ref="K43:K49"/>
    <mergeCell ref="L43:L49"/>
    <mergeCell ref="N43:N49"/>
    <mergeCell ref="O250:O276"/>
    <mergeCell ref="O221:O249"/>
    <mergeCell ref="M287:M292"/>
    <mergeCell ref="N240:N249"/>
    <mergeCell ref="L293:L298"/>
    <mergeCell ref="L287:L292"/>
    <mergeCell ref="L282:L286"/>
    <mergeCell ref="M234:M239"/>
    <mergeCell ref="M221:M225"/>
    <mergeCell ref="M240:M249"/>
    <mergeCell ref="L277:L281"/>
    <mergeCell ref="N267:N276"/>
    <mergeCell ref="M348:M349"/>
    <mergeCell ref="M350:M352"/>
    <mergeCell ref="L350:L352"/>
    <mergeCell ref="K350:K352"/>
    <mergeCell ref="L348:L349"/>
    <mergeCell ref="L345:L347"/>
    <mergeCell ref="L343:L344"/>
    <mergeCell ref="K348:K349"/>
    <mergeCell ref="M345:M347"/>
    <mergeCell ref="K343:K344"/>
    <mergeCell ref="K345:K347"/>
    <mergeCell ref="M343:M344"/>
    <mergeCell ref="M318:M319"/>
    <mergeCell ref="M303:M305"/>
    <mergeCell ref="M299:M302"/>
    <mergeCell ref="M306:M307"/>
    <mergeCell ref="M267:M276"/>
    <mergeCell ref="M261:M266"/>
    <mergeCell ref="M253:M260"/>
    <mergeCell ref="M250:M252"/>
    <mergeCell ref="N293:N298"/>
    <mergeCell ref="M277:M281"/>
    <mergeCell ref="M293:M298"/>
    <mergeCell ref="M313:M317"/>
    <mergeCell ref="O309:O320"/>
    <mergeCell ref="L309:L312"/>
    <mergeCell ref="M309:M312"/>
    <mergeCell ref="L147:L151"/>
    <mergeCell ref="L143:L146"/>
    <mergeCell ref="L138:L142"/>
    <mergeCell ref="L133:L137"/>
    <mergeCell ref="M170:M176"/>
    <mergeCell ref="M190:M193"/>
    <mergeCell ref="L194:L205"/>
    <mergeCell ref="M206:M210"/>
    <mergeCell ref="M211:M212"/>
    <mergeCell ref="L303:L305"/>
    <mergeCell ref="L306:L307"/>
    <mergeCell ref="L299:L302"/>
    <mergeCell ref="N133:N137"/>
    <mergeCell ref="N143:N146"/>
    <mergeCell ref="L177:L189"/>
    <mergeCell ref="M138:M142"/>
    <mergeCell ref="M147:M151"/>
    <mergeCell ref="M152:M160"/>
    <mergeCell ref="L161:L163"/>
    <mergeCell ref="M161:M163"/>
    <mergeCell ref="N164:N169"/>
    <mergeCell ref="N177:N189"/>
    <mergeCell ref="M177:M189"/>
    <mergeCell ref="N147:N151"/>
    <mergeCell ref="N138:N142"/>
    <mergeCell ref="N194:N205"/>
    <mergeCell ref="M194:M205"/>
    <mergeCell ref="M125:M132"/>
    <mergeCell ref="O299:O308"/>
    <mergeCell ref="N170:N176"/>
    <mergeCell ref="M143:M146"/>
    <mergeCell ref="M133:M137"/>
    <mergeCell ref="O277:O298"/>
    <mergeCell ref="N161:N163"/>
    <mergeCell ref="O97:O132"/>
    <mergeCell ref="N97:N118"/>
    <mergeCell ref="N122:N124"/>
    <mergeCell ref="O133:O151"/>
    <mergeCell ref="O177:O210"/>
    <mergeCell ref="O152:O176"/>
    <mergeCell ref="N152:N160"/>
    <mergeCell ref="N299:N302"/>
    <mergeCell ref="N250:N252"/>
    <mergeCell ref="N253:N260"/>
    <mergeCell ref="N261:N266"/>
    <mergeCell ref="F133:F151"/>
    <mergeCell ref="K306:K307"/>
    <mergeCell ref="K138:K142"/>
    <mergeCell ref="K143:K146"/>
    <mergeCell ref="K147:K151"/>
    <mergeCell ref="K152:K160"/>
    <mergeCell ref="J299:J308"/>
    <mergeCell ref="J152:J176"/>
    <mergeCell ref="G133:G151"/>
    <mergeCell ref="H133:H151"/>
    <mergeCell ref="K177:K189"/>
    <mergeCell ref="K133:K137"/>
    <mergeCell ref="F211:F220"/>
    <mergeCell ref="G211:G220"/>
    <mergeCell ref="K287:K292"/>
    <mergeCell ref="K282:K286"/>
    <mergeCell ref="K277:K281"/>
    <mergeCell ref="I277:I298"/>
    <mergeCell ref="J277:J298"/>
    <mergeCell ref="K303:K305"/>
    <mergeCell ref="K299:K302"/>
    <mergeCell ref="K293:K298"/>
    <mergeCell ref="K216:K217"/>
    <mergeCell ref="K213:K215"/>
    <mergeCell ref="B343:B352"/>
    <mergeCell ref="D343:D352"/>
    <mergeCell ref="B221:B249"/>
    <mergeCell ref="D221:D249"/>
    <mergeCell ref="B250:B276"/>
    <mergeCell ref="D250:D276"/>
    <mergeCell ref="B277:B298"/>
    <mergeCell ref="D277:D298"/>
    <mergeCell ref="G152:G176"/>
    <mergeCell ref="G299:G308"/>
    <mergeCell ref="F299:F308"/>
    <mergeCell ref="F152:F176"/>
    <mergeCell ref="G309:G320"/>
    <mergeCell ref="B321:B342"/>
    <mergeCell ref="D321:D342"/>
    <mergeCell ref="B211:B220"/>
    <mergeCell ref="C321:C342"/>
    <mergeCell ref="E321:E342"/>
    <mergeCell ref="E211:E220"/>
    <mergeCell ref="D211:D220"/>
    <mergeCell ref="F321:F342"/>
    <mergeCell ref="C211:C220"/>
    <mergeCell ref="B152:B176"/>
    <mergeCell ref="B177:B210"/>
    <mergeCell ref="B309:B320"/>
    <mergeCell ref="C309:C320"/>
    <mergeCell ref="D309:D320"/>
    <mergeCell ref="E309:E320"/>
    <mergeCell ref="F309:F320"/>
    <mergeCell ref="H309:H320"/>
    <mergeCell ref="F277:F298"/>
    <mergeCell ref="G277:G298"/>
    <mergeCell ref="H277:H298"/>
    <mergeCell ref="E277:E298"/>
    <mergeCell ref="D177:D210"/>
    <mergeCell ref="D152:D176"/>
    <mergeCell ref="C299:C308"/>
    <mergeCell ref="H321:H342"/>
    <mergeCell ref="I321:I342"/>
    <mergeCell ref="H152:H176"/>
    <mergeCell ref="I152:I176"/>
    <mergeCell ref="E177:E210"/>
    <mergeCell ref="F177:F210"/>
    <mergeCell ref="E152:E176"/>
    <mergeCell ref="G321:G342"/>
    <mergeCell ref="I250:I276"/>
    <mergeCell ref="H250:H276"/>
    <mergeCell ref="I309:I320"/>
    <mergeCell ref="A1:B1"/>
    <mergeCell ref="C2:C49"/>
    <mergeCell ref="B299:B308"/>
    <mergeCell ref="D299:D308"/>
    <mergeCell ref="B97:B132"/>
    <mergeCell ref="D97:D132"/>
    <mergeCell ref="B50:B96"/>
    <mergeCell ref="D50:D96"/>
    <mergeCell ref="G177:G210"/>
    <mergeCell ref="E250:E276"/>
    <mergeCell ref="E221:E249"/>
    <mergeCell ref="F221:F249"/>
    <mergeCell ref="B2:B49"/>
    <mergeCell ref="D2:D49"/>
    <mergeCell ref="C152:C176"/>
    <mergeCell ref="E299:E308"/>
    <mergeCell ref="E97:E132"/>
    <mergeCell ref="F97:F132"/>
    <mergeCell ref="G97:G132"/>
    <mergeCell ref="B133:B151"/>
    <mergeCell ref="D133:D151"/>
    <mergeCell ref="E133:E151"/>
    <mergeCell ref="C277:C298"/>
    <mergeCell ref="G250:G276"/>
    <mergeCell ref="N350:N352"/>
    <mergeCell ref="N226:N233"/>
    <mergeCell ref="N211:N212"/>
    <mergeCell ref="N213:N215"/>
    <mergeCell ref="N216:N217"/>
    <mergeCell ref="N218:N220"/>
    <mergeCell ref="N221:N225"/>
    <mergeCell ref="N73:N75"/>
    <mergeCell ref="N277:N281"/>
    <mergeCell ref="N306:N307"/>
    <mergeCell ref="N234:N239"/>
    <mergeCell ref="N345:N347"/>
    <mergeCell ref="N348:N349"/>
    <mergeCell ref="N303:N305"/>
    <mergeCell ref="N309:N312"/>
    <mergeCell ref="N313:N317"/>
    <mergeCell ref="N318:N319"/>
    <mergeCell ref="N343:N344"/>
    <mergeCell ref="N282:N286"/>
    <mergeCell ref="N287:N292"/>
    <mergeCell ref="N206:N210"/>
    <mergeCell ref="N119:N121"/>
    <mergeCell ref="N125:N132"/>
    <mergeCell ref="N190:N193"/>
    <mergeCell ref="L326:L330"/>
    <mergeCell ref="M326:M330"/>
    <mergeCell ref="L331:L336"/>
    <mergeCell ref="M331:M336"/>
    <mergeCell ref="H177:H210"/>
    <mergeCell ref="I177:I210"/>
    <mergeCell ref="J177:J210"/>
    <mergeCell ref="M164:M169"/>
    <mergeCell ref="K170:K176"/>
    <mergeCell ref="L170:L176"/>
    <mergeCell ref="K194:K205"/>
    <mergeCell ref="K206:K210"/>
    <mergeCell ref="L206:L210"/>
    <mergeCell ref="H299:H308"/>
    <mergeCell ref="I299:I308"/>
    <mergeCell ref="J309:J320"/>
    <mergeCell ref="K309:K312"/>
    <mergeCell ref="K313:K317"/>
    <mergeCell ref="L313:L317"/>
    <mergeCell ref="K318:K319"/>
    <mergeCell ref="L318:L319"/>
    <mergeCell ref="L211:L212"/>
    <mergeCell ref="L213:L215"/>
    <mergeCell ref="L216:L217"/>
    <mergeCell ref="M97:M118"/>
    <mergeCell ref="M122:M124"/>
    <mergeCell ref="M119:M121"/>
    <mergeCell ref="L164:L169"/>
    <mergeCell ref="M27:M30"/>
    <mergeCell ref="M31:M42"/>
    <mergeCell ref="H211:H220"/>
    <mergeCell ref="I211:I220"/>
    <mergeCell ref="J211:J220"/>
    <mergeCell ref="I133:I151"/>
    <mergeCell ref="J133:J151"/>
    <mergeCell ref="K161:K163"/>
    <mergeCell ref="H97:H132"/>
    <mergeCell ref="J97:J132"/>
    <mergeCell ref="I97:I132"/>
    <mergeCell ref="L218:L220"/>
    <mergeCell ref="M216:M217"/>
    <mergeCell ref="K76:K78"/>
    <mergeCell ref="K73:K75"/>
    <mergeCell ref="K50:K72"/>
    <mergeCell ref="L50:L72"/>
    <mergeCell ref="L73:L75"/>
    <mergeCell ref="L76:L78"/>
    <mergeCell ref="L27:L30"/>
    <mergeCell ref="J250:J276"/>
    <mergeCell ref="K97:K118"/>
    <mergeCell ref="K119:K121"/>
    <mergeCell ref="K122:K124"/>
    <mergeCell ref="K125:K132"/>
    <mergeCell ref="L97:L118"/>
    <mergeCell ref="L119:L121"/>
    <mergeCell ref="L122:L124"/>
    <mergeCell ref="L125:L132"/>
    <mergeCell ref="K211:K212"/>
    <mergeCell ref="K267:K276"/>
    <mergeCell ref="K261:K266"/>
    <mergeCell ref="K253:K260"/>
    <mergeCell ref="K250:K252"/>
    <mergeCell ref="K240:K249"/>
    <mergeCell ref="K226:K233"/>
    <mergeCell ref="K234:K239"/>
    <mergeCell ref="K221:K225"/>
    <mergeCell ref="K218:K220"/>
    <mergeCell ref="J321:J342"/>
    <mergeCell ref="K190:K193"/>
    <mergeCell ref="L190:L193"/>
    <mergeCell ref="L152:L160"/>
    <mergeCell ref="K164:K169"/>
    <mergeCell ref="P50:P96"/>
    <mergeCell ref="L337:L342"/>
    <mergeCell ref="F250:F276"/>
    <mergeCell ref="L221:L225"/>
    <mergeCell ref="L226:L233"/>
    <mergeCell ref="L234:L239"/>
    <mergeCell ref="L240:L249"/>
    <mergeCell ref="M226:M233"/>
    <mergeCell ref="M282:M286"/>
    <mergeCell ref="L321:L325"/>
    <mergeCell ref="M321:M325"/>
    <mergeCell ref="G221:G249"/>
    <mergeCell ref="J221:J249"/>
    <mergeCell ref="I221:I249"/>
    <mergeCell ref="H221:H249"/>
    <mergeCell ref="L261:L266"/>
    <mergeCell ref="L250:L252"/>
    <mergeCell ref="L253:L260"/>
    <mergeCell ref="L267:L276"/>
  </mergeCells>
  <conditionalFormatting sqref="J353">
    <cfRule type="expression" dxfId="1" priority="1">
      <formula>$J$353&gt;=0.9</formula>
    </cfRule>
    <cfRule type="expression" dxfId="0" priority="2">
      <formula>$J$353&lt;0.9</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Q58"/>
  <sheetViews>
    <sheetView topLeftCell="D1" workbookViewId="0">
      <selection activeCell="E7" sqref="E7"/>
    </sheetView>
  </sheetViews>
  <sheetFormatPr defaultRowHeight="12.75" x14ac:dyDescent="0.2"/>
  <cols>
    <col min="1" max="1" width="91.140625" customWidth="1"/>
    <col min="2" max="2" width="93.42578125" customWidth="1"/>
    <col min="3" max="3" width="12.28515625" customWidth="1"/>
    <col min="5" max="5" width="26.5703125" customWidth="1"/>
    <col min="6" max="6" width="12" customWidth="1"/>
    <col min="7" max="7" width="100.85546875" customWidth="1"/>
    <col min="15" max="15" width="24.7109375" customWidth="1"/>
  </cols>
  <sheetData>
    <row r="1" spans="1:15" ht="12.75" customHeight="1" x14ac:dyDescent="0.2">
      <c r="A1" s="28" t="s">
        <v>1070</v>
      </c>
      <c r="B1" s="115" t="s">
        <v>1547</v>
      </c>
      <c r="C1" s="116"/>
      <c r="D1" s="116"/>
      <c r="E1" s="115"/>
      <c r="F1" s="116"/>
      <c r="G1" s="116"/>
    </row>
    <row r="2" spans="1:15" ht="12.75" customHeight="1" x14ac:dyDescent="0.2"/>
    <row r="3" spans="1:15" ht="12.75" customHeight="1" x14ac:dyDescent="0.2">
      <c r="A3" s="28" t="s">
        <v>1050</v>
      </c>
      <c r="B3" s="46" t="s">
        <v>1057</v>
      </c>
      <c r="C3" s="113">
        <v>0.5</v>
      </c>
      <c r="E3" s="45">
        <v>0.5</v>
      </c>
    </row>
    <row r="4" spans="1:15" ht="12.75" customHeight="1" x14ac:dyDescent="0.2">
      <c r="A4" s="45" t="s">
        <v>1036</v>
      </c>
      <c r="B4" s="46" t="s">
        <v>1058</v>
      </c>
      <c r="C4" s="113">
        <v>0.5</v>
      </c>
      <c r="E4" s="45">
        <v>0.5</v>
      </c>
    </row>
    <row r="5" spans="1:15" ht="12.75" customHeight="1" x14ac:dyDescent="0.2">
      <c r="A5" t="s">
        <v>1037</v>
      </c>
      <c r="B5" s="106" t="s">
        <v>1071</v>
      </c>
      <c r="C5" s="107">
        <f>C3*lookup!B301</f>
        <v>0.49999989623483254</v>
      </c>
      <c r="D5" s="114" t="s">
        <v>1068</v>
      </c>
      <c r="E5" s="45">
        <f>C3*lookup!B201</f>
        <v>0.49998247366687543</v>
      </c>
      <c r="F5" s="114" t="s">
        <v>1068</v>
      </c>
    </row>
    <row r="6" spans="1:15" ht="12.75" customHeight="1" x14ac:dyDescent="0.2">
      <c r="A6" t="s">
        <v>1038</v>
      </c>
      <c r="B6" s="106" t="s">
        <v>1072</v>
      </c>
      <c r="C6" s="107">
        <f>C4*lookup!C301</f>
        <v>0.2640384110749891</v>
      </c>
      <c r="D6" s="114" t="s">
        <v>1069</v>
      </c>
      <c r="E6" s="45">
        <f>C4*lookup!C201</f>
        <v>0.19692446805264691</v>
      </c>
      <c r="F6" s="114" t="s">
        <v>1069</v>
      </c>
    </row>
    <row r="7" spans="1:15" ht="12.75" customHeight="1" x14ac:dyDescent="0.2">
      <c r="A7" t="s">
        <v>1039</v>
      </c>
      <c r="C7" s="125">
        <f>C5+C6</f>
        <v>0.76403830730982158</v>
      </c>
      <c r="D7" s="114" t="s">
        <v>1073</v>
      </c>
      <c r="E7" s="45">
        <f>E5+E6</f>
        <v>0.69690694171952239</v>
      </c>
      <c r="F7" s="114" t="s">
        <v>1073</v>
      </c>
    </row>
    <row r="8" spans="1:15" ht="12.75" customHeight="1" x14ac:dyDescent="0.2">
      <c r="A8" t="s">
        <v>1040</v>
      </c>
      <c r="B8" s="106"/>
      <c r="C8" s="108"/>
    </row>
    <row r="9" spans="1:15" ht="12.75" customHeight="1" x14ac:dyDescent="0.2">
      <c r="A9" t="s">
        <v>1041</v>
      </c>
    </row>
    <row r="10" spans="1:15" ht="12.75" customHeight="1" x14ac:dyDescent="0.2">
      <c r="B10" s="115" t="s">
        <v>1056</v>
      </c>
      <c r="C10" s="116"/>
      <c r="D10" s="116"/>
      <c r="E10" s="115" t="s">
        <v>1064</v>
      </c>
      <c r="F10" s="116"/>
      <c r="G10" s="116"/>
      <c r="H10" s="115" t="s">
        <v>1080</v>
      </c>
      <c r="I10" s="116"/>
      <c r="J10" s="116"/>
      <c r="K10" s="116"/>
      <c r="L10" s="116"/>
      <c r="M10" s="116"/>
      <c r="N10" s="116"/>
      <c r="O10" s="116"/>
    </row>
    <row r="11" spans="1:15" ht="12.75" customHeight="1" x14ac:dyDescent="0.2">
      <c r="A11" t="s">
        <v>1042</v>
      </c>
    </row>
    <row r="12" spans="1:15" ht="12.75" customHeight="1" x14ac:dyDescent="0.2">
      <c r="A12" t="s">
        <v>1037</v>
      </c>
      <c r="B12" s="46" t="s">
        <v>1055</v>
      </c>
      <c r="C12" s="113">
        <v>0.99</v>
      </c>
      <c r="E12" s="28" t="s">
        <v>1067</v>
      </c>
      <c r="H12" t="s">
        <v>1081</v>
      </c>
      <c r="I12" t="s">
        <v>1082</v>
      </c>
      <c r="J12" t="s">
        <v>1083</v>
      </c>
      <c r="K12" t="s">
        <v>1084</v>
      </c>
      <c r="L12" t="s">
        <v>1509</v>
      </c>
      <c r="M12" t="s">
        <v>1510</v>
      </c>
    </row>
    <row r="13" spans="1:15" ht="12.75" customHeight="1" x14ac:dyDescent="0.2">
      <c r="A13" t="s">
        <v>1043</v>
      </c>
      <c r="B13" s="46" t="s">
        <v>1075</v>
      </c>
      <c r="C13" s="113">
        <v>0.5</v>
      </c>
      <c r="E13" s="45" t="s">
        <v>1494</v>
      </c>
      <c r="G13" s="45" t="s">
        <v>1482</v>
      </c>
      <c r="H13" s="122">
        <v>0</v>
      </c>
      <c r="I13" s="122">
        <v>0</v>
      </c>
      <c r="J13" s="122">
        <v>0</v>
      </c>
      <c r="K13" s="122">
        <v>0</v>
      </c>
      <c r="L13" s="122">
        <v>0</v>
      </c>
      <c r="M13" s="122">
        <v>1</v>
      </c>
      <c r="O13" t="s">
        <v>1507</v>
      </c>
    </row>
    <row r="14" spans="1:15" ht="12.75" customHeight="1" x14ac:dyDescent="0.2">
      <c r="A14" t="s">
        <v>1044</v>
      </c>
      <c r="B14" s="46" t="s">
        <v>1076</v>
      </c>
      <c r="C14" s="113">
        <v>0.5</v>
      </c>
      <c r="E14" s="45" t="s">
        <v>1495</v>
      </c>
      <c r="G14" s="45" t="s">
        <v>1481</v>
      </c>
      <c r="H14" s="122">
        <v>0</v>
      </c>
      <c r="I14" s="122">
        <v>0</v>
      </c>
      <c r="J14" s="122">
        <v>0</v>
      </c>
      <c r="K14" s="122">
        <v>0</v>
      </c>
      <c r="L14" s="122">
        <v>1</v>
      </c>
      <c r="M14" s="122">
        <v>1</v>
      </c>
      <c r="O14" s="45" t="s">
        <v>1508</v>
      </c>
    </row>
    <row r="15" spans="1:15" ht="12.75" customHeight="1" x14ac:dyDescent="0.2">
      <c r="A15" t="s">
        <v>1045</v>
      </c>
      <c r="B15" s="46" t="s">
        <v>1059</v>
      </c>
      <c r="C15" s="113">
        <v>0.5</v>
      </c>
      <c r="E15" s="45" t="s">
        <v>1545</v>
      </c>
      <c r="G15" s="45" t="s">
        <v>1548</v>
      </c>
      <c r="H15" s="122">
        <v>0</v>
      </c>
      <c r="I15" s="122">
        <v>0</v>
      </c>
      <c r="J15" s="116">
        <v>0</v>
      </c>
      <c r="K15" s="116">
        <v>1</v>
      </c>
      <c r="L15" s="116">
        <v>0</v>
      </c>
      <c r="M15" s="122">
        <v>1</v>
      </c>
      <c r="O15" t="s">
        <v>1085</v>
      </c>
    </row>
    <row r="16" spans="1:15" ht="12.75" customHeight="1" x14ac:dyDescent="0.2">
      <c r="A16" t="s">
        <v>1046</v>
      </c>
      <c r="B16" s="123"/>
      <c r="C16" s="124"/>
      <c r="E16" s="112">
        <f>lookup!D356*C13*(1-POWER(0.5,6))</f>
        <v>0.48923437500000311</v>
      </c>
      <c r="G16" s="45" t="s">
        <v>1065</v>
      </c>
      <c r="H16" s="122">
        <v>0</v>
      </c>
      <c r="I16" s="122">
        <v>0</v>
      </c>
      <c r="J16" s="122">
        <v>0</v>
      </c>
      <c r="K16" s="122">
        <v>1</v>
      </c>
      <c r="L16" s="122">
        <v>1</v>
      </c>
      <c r="M16" s="122">
        <v>1</v>
      </c>
    </row>
    <row r="17" spans="1:17" ht="12.75" customHeight="1" x14ac:dyDescent="0.2">
      <c r="B17" s="123"/>
      <c r="C17" s="124"/>
      <c r="H17" s="122">
        <v>0</v>
      </c>
      <c r="I17" s="116">
        <v>0</v>
      </c>
      <c r="J17" s="116">
        <v>1</v>
      </c>
      <c r="K17" s="116">
        <v>0</v>
      </c>
      <c r="L17" s="122">
        <v>0</v>
      </c>
      <c r="M17" s="122">
        <v>1</v>
      </c>
      <c r="O17" t="s">
        <v>1086</v>
      </c>
    </row>
    <row r="18" spans="1:17" ht="12.75" customHeight="1" x14ac:dyDescent="0.2">
      <c r="A18" t="s">
        <v>1047</v>
      </c>
      <c r="B18" s="123"/>
      <c r="C18" s="120"/>
      <c r="E18" s="28" t="s">
        <v>1066</v>
      </c>
      <c r="H18" s="122">
        <v>0</v>
      </c>
      <c r="I18" s="116">
        <v>0</v>
      </c>
      <c r="J18" s="116">
        <v>1</v>
      </c>
      <c r="K18" s="116">
        <v>0</v>
      </c>
      <c r="L18" s="122">
        <v>1</v>
      </c>
      <c r="M18" s="122">
        <v>1</v>
      </c>
      <c r="O18" s="112">
        <f>11/16</f>
        <v>0.6875</v>
      </c>
    </row>
    <row r="19" spans="1:17" x14ac:dyDescent="0.2">
      <c r="A19" t="s">
        <v>1037</v>
      </c>
      <c r="B19" s="106"/>
      <c r="C19" s="108"/>
      <c r="E19" t="s">
        <v>1060</v>
      </c>
      <c r="F19" s="110">
        <f>C15*0.5</f>
        <v>0.25</v>
      </c>
      <c r="G19" t="s">
        <v>1062</v>
      </c>
      <c r="H19" s="122">
        <v>0</v>
      </c>
      <c r="I19" s="116">
        <v>0</v>
      </c>
      <c r="J19" s="116">
        <v>1</v>
      </c>
      <c r="K19" s="116">
        <v>1</v>
      </c>
      <c r="L19" s="116">
        <v>0</v>
      </c>
      <c r="M19" s="122">
        <v>1</v>
      </c>
    </row>
    <row r="20" spans="1:17" ht="12.75" customHeight="1" x14ac:dyDescent="0.2">
      <c r="A20" t="s">
        <v>1043</v>
      </c>
      <c r="B20" s="106"/>
      <c r="C20" s="120"/>
      <c r="E20" t="s">
        <v>1061</v>
      </c>
      <c r="F20" s="110">
        <f>1-F19</f>
        <v>0.75</v>
      </c>
      <c r="G20" t="s">
        <v>1063</v>
      </c>
      <c r="H20" s="122">
        <v>0</v>
      </c>
      <c r="I20" s="122">
        <v>0</v>
      </c>
      <c r="J20" s="122">
        <v>1</v>
      </c>
      <c r="K20" s="122">
        <v>1</v>
      </c>
      <c r="L20" s="122">
        <v>1</v>
      </c>
      <c r="M20" s="122">
        <v>1</v>
      </c>
      <c r="O20" s="466" t="s">
        <v>1511</v>
      </c>
      <c r="P20" s="466"/>
      <c r="Q20" s="466"/>
    </row>
    <row r="21" spans="1:17" x14ac:dyDescent="0.2">
      <c r="A21" t="s">
        <v>1040</v>
      </c>
      <c r="B21" s="106"/>
      <c r="C21" s="120"/>
      <c r="E21" s="45" t="s">
        <v>1498</v>
      </c>
      <c r="F21" s="110">
        <f>POWER(F20,6)</f>
        <v>0.177978515625</v>
      </c>
      <c r="G21" s="45" t="s">
        <v>1483</v>
      </c>
      <c r="H21" s="116">
        <v>0</v>
      </c>
      <c r="I21" s="116">
        <v>1</v>
      </c>
      <c r="J21" s="116">
        <v>0</v>
      </c>
      <c r="K21" s="122">
        <v>0</v>
      </c>
      <c r="L21" s="122">
        <v>0</v>
      </c>
      <c r="M21" s="122">
        <v>1</v>
      </c>
      <c r="O21" s="466"/>
      <c r="P21" s="466"/>
      <c r="Q21" s="466"/>
    </row>
    <row r="22" spans="1:17" x14ac:dyDescent="0.2">
      <c r="A22" t="s">
        <v>1048</v>
      </c>
      <c r="B22" s="106"/>
      <c r="C22" s="121"/>
      <c r="E22" s="45" t="s">
        <v>1497</v>
      </c>
      <c r="F22" s="110">
        <f>1-F21</f>
        <v>0.822021484375</v>
      </c>
      <c r="G22" s="45" t="s">
        <v>1484</v>
      </c>
      <c r="H22" s="116">
        <v>0</v>
      </c>
      <c r="I22" s="116">
        <v>1</v>
      </c>
      <c r="J22" s="116">
        <v>0</v>
      </c>
      <c r="K22" s="122">
        <v>0</v>
      </c>
      <c r="L22" s="122">
        <v>1</v>
      </c>
      <c r="M22" s="122">
        <v>1</v>
      </c>
      <c r="O22" s="466"/>
      <c r="P22" s="466"/>
      <c r="Q22" s="466"/>
    </row>
    <row r="23" spans="1:17" x14ac:dyDescent="0.2">
      <c r="A23" t="s">
        <v>1049</v>
      </c>
      <c r="B23" s="106"/>
      <c r="C23" s="121"/>
      <c r="E23" s="45" t="s">
        <v>1546</v>
      </c>
      <c r="F23" s="111">
        <f>lookup!D356*C14*F22</f>
        <v>0.40854467773437758</v>
      </c>
      <c r="G23" s="45" t="s">
        <v>1475</v>
      </c>
      <c r="H23" s="116">
        <v>0</v>
      </c>
      <c r="I23" s="116">
        <v>1</v>
      </c>
      <c r="J23" s="116">
        <v>0</v>
      </c>
      <c r="K23" s="122">
        <v>1</v>
      </c>
      <c r="L23" s="122">
        <v>0</v>
      </c>
      <c r="M23" s="122">
        <v>1</v>
      </c>
      <c r="O23" s="466"/>
      <c r="P23" s="466"/>
      <c r="Q23" s="466"/>
    </row>
    <row r="24" spans="1:17" x14ac:dyDescent="0.2">
      <c r="A24" s="28"/>
      <c r="B24" s="106"/>
      <c r="C24" s="121"/>
      <c r="F24" s="109"/>
      <c r="G24" s="45"/>
      <c r="H24" s="116">
        <v>0</v>
      </c>
      <c r="I24" s="116">
        <v>1</v>
      </c>
      <c r="J24" s="116">
        <v>0</v>
      </c>
      <c r="K24" s="122">
        <v>1</v>
      </c>
      <c r="L24" s="122">
        <v>1</v>
      </c>
      <c r="M24" s="122">
        <v>1</v>
      </c>
      <c r="O24" s="466"/>
      <c r="P24" s="466"/>
      <c r="Q24" s="466"/>
    </row>
    <row r="25" spans="1:17" x14ac:dyDescent="0.2">
      <c r="A25" s="28" t="s">
        <v>1051</v>
      </c>
      <c r="B25" s="106"/>
      <c r="C25" s="121"/>
      <c r="H25" s="116">
        <v>0</v>
      </c>
      <c r="I25" s="116">
        <v>1</v>
      </c>
      <c r="J25" s="116">
        <v>1</v>
      </c>
      <c r="K25" s="116">
        <v>0</v>
      </c>
      <c r="L25" s="122">
        <v>0</v>
      </c>
      <c r="M25" s="122">
        <v>1</v>
      </c>
      <c r="O25" s="466"/>
      <c r="P25" s="466"/>
      <c r="Q25" s="466"/>
    </row>
    <row r="26" spans="1:17" x14ac:dyDescent="0.2">
      <c r="A26" s="45" t="s">
        <v>1052</v>
      </c>
      <c r="B26" s="106"/>
      <c r="C26" s="121"/>
      <c r="H26" s="116">
        <v>0</v>
      </c>
      <c r="I26" s="116">
        <v>1</v>
      </c>
      <c r="J26" s="116">
        <v>1</v>
      </c>
      <c r="K26" s="116">
        <v>0</v>
      </c>
      <c r="L26" s="122">
        <v>1</v>
      </c>
      <c r="M26" s="122">
        <v>1</v>
      </c>
      <c r="O26" s="466"/>
      <c r="P26" s="466"/>
      <c r="Q26" s="466"/>
    </row>
    <row r="27" spans="1:17" x14ac:dyDescent="0.2">
      <c r="C27" s="122"/>
      <c r="H27" s="116">
        <v>0</v>
      </c>
      <c r="I27" s="116">
        <v>1</v>
      </c>
      <c r="J27" s="116">
        <v>1</v>
      </c>
      <c r="K27" s="116">
        <v>1</v>
      </c>
      <c r="L27" s="116">
        <v>0</v>
      </c>
      <c r="M27" s="122">
        <v>1</v>
      </c>
      <c r="O27" s="466"/>
      <c r="P27" s="466"/>
      <c r="Q27" s="466"/>
    </row>
    <row r="28" spans="1:17" x14ac:dyDescent="0.2">
      <c r="A28" t="s">
        <v>1053</v>
      </c>
      <c r="H28" s="122">
        <v>0</v>
      </c>
      <c r="I28" s="122">
        <v>1</v>
      </c>
      <c r="J28" s="122">
        <v>1</v>
      </c>
      <c r="K28" s="122">
        <v>1</v>
      </c>
      <c r="L28" s="122">
        <v>1</v>
      </c>
      <c r="M28" s="122">
        <v>1</v>
      </c>
      <c r="O28" s="466"/>
      <c r="P28" s="466"/>
      <c r="Q28" s="466"/>
    </row>
    <row r="29" spans="1:17" x14ac:dyDescent="0.2">
      <c r="A29" t="s">
        <v>1054</v>
      </c>
      <c r="O29" s="466"/>
      <c r="P29" s="466"/>
      <c r="Q29" s="466"/>
    </row>
    <row r="30" spans="1:17" x14ac:dyDescent="0.2">
      <c r="O30" s="466"/>
      <c r="P30" s="466"/>
      <c r="Q30" s="466"/>
    </row>
    <row r="35" spans="2:15" x14ac:dyDescent="0.2">
      <c r="B35" s="115" t="s">
        <v>1088</v>
      </c>
      <c r="C35" s="116"/>
      <c r="D35" s="116"/>
      <c r="E35" s="115" t="s">
        <v>1089</v>
      </c>
      <c r="F35" s="116"/>
      <c r="G35" s="116"/>
      <c r="H35" s="115" t="s">
        <v>1090</v>
      </c>
      <c r="I35" s="116"/>
      <c r="J35" s="116"/>
      <c r="K35" s="116"/>
      <c r="L35" s="116"/>
      <c r="M35" s="116"/>
      <c r="N35" s="116"/>
      <c r="O35" s="116"/>
    </row>
    <row r="37" spans="2:15" x14ac:dyDescent="0.2">
      <c r="B37" s="46" t="s">
        <v>1055</v>
      </c>
      <c r="C37" s="113">
        <v>1</v>
      </c>
      <c r="E37" s="28" t="s">
        <v>1067</v>
      </c>
      <c r="H37" t="s">
        <v>1081</v>
      </c>
      <c r="I37" t="s">
        <v>1082</v>
      </c>
      <c r="J37" t="s">
        <v>1083</v>
      </c>
      <c r="K37" t="s">
        <v>1084</v>
      </c>
      <c r="L37" t="s">
        <v>1509</v>
      </c>
      <c r="M37" t="s">
        <v>1510</v>
      </c>
    </row>
    <row r="38" spans="2:15" x14ac:dyDescent="0.2">
      <c r="B38" s="46" t="s">
        <v>1075</v>
      </c>
      <c r="C38" s="113">
        <v>0.5</v>
      </c>
      <c r="E38" s="45" t="s">
        <v>1494</v>
      </c>
      <c r="G38" s="45" t="s">
        <v>1482</v>
      </c>
      <c r="H38" s="122">
        <v>0</v>
      </c>
      <c r="I38" s="122">
        <v>0</v>
      </c>
      <c r="J38" s="122">
        <v>0</v>
      </c>
      <c r="K38" s="122">
        <v>0</v>
      </c>
      <c r="L38" s="122">
        <v>0</v>
      </c>
      <c r="M38" s="122">
        <v>1</v>
      </c>
      <c r="O38" t="s">
        <v>1507</v>
      </c>
    </row>
    <row r="39" spans="2:15" x14ac:dyDescent="0.2">
      <c r="B39" s="46" t="s">
        <v>1076</v>
      </c>
      <c r="C39" s="113">
        <v>0.5</v>
      </c>
      <c r="E39" s="45" t="s">
        <v>1495</v>
      </c>
      <c r="G39" s="45" t="s">
        <v>1481</v>
      </c>
      <c r="H39" s="122">
        <v>0</v>
      </c>
      <c r="I39" s="122">
        <v>0</v>
      </c>
      <c r="J39" s="122">
        <v>0</v>
      </c>
      <c r="K39" s="122">
        <v>0</v>
      </c>
      <c r="L39" s="122">
        <v>1</v>
      </c>
      <c r="M39" s="122">
        <v>1</v>
      </c>
      <c r="O39" s="45" t="s">
        <v>1508</v>
      </c>
    </row>
    <row r="40" spans="2:15" x14ac:dyDescent="0.2">
      <c r="B40" s="46" t="s">
        <v>1059</v>
      </c>
      <c r="C40" s="113">
        <v>0.5</v>
      </c>
      <c r="E40" s="45" t="s">
        <v>1496</v>
      </c>
      <c r="G40" s="45" t="s">
        <v>1548</v>
      </c>
      <c r="H40" s="122">
        <v>0</v>
      </c>
      <c r="I40" s="122">
        <v>0</v>
      </c>
      <c r="J40" s="116">
        <v>0</v>
      </c>
      <c r="K40" s="116">
        <v>1</v>
      </c>
      <c r="L40" s="116">
        <v>0</v>
      </c>
      <c r="M40" s="122">
        <v>1</v>
      </c>
      <c r="O40" t="s">
        <v>1085</v>
      </c>
    </row>
    <row r="41" spans="2:15" x14ac:dyDescent="0.2">
      <c r="B41" s="123"/>
      <c r="C41" s="124"/>
      <c r="E41" s="112">
        <f>lookup!F98*C38*(1-POWER(0.5,6))</f>
        <v>0.49174453124999917</v>
      </c>
      <c r="G41" s="45" t="s">
        <v>1065</v>
      </c>
      <c r="H41" s="122">
        <v>0</v>
      </c>
      <c r="I41" s="122">
        <v>0</v>
      </c>
      <c r="J41" s="122">
        <v>0</v>
      </c>
      <c r="K41" s="122">
        <v>1</v>
      </c>
      <c r="L41" s="122">
        <v>1</v>
      </c>
      <c r="M41" s="122">
        <v>1</v>
      </c>
    </row>
    <row r="42" spans="2:15" x14ac:dyDescent="0.2">
      <c r="B42" s="123"/>
      <c r="C42" s="124"/>
      <c r="H42" s="122">
        <v>0</v>
      </c>
      <c r="I42" s="116">
        <v>0</v>
      </c>
      <c r="J42" s="116">
        <v>1</v>
      </c>
      <c r="K42" s="116">
        <v>0</v>
      </c>
      <c r="L42" s="122">
        <v>0</v>
      </c>
      <c r="M42" s="122">
        <v>1</v>
      </c>
      <c r="O42" t="s">
        <v>1086</v>
      </c>
    </row>
    <row r="43" spans="2:15" x14ac:dyDescent="0.2">
      <c r="B43" s="123"/>
      <c r="C43" s="120"/>
      <c r="E43" s="28" t="s">
        <v>1066</v>
      </c>
      <c r="H43" s="122">
        <v>0</v>
      </c>
      <c r="I43" s="116">
        <v>0</v>
      </c>
      <c r="J43" s="116">
        <v>1</v>
      </c>
      <c r="K43" s="116">
        <v>0</v>
      </c>
      <c r="L43" s="122">
        <v>1</v>
      </c>
      <c r="M43" s="122">
        <v>1</v>
      </c>
      <c r="O43" s="112">
        <f>11/16</f>
        <v>0.6875</v>
      </c>
    </row>
    <row r="44" spans="2:15" x14ac:dyDescent="0.2">
      <c r="B44" s="106"/>
      <c r="C44" s="108"/>
      <c r="E44" t="s">
        <v>1060</v>
      </c>
      <c r="F44" s="110">
        <f>C40*0.5</f>
        <v>0.25</v>
      </c>
      <c r="G44" t="s">
        <v>1062</v>
      </c>
      <c r="H44" s="122">
        <v>0</v>
      </c>
      <c r="I44" s="116">
        <v>0</v>
      </c>
      <c r="J44" s="116">
        <v>1</v>
      </c>
      <c r="K44" s="116">
        <v>1</v>
      </c>
      <c r="L44" s="116">
        <v>0</v>
      </c>
      <c r="M44" s="122">
        <v>1</v>
      </c>
    </row>
    <row r="45" spans="2:15" x14ac:dyDescent="0.2">
      <c r="B45" s="106"/>
      <c r="C45" s="120"/>
      <c r="E45" t="s">
        <v>1061</v>
      </c>
      <c r="F45" s="110">
        <f>1-F44</f>
        <v>0.75</v>
      </c>
      <c r="G45" t="s">
        <v>1063</v>
      </c>
      <c r="H45" s="122">
        <v>0</v>
      </c>
      <c r="I45" s="122">
        <v>0</v>
      </c>
      <c r="J45" s="122">
        <v>1</v>
      </c>
      <c r="K45" s="122">
        <v>1</v>
      </c>
      <c r="L45" s="122">
        <v>1</v>
      </c>
      <c r="M45" s="122">
        <v>1</v>
      </c>
    </row>
    <row r="46" spans="2:15" x14ac:dyDescent="0.2">
      <c r="B46" s="106"/>
      <c r="C46" s="120"/>
      <c r="E46" s="45" t="s">
        <v>1498</v>
      </c>
      <c r="F46" s="110">
        <f>POWER(F45,6)</f>
        <v>0.177978515625</v>
      </c>
      <c r="G46" s="45" t="s">
        <v>1483</v>
      </c>
      <c r="H46" s="116">
        <v>0</v>
      </c>
      <c r="I46" s="116">
        <v>1</v>
      </c>
      <c r="J46" s="116">
        <v>0</v>
      </c>
      <c r="K46" s="122">
        <v>0</v>
      </c>
      <c r="L46" s="122">
        <v>0</v>
      </c>
      <c r="M46" s="122">
        <v>1</v>
      </c>
    </row>
    <row r="47" spans="2:15" x14ac:dyDescent="0.2">
      <c r="B47" s="106"/>
      <c r="C47" s="121"/>
      <c r="E47" s="45" t="s">
        <v>1497</v>
      </c>
      <c r="F47" s="110">
        <f>1-F46</f>
        <v>0.822021484375</v>
      </c>
      <c r="G47" s="45" t="s">
        <v>1484</v>
      </c>
      <c r="H47" s="116">
        <v>0</v>
      </c>
      <c r="I47" s="116">
        <v>1</v>
      </c>
      <c r="J47" s="116">
        <v>0</v>
      </c>
      <c r="K47" s="122">
        <v>0</v>
      </c>
      <c r="L47" s="122">
        <v>1</v>
      </c>
      <c r="M47" s="122">
        <v>1</v>
      </c>
    </row>
    <row r="48" spans="2:15" ht="12.75" customHeight="1" x14ac:dyDescent="0.2">
      <c r="B48" s="106"/>
      <c r="C48" s="121"/>
      <c r="E48" s="45" t="s">
        <v>1550</v>
      </c>
      <c r="F48" s="111">
        <f>lookup!F98*C39*F47</f>
        <v>0.41064083251953054</v>
      </c>
      <c r="G48" s="45" t="s">
        <v>1551</v>
      </c>
      <c r="H48" s="116">
        <v>0</v>
      </c>
      <c r="I48" s="116">
        <v>1</v>
      </c>
      <c r="J48" s="116">
        <v>0</v>
      </c>
      <c r="K48" s="122">
        <v>1</v>
      </c>
      <c r="L48" s="122">
        <v>0</v>
      </c>
      <c r="M48" s="122">
        <v>1</v>
      </c>
    </row>
    <row r="49" spans="4:13" ht="12.75" customHeight="1" x14ac:dyDescent="0.2">
      <c r="D49" s="118"/>
      <c r="E49" s="119"/>
      <c r="H49" s="116">
        <v>0</v>
      </c>
      <c r="I49" s="116">
        <v>1</v>
      </c>
      <c r="J49" s="116">
        <v>0</v>
      </c>
      <c r="K49" s="122">
        <v>1</v>
      </c>
      <c r="L49" s="122">
        <v>1</v>
      </c>
      <c r="M49" s="122">
        <v>1</v>
      </c>
    </row>
    <row r="50" spans="4:13" ht="12.75" customHeight="1" x14ac:dyDescent="0.2">
      <c r="H50" s="116">
        <v>0</v>
      </c>
      <c r="I50" s="116">
        <v>1</v>
      </c>
      <c r="J50" s="116">
        <v>1</v>
      </c>
      <c r="K50" s="116">
        <v>0</v>
      </c>
      <c r="L50" s="122">
        <v>0</v>
      </c>
      <c r="M50" s="122">
        <v>1</v>
      </c>
    </row>
    <row r="51" spans="4:13" ht="12.75" customHeight="1" x14ac:dyDescent="0.2">
      <c r="H51" s="116">
        <v>0</v>
      </c>
      <c r="I51" s="116">
        <v>1</v>
      </c>
      <c r="J51" s="116">
        <v>1</v>
      </c>
      <c r="K51" s="116">
        <v>0</v>
      </c>
      <c r="L51" s="122">
        <v>1</v>
      </c>
      <c r="M51" s="122">
        <v>1</v>
      </c>
    </row>
    <row r="52" spans="4:13" ht="12.75" customHeight="1" x14ac:dyDescent="0.2">
      <c r="H52" s="116">
        <v>0</v>
      </c>
      <c r="I52" s="116">
        <v>1</v>
      </c>
      <c r="J52" s="116">
        <v>1</v>
      </c>
      <c r="K52" s="116">
        <v>1</v>
      </c>
      <c r="L52" s="116">
        <v>0</v>
      </c>
      <c r="M52" s="122">
        <v>1</v>
      </c>
    </row>
    <row r="53" spans="4:13" ht="12.75" customHeight="1" x14ac:dyDescent="0.2">
      <c r="H53" s="122">
        <v>0</v>
      </c>
      <c r="I53" s="122">
        <v>1</v>
      </c>
      <c r="J53" s="122">
        <v>1</v>
      </c>
      <c r="K53" s="122">
        <v>1</v>
      </c>
      <c r="L53" s="122">
        <v>1</v>
      </c>
      <c r="M53" s="122">
        <v>1</v>
      </c>
    </row>
    <row r="54" spans="4:13" ht="12.75" customHeight="1" x14ac:dyDescent="0.2"/>
    <row r="55" spans="4:13" ht="12.75" customHeight="1" x14ac:dyDescent="0.2"/>
    <row r="56" spans="4:13" ht="12.75" customHeight="1" x14ac:dyDescent="0.2"/>
    <row r="57" spans="4:13" ht="12.75" customHeight="1" x14ac:dyDescent="0.2"/>
    <row r="58" spans="4:13" ht="12.75" customHeight="1" x14ac:dyDescent="0.2"/>
  </sheetData>
  <mergeCells count="1">
    <mergeCell ref="O20:Q3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455"/>
  <sheetViews>
    <sheetView workbookViewId="0">
      <selection activeCell="L11" sqref="L11"/>
    </sheetView>
  </sheetViews>
  <sheetFormatPr defaultRowHeight="12.75" x14ac:dyDescent="0.2"/>
  <cols>
    <col min="2" max="2" width="19.7109375" customWidth="1"/>
    <col min="3" max="3" width="14.140625" customWidth="1"/>
    <col min="4" max="4" width="13" customWidth="1"/>
    <col min="5" max="5" width="15.5703125" customWidth="1"/>
    <col min="6" max="6" width="16.7109375" customWidth="1"/>
    <col min="7" max="7" width="16.140625" customWidth="1"/>
    <col min="10" max="10" width="16.85546875" customWidth="1"/>
    <col min="11" max="11" width="19.28515625" customWidth="1"/>
  </cols>
  <sheetData>
    <row r="1" spans="1:12" ht="25.5" customHeight="1" x14ac:dyDescent="0.2">
      <c r="A1" s="117" t="s">
        <v>1078</v>
      </c>
      <c r="B1" s="467" t="s">
        <v>1077</v>
      </c>
      <c r="C1" s="467"/>
      <c r="D1" s="467" t="s">
        <v>1087</v>
      </c>
      <c r="E1" s="467"/>
      <c r="F1" s="467" t="s">
        <v>1087</v>
      </c>
      <c r="G1" s="467"/>
      <c r="J1" s="467" t="s">
        <v>1077</v>
      </c>
      <c r="K1" s="467"/>
    </row>
    <row r="2" spans="1:12" x14ac:dyDescent="0.2">
      <c r="A2">
        <v>1</v>
      </c>
      <c r="B2">
        <v>0.05</v>
      </c>
      <c r="C2">
        <f>B2*B2</f>
        <v>2.5000000000000005E-3</v>
      </c>
      <c r="D2">
        <v>2.8E-3</v>
      </c>
      <c r="E2">
        <f>D2*0.5+D2*0.5*0.5</f>
        <v>2.0999999999999999E-3</v>
      </c>
      <c r="F2">
        <v>1.03E-2</v>
      </c>
      <c r="G2">
        <f>F2*0.5+F2*0.5*0.5</f>
        <v>7.7250000000000001E-3</v>
      </c>
      <c r="H2">
        <f>1/(18*2)</f>
        <v>2.7777777777777776E-2</v>
      </c>
      <c r="I2">
        <f>H2*H2</f>
        <v>7.716049382716049E-4</v>
      </c>
      <c r="J2">
        <v>0.03</v>
      </c>
      <c r="K2">
        <f>J2*J2</f>
        <v>8.9999999999999998E-4</v>
      </c>
      <c r="L2" s="51">
        <f>1/20</f>
        <v>0.05</v>
      </c>
    </row>
    <row r="3" spans="1:12" x14ac:dyDescent="0.2">
      <c r="A3">
        <v>2</v>
      </c>
      <c r="B3">
        <f>B2+B$2-B2*B$2</f>
        <v>9.7500000000000003E-2</v>
      </c>
      <c r="C3">
        <f>C2+C$2-C2*C$2</f>
        <v>4.9937500000000008E-3</v>
      </c>
      <c r="D3">
        <f t="shared" ref="D3:I3" si="0">D2+D$2</f>
        <v>5.5999999999999999E-3</v>
      </c>
      <c r="E3">
        <f t="shared" si="0"/>
        <v>4.1999999999999997E-3</v>
      </c>
      <c r="F3">
        <f t="shared" si="0"/>
        <v>2.06E-2</v>
      </c>
      <c r="G3">
        <f t="shared" si="0"/>
        <v>1.545E-2</v>
      </c>
      <c r="H3">
        <f t="shared" si="0"/>
        <v>5.5555555555555552E-2</v>
      </c>
      <c r="I3">
        <f t="shared" si="0"/>
        <v>1.5432098765432098E-3</v>
      </c>
      <c r="J3">
        <f>J2+J$2-J2*J$2</f>
        <v>5.91E-2</v>
      </c>
      <c r="K3">
        <f>K2+K$2-K2*K$2</f>
        <v>1.79919E-3</v>
      </c>
      <c r="L3" s="51">
        <f>L2+L$2</f>
        <v>0.1</v>
      </c>
    </row>
    <row r="4" spans="1:12" x14ac:dyDescent="0.2">
      <c r="A4">
        <v>3</v>
      </c>
      <c r="B4">
        <f t="shared" ref="B4:B35" si="1">B3+B$2-B3*B$2</f>
        <v>0.14262500000000003</v>
      </c>
      <c r="C4">
        <f t="shared" ref="C4:C67" si="2">C3+C$2-C3*C$2</f>
        <v>7.4812656250000014E-3</v>
      </c>
      <c r="D4">
        <f t="shared" ref="D4:D67" si="3">D3+D$2</f>
        <v>8.3999999999999995E-3</v>
      </c>
      <c r="E4">
        <f t="shared" ref="E4:H67" si="4">E3+E$2</f>
        <v>6.3E-3</v>
      </c>
      <c r="F4">
        <f t="shared" si="4"/>
        <v>3.09E-2</v>
      </c>
      <c r="G4">
        <f t="shared" si="4"/>
        <v>2.3175000000000001E-2</v>
      </c>
      <c r="H4">
        <f t="shared" si="4"/>
        <v>8.3333333333333329E-2</v>
      </c>
      <c r="I4">
        <f t="shared" ref="I4:I67" si="5">I3+I$2</f>
        <v>2.3148148148148147E-3</v>
      </c>
      <c r="J4">
        <f t="shared" ref="J4:J67" si="6">J3+J$2-J3*J$2</f>
        <v>8.7327000000000002E-2</v>
      </c>
      <c r="K4">
        <f t="shared" ref="K4:K67" si="7">K3+K$2-K3*K$2</f>
        <v>2.697570729E-3</v>
      </c>
      <c r="L4" s="51">
        <f t="shared" ref="L4:L20" si="8">L3+L$2</f>
        <v>0.15000000000000002</v>
      </c>
    </row>
    <row r="5" spans="1:12" x14ac:dyDescent="0.2">
      <c r="A5">
        <v>4</v>
      </c>
      <c r="B5">
        <f t="shared" si="1"/>
        <v>0.18549375000000004</v>
      </c>
      <c r="C5">
        <f t="shared" si="2"/>
        <v>9.9625624609375029E-3</v>
      </c>
      <c r="D5">
        <f t="shared" si="3"/>
        <v>1.12E-2</v>
      </c>
      <c r="E5">
        <f t="shared" si="4"/>
        <v>8.3999999999999995E-3</v>
      </c>
      <c r="F5">
        <f t="shared" si="4"/>
        <v>4.1200000000000001E-2</v>
      </c>
      <c r="G5">
        <f t="shared" si="4"/>
        <v>3.09E-2</v>
      </c>
      <c r="H5">
        <f t="shared" si="4"/>
        <v>0.1111111111111111</v>
      </c>
      <c r="I5">
        <f t="shared" si="5"/>
        <v>3.0864197530864196E-3</v>
      </c>
      <c r="J5">
        <f t="shared" si="6"/>
        <v>0.11470719</v>
      </c>
      <c r="K5">
        <f t="shared" si="7"/>
        <v>3.5951429153438996E-3</v>
      </c>
      <c r="L5" s="51">
        <f t="shared" si="8"/>
        <v>0.2</v>
      </c>
    </row>
    <row r="6" spans="1:12" x14ac:dyDescent="0.2">
      <c r="A6">
        <v>5</v>
      </c>
      <c r="B6">
        <f t="shared" si="1"/>
        <v>0.22621906250000007</v>
      </c>
      <c r="C6">
        <f t="shared" si="2"/>
        <v>1.2437656054785159E-2</v>
      </c>
      <c r="D6">
        <f t="shared" si="3"/>
        <v>1.4E-2</v>
      </c>
      <c r="E6">
        <f t="shared" si="4"/>
        <v>1.0499999999999999E-2</v>
      </c>
      <c r="F6">
        <f t="shared" si="4"/>
        <v>5.1500000000000004E-2</v>
      </c>
      <c r="G6">
        <f t="shared" si="4"/>
        <v>3.8625E-2</v>
      </c>
      <c r="H6">
        <f t="shared" si="4"/>
        <v>0.1388888888888889</v>
      </c>
      <c r="I6">
        <f t="shared" si="5"/>
        <v>3.8580246913580245E-3</v>
      </c>
      <c r="J6">
        <f t="shared" si="6"/>
        <v>0.14126597429999999</v>
      </c>
      <c r="K6">
        <f t="shared" si="7"/>
        <v>4.4919072867200902E-3</v>
      </c>
      <c r="L6" s="51">
        <f t="shared" si="8"/>
        <v>0.25</v>
      </c>
    </row>
    <row r="7" spans="1:12" x14ac:dyDescent="0.2">
      <c r="A7">
        <v>6</v>
      </c>
      <c r="B7">
        <f t="shared" si="1"/>
        <v>0.26490810937500003</v>
      </c>
      <c r="C7">
        <f t="shared" si="2"/>
        <v>1.4906561914648196E-2</v>
      </c>
      <c r="D7">
        <f t="shared" si="3"/>
        <v>1.6799999999999999E-2</v>
      </c>
      <c r="E7">
        <f t="shared" si="4"/>
        <v>1.2599999999999998E-2</v>
      </c>
      <c r="F7">
        <f t="shared" si="4"/>
        <v>6.1800000000000008E-2</v>
      </c>
      <c r="G7">
        <f t="shared" si="4"/>
        <v>4.6350000000000002E-2</v>
      </c>
      <c r="H7">
        <f t="shared" si="4"/>
        <v>0.16666666666666669</v>
      </c>
      <c r="I7">
        <f t="shared" si="5"/>
        <v>4.6296296296296294E-3</v>
      </c>
      <c r="J7">
        <f t="shared" si="6"/>
        <v>0.167027995071</v>
      </c>
      <c r="K7">
        <f t="shared" si="7"/>
        <v>5.3878645701620417E-3</v>
      </c>
      <c r="L7" s="51">
        <f t="shared" si="8"/>
        <v>0.3</v>
      </c>
    </row>
    <row r="8" spans="1:12" x14ac:dyDescent="0.2">
      <c r="A8">
        <v>7</v>
      </c>
      <c r="B8">
        <f t="shared" si="1"/>
        <v>0.30166270390625</v>
      </c>
      <c r="C8">
        <f t="shared" si="2"/>
        <v>1.7369295509861576E-2</v>
      </c>
      <c r="D8">
        <f t="shared" si="3"/>
        <v>1.9599999999999999E-2</v>
      </c>
      <c r="E8">
        <f t="shared" si="4"/>
        <v>1.4699999999999998E-2</v>
      </c>
      <c r="F8">
        <f t="shared" si="4"/>
        <v>7.2100000000000011E-2</v>
      </c>
      <c r="G8">
        <f t="shared" si="4"/>
        <v>5.4075000000000005E-2</v>
      </c>
      <c r="H8">
        <f t="shared" si="4"/>
        <v>0.19444444444444448</v>
      </c>
      <c r="I8">
        <f t="shared" si="5"/>
        <v>5.4012345679012343E-3</v>
      </c>
      <c r="J8">
        <f t="shared" si="6"/>
        <v>0.19201715521887</v>
      </c>
      <c r="K8">
        <f t="shared" si="7"/>
        <v>6.2830154920488959E-3</v>
      </c>
      <c r="L8" s="51">
        <f t="shared" si="8"/>
        <v>0.35</v>
      </c>
    </row>
    <row r="9" spans="1:12" x14ac:dyDescent="0.2">
      <c r="A9">
        <v>8</v>
      </c>
      <c r="B9">
        <f t="shared" si="1"/>
        <v>0.33657956871093747</v>
      </c>
      <c r="C9">
        <f t="shared" si="2"/>
        <v>1.9825872271086925E-2</v>
      </c>
      <c r="D9">
        <f t="shared" si="3"/>
        <v>2.24E-2</v>
      </c>
      <c r="E9">
        <f t="shared" si="4"/>
        <v>1.6799999999999999E-2</v>
      </c>
      <c r="F9">
        <f t="shared" si="4"/>
        <v>8.2400000000000015E-2</v>
      </c>
      <c r="G9">
        <f t="shared" si="4"/>
        <v>6.1800000000000008E-2</v>
      </c>
      <c r="H9">
        <f t="shared" si="4"/>
        <v>0.22222222222222227</v>
      </c>
      <c r="I9">
        <f t="shared" si="5"/>
        <v>6.1728395061728392E-3</v>
      </c>
      <c r="J9">
        <f t="shared" si="6"/>
        <v>0.2162566405623039</v>
      </c>
      <c r="K9">
        <f t="shared" si="7"/>
        <v>7.1773607781060516E-3</v>
      </c>
      <c r="L9" s="51">
        <f t="shared" si="8"/>
        <v>0.39999999999999997</v>
      </c>
    </row>
    <row r="10" spans="1:12" x14ac:dyDescent="0.2">
      <c r="A10">
        <v>9</v>
      </c>
      <c r="B10">
        <f t="shared" si="1"/>
        <v>0.36975059027539059</v>
      </c>
      <c r="C10">
        <f t="shared" si="2"/>
        <v>2.227630759040921E-2</v>
      </c>
      <c r="D10">
        <f t="shared" si="3"/>
        <v>2.52E-2</v>
      </c>
      <c r="E10">
        <f t="shared" si="4"/>
        <v>1.89E-2</v>
      </c>
      <c r="F10">
        <f t="shared" si="4"/>
        <v>9.2700000000000018E-2</v>
      </c>
      <c r="G10">
        <f t="shared" si="4"/>
        <v>6.9525000000000003E-2</v>
      </c>
      <c r="H10">
        <f t="shared" si="4"/>
        <v>0.25000000000000006</v>
      </c>
      <c r="I10">
        <f t="shared" si="5"/>
        <v>6.9444444444444441E-3</v>
      </c>
      <c r="J10">
        <f t="shared" si="6"/>
        <v>0.23976894134543478</v>
      </c>
      <c r="K10">
        <f t="shared" si="7"/>
        <v>8.070901153405757E-3</v>
      </c>
      <c r="L10" s="51">
        <f t="shared" si="8"/>
        <v>0.44999999999999996</v>
      </c>
    </row>
    <row r="11" spans="1:12" x14ac:dyDescent="0.2">
      <c r="A11">
        <v>10</v>
      </c>
      <c r="B11">
        <f t="shared" si="1"/>
        <v>0.40126306076162105</v>
      </c>
      <c r="C11">
        <f t="shared" si="2"/>
        <v>2.472061682143319E-2</v>
      </c>
      <c r="D11">
        <f t="shared" si="3"/>
        <v>2.8000000000000001E-2</v>
      </c>
      <c r="E11">
        <f t="shared" si="4"/>
        <v>2.1000000000000001E-2</v>
      </c>
      <c r="F11">
        <f t="shared" si="4"/>
        <v>0.10300000000000002</v>
      </c>
      <c r="G11">
        <f t="shared" si="4"/>
        <v>7.7249999999999999E-2</v>
      </c>
      <c r="H11">
        <f t="shared" si="4"/>
        <v>0.27777777777777785</v>
      </c>
      <c r="I11">
        <f t="shared" si="5"/>
        <v>7.716049382716049E-3</v>
      </c>
      <c r="J11">
        <f t="shared" si="6"/>
        <v>0.26257587310507174</v>
      </c>
      <c r="K11">
        <f t="shared" si="7"/>
        <v>8.9636373423676915E-3</v>
      </c>
      <c r="L11" s="51">
        <f t="shared" si="8"/>
        <v>0.49999999999999994</v>
      </c>
    </row>
    <row r="12" spans="1:12" x14ac:dyDescent="0.2">
      <c r="A12">
        <v>11</v>
      </c>
      <c r="B12">
        <f t="shared" si="1"/>
        <v>0.43119990772354</v>
      </c>
      <c r="C12">
        <f t="shared" si="2"/>
        <v>2.7158815279379606E-2</v>
      </c>
      <c r="D12">
        <f t="shared" si="3"/>
        <v>3.0800000000000001E-2</v>
      </c>
      <c r="E12">
        <f t="shared" si="4"/>
        <v>2.3100000000000002E-2</v>
      </c>
      <c r="F12">
        <f t="shared" si="4"/>
        <v>0.11330000000000003</v>
      </c>
      <c r="G12">
        <f t="shared" si="4"/>
        <v>8.4974999999999995E-2</v>
      </c>
      <c r="H12">
        <f t="shared" si="4"/>
        <v>0.30555555555555564</v>
      </c>
      <c r="I12">
        <f t="shared" si="5"/>
        <v>8.4876543209876538E-3</v>
      </c>
      <c r="J12">
        <f t="shared" si="6"/>
        <v>0.28469859691191957</v>
      </c>
      <c r="K12">
        <f t="shared" si="7"/>
        <v>9.8555700687595598E-3</v>
      </c>
      <c r="L12" s="51">
        <f t="shared" si="8"/>
        <v>0.54999999999999993</v>
      </c>
    </row>
    <row r="13" spans="1:12" x14ac:dyDescent="0.2">
      <c r="A13">
        <v>12</v>
      </c>
      <c r="B13">
        <f t="shared" si="1"/>
        <v>0.45963991233736301</v>
      </c>
      <c r="C13">
        <f t="shared" si="2"/>
        <v>2.9590918241181159E-2</v>
      </c>
      <c r="D13">
        <f t="shared" si="3"/>
        <v>3.3599999999999998E-2</v>
      </c>
      <c r="E13">
        <f t="shared" si="4"/>
        <v>2.5200000000000004E-2</v>
      </c>
      <c r="F13">
        <f t="shared" si="4"/>
        <v>0.12360000000000003</v>
      </c>
      <c r="G13">
        <f t="shared" si="4"/>
        <v>9.2699999999999991E-2</v>
      </c>
      <c r="H13">
        <f t="shared" si="4"/>
        <v>0.33333333333333343</v>
      </c>
      <c r="I13">
        <f t="shared" si="5"/>
        <v>9.2592592592592587E-3</v>
      </c>
      <c r="J13">
        <f t="shared" si="6"/>
        <v>0.306157639004562</v>
      </c>
      <c r="K13">
        <f t="shared" si="7"/>
        <v>1.0746700055697675E-2</v>
      </c>
      <c r="L13" s="51">
        <f t="shared" si="8"/>
        <v>0.6</v>
      </c>
    </row>
    <row r="14" spans="1:12" x14ac:dyDescent="0.2">
      <c r="A14">
        <v>13</v>
      </c>
      <c r="B14">
        <f t="shared" si="1"/>
        <v>0.48665791672049491</v>
      </c>
      <c r="C14">
        <f t="shared" si="2"/>
        <v>3.2016940945578207E-2</v>
      </c>
      <c r="D14">
        <f t="shared" si="3"/>
        <v>3.6399999999999995E-2</v>
      </c>
      <c r="E14">
        <f t="shared" si="4"/>
        <v>2.7300000000000005E-2</v>
      </c>
      <c r="F14">
        <f t="shared" si="4"/>
        <v>0.13390000000000002</v>
      </c>
      <c r="G14">
        <f t="shared" si="4"/>
        <v>0.10042499999999999</v>
      </c>
      <c r="H14">
        <f t="shared" si="4"/>
        <v>0.36111111111111122</v>
      </c>
      <c r="I14">
        <f t="shared" si="5"/>
        <v>1.0030864197530864E-2</v>
      </c>
      <c r="J14">
        <f t="shared" si="6"/>
        <v>0.32697290983442512</v>
      </c>
      <c r="K14">
        <f t="shared" si="7"/>
        <v>1.1637028025647547E-2</v>
      </c>
      <c r="L14" s="51">
        <f t="shared" si="8"/>
        <v>0.65</v>
      </c>
    </row>
    <row r="15" spans="1:12" x14ac:dyDescent="0.2">
      <c r="A15">
        <v>14</v>
      </c>
      <c r="B15">
        <f t="shared" si="1"/>
        <v>0.51232502088447018</v>
      </c>
      <c r="C15">
        <f t="shared" si="2"/>
        <v>3.4436898593214263E-2</v>
      </c>
      <c r="D15">
        <f t="shared" si="3"/>
        <v>3.9199999999999992E-2</v>
      </c>
      <c r="E15">
        <f t="shared" si="4"/>
        <v>2.9400000000000006E-2</v>
      </c>
      <c r="F15">
        <f t="shared" si="4"/>
        <v>0.14420000000000002</v>
      </c>
      <c r="G15">
        <f t="shared" si="4"/>
        <v>0.10814999999999998</v>
      </c>
      <c r="H15">
        <f t="shared" si="4"/>
        <v>0.38888888888888901</v>
      </c>
      <c r="I15">
        <f t="shared" si="5"/>
        <v>1.0802469135802469E-2</v>
      </c>
      <c r="J15">
        <f t="shared" si="6"/>
        <v>0.34716372253939232</v>
      </c>
      <c r="K15">
        <f t="shared" si="7"/>
        <v>1.2526554700424464E-2</v>
      </c>
      <c r="L15" s="51">
        <f t="shared" si="8"/>
        <v>0.70000000000000007</v>
      </c>
    </row>
    <row r="16" spans="1:12" x14ac:dyDescent="0.2">
      <c r="A16">
        <v>15</v>
      </c>
      <c r="B16">
        <f t="shared" si="1"/>
        <v>0.53670876984024674</v>
      </c>
      <c r="C16">
        <f t="shared" si="2"/>
        <v>3.6850806346731227E-2</v>
      </c>
      <c r="D16">
        <f t="shared" si="3"/>
        <v>4.1999999999999989E-2</v>
      </c>
      <c r="E16">
        <f t="shared" si="4"/>
        <v>3.1500000000000007E-2</v>
      </c>
      <c r="F16">
        <f t="shared" si="4"/>
        <v>0.15450000000000003</v>
      </c>
      <c r="G16">
        <f t="shared" si="4"/>
        <v>0.11587499999999998</v>
      </c>
      <c r="H16">
        <f t="shared" si="4"/>
        <v>0.4166666666666668</v>
      </c>
      <c r="I16">
        <f t="shared" si="5"/>
        <v>1.1574074074074073E-2</v>
      </c>
      <c r="J16">
        <f t="shared" si="6"/>
        <v>0.36674881086321059</v>
      </c>
      <c r="K16">
        <f t="shared" si="7"/>
        <v>1.3415280801194081E-2</v>
      </c>
      <c r="L16" s="51">
        <f t="shared" si="8"/>
        <v>0.75000000000000011</v>
      </c>
    </row>
    <row r="17" spans="1:12" x14ac:dyDescent="0.2">
      <c r="A17">
        <v>16</v>
      </c>
      <c r="B17">
        <f t="shared" si="1"/>
        <v>0.55987333134823447</v>
      </c>
      <c r="C17">
        <f t="shared" si="2"/>
        <v>3.9258679330864403E-2</v>
      </c>
      <c r="D17">
        <f t="shared" si="3"/>
        <v>4.4799999999999986E-2</v>
      </c>
      <c r="E17">
        <f t="shared" si="4"/>
        <v>3.3600000000000005E-2</v>
      </c>
      <c r="F17">
        <f t="shared" si="4"/>
        <v>0.16480000000000003</v>
      </c>
      <c r="G17">
        <f t="shared" si="4"/>
        <v>0.12359999999999997</v>
      </c>
      <c r="H17">
        <f t="shared" si="4"/>
        <v>0.44444444444444459</v>
      </c>
      <c r="I17">
        <f t="shared" si="5"/>
        <v>1.2345679012345678E-2</v>
      </c>
      <c r="J17">
        <f t="shared" si="6"/>
        <v>0.38574634653731427</v>
      </c>
      <c r="K17">
        <f t="shared" si="7"/>
        <v>1.4303207048473007E-2</v>
      </c>
      <c r="L17" s="51">
        <f t="shared" si="8"/>
        <v>0.80000000000000016</v>
      </c>
    </row>
    <row r="18" spans="1:12" x14ac:dyDescent="0.2">
      <c r="A18">
        <v>17</v>
      </c>
      <c r="B18">
        <f t="shared" si="1"/>
        <v>0.58187966478082276</v>
      </c>
      <c r="C18">
        <f t="shared" si="2"/>
        <v>4.1660532632537245E-2</v>
      </c>
      <c r="D18">
        <f t="shared" si="3"/>
        <v>4.7599999999999983E-2</v>
      </c>
      <c r="E18">
        <f t="shared" si="4"/>
        <v>3.5700000000000003E-2</v>
      </c>
      <c r="F18">
        <f t="shared" si="4"/>
        <v>0.17510000000000003</v>
      </c>
      <c r="G18">
        <f t="shared" si="4"/>
        <v>0.13132499999999997</v>
      </c>
      <c r="H18">
        <f t="shared" si="4"/>
        <v>0.47222222222222238</v>
      </c>
      <c r="I18">
        <f t="shared" si="5"/>
        <v>1.3117283950617283E-2</v>
      </c>
      <c r="J18">
        <f t="shared" si="6"/>
        <v>0.40417395614119483</v>
      </c>
      <c r="K18">
        <f t="shared" si="7"/>
        <v>1.5190334162129381E-2</v>
      </c>
      <c r="L18" s="51">
        <f t="shared" si="8"/>
        <v>0.8500000000000002</v>
      </c>
    </row>
    <row r="19" spans="1:12" x14ac:dyDescent="0.2">
      <c r="A19">
        <v>18</v>
      </c>
      <c r="B19">
        <f t="shared" si="1"/>
        <v>0.60278568154178169</v>
      </c>
      <c r="C19">
        <f t="shared" si="2"/>
        <v>4.4056381300955905E-2</v>
      </c>
      <c r="D19">
        <f t="shared" si="3"/>
        <v>5.039999999999998E-2</v>
      </c>
      <c r="E19">
        <f t="shared" si="4"/>
        <v>3.78E-2</v>
      </c>
      <c r="F19">
        <f t="shared" si="4"/>
        <v>0.18540000000000004</v>
      </c>
      <c r="G19">
        <f t="shared" si="4"/>
        <v>0.13904999999999998</v>
      </c>
      <c r="H19">
        <f t="shared" si="4"/>
        <v>0.50000000000000011</v>
      </c>
      <c r="I19">
        <f t="shared" si="5"/>
        <v>1.3888888888888888E-2</v>
      </c>
      <c r="J19">
        <f t="shared" si="6"/>
        <v>0.42204873745695898</v>
      </c>
      <c r="K19">
        <f t="shared" si="7"/>
        <v>1.6076662861383463E-2</v>
      </c>
      <c r="L19" s="51">
        <f t="shared" si="8"/>
        <v>0.90000000000000024</v>
      </c>
    </row>
    <row r="20" spans="1:12" x14ac:dyDescent="0.2">
      <c r="A20">
        <v>19</v>
      </c>
      <c r="B20">
        <f t="shared" si="1"/>
        <v>0.62264639746469264</v>
      </c>
      <c r="C20">
        <f t="shared" si="2"/>
        <v>4.6446240347703519E-2</v>
      </c>
      <c r="D20">
        <f t="shared" si="3"/>
        <v>5.3199999999999976E-2</v>
      </c>
      <c r="E20">
        <f t="shared" si="4"/>
        <v>3.9899999999999998E-2</v>
      </c>
      <c r="F20">
        <f t="shared" si="4"/>
        <v>0.19570000000000004</v>
      </c>
      <c r="G20">
        <f t="shared" si="4"/>
        <v>0.14677499999999999</v>
      </c>
      <c r="H20">
        <f t="shared" si="4"/>
        <v>0.5277777777777779</v>
      </c>
      <c r="I20">
        <f t="shared" si="5"/>
        <v>1.4660493827160493E-2</v>
      </c>
      <c r="J20">
        <f t="shared" si="6"/>
        <v>0.43938727533325017</v>
      </c>
      <c r="K20">
        <f t="shared" si="7"/>
        <v>1.6962193864808219E-2</v>
      </c>
      <c r="L20" s="51">
        <f t="shared" si="8"/>
        <v>0.95000000000000029</v>
      </c>
    </row>
    <row r="21" spans="1:12" x14ac:dyDescent="0.2">
      <c r="A21">
        <v>20</v>
      </c>
      <c r="B21">
        <f t="shared" si="1"/>
        <v>0.64151407759145807</v>
      </c>
      <c r="C21">
        <f t="shared" si="2"/>
        <v>4.8830124746834264E-2</v>
      </c>
      <c r="D21">
        <f t="shared" si="3"/>
        <v>5.5999999999999973E-2</v>
      </c>
      <c r="E21">
        <f t="shared" si="4"/>
        <v>4.1999999999999996E-2</v>
      </c>
      <c r="F21">
        <f t="shared" si="4"/>
        <v>0.20600000000000004</v>
      </c>
      <c r="G21">
        <f t="shared" si="4"/>
        <v>0.1545</v>
      </c>
      <c r="H21">
        <f t="shared" si="4"/>
        <v>0.55555555555555569</v>
      </c>
      <c r="I21">
        <f t="shared" si="5"/>
        <v>1.5432098765432098E-2</v>
      </c>
      <c r="J21">
        <f t="shared" si="6"/>
        <v>0.45620565707325267</v>
      </c>
      <c r="K21">
        <f t="shared" si="7"/>
        <v>1.7846927890329892E-2</v>
      </c>
      <c r="L21" s="51"/>
    </row>
    <row r="22" spans="1:12" x14ac:dyDescent="0.2">
      <c r="A22">
        <v>21</v>
      </c>
      <c r="B22">
        <f t="shared" si="1"/>
        <v>0.65943837371188518</v>
      </c>
      <c r="C22">
        <f t="shared" si="2"/>
        <v>5.1208049434967179E-2</v>
      </c>
      <c r="D22">
        <f t="shared" si="3"/>
        <v>5.879999999999997E-2</v>
      </c>
      <c r="E22">
        <f t="shared" si="4"/>
        <v>4.4099999999999993E-2</v>
      </c>
      <c r="F22">
        <f t="shared" si="4"/>
        <v>0.21630000000000005</v>
      </c>
      <c r="G22">
        <f t="shared" si="4"/>
        <v>0.16222500000000001</v>
      </c>
      <c r="H22">
        <f t="shared" si="4"/>
        <v>0.58333333333333348</v>
      </c>
      <c r="I22">
        <f t="shared" si="5"/>
        <v>1.6203703703703703E-2</v>
      </c>
      <c r="J22">
        <f t="shared" si="6"/>
        <v>0.47251948736105509</v>
      </c>
      <c r="K22">
        <f t="shared" si="7"/>
        <v>1.8730865655228596E-2</v>
      </c>
      <c r="L22" s="51"/>
    </row>
    <row r="23" spans="1:12" x14ac:dyDescent="0.2">
      <c r="A23">
        <v>22</v>
      </c>
      <c r="B23">
        <f t="shared" si="1"/>
        <v>0.67646645502629099</v>
      </c>
      <c r="C23">
        <f t="shared" si="2"/>
        <v>5.3580029311379763E-2</v>
      </c>
      <c r="D23">
        <f t="shared" si="3"/>
        <v>6.1599999999999967E-2</v>
      </c>
      <c r="E23">
        <f t="shared" si="4"/>
        <v>4.6199999999999991E-2</v>
      </c>
      <c r="F23">
        <f t="shared" si="4"/>
        <v>0.22660000000000005</v>
      </c>
      <c r="G23">
        <f t="shared" si="4"/>
        <v>0.16995000000000002</v>
      </c>
      <c r="H23">
        <f t="shared" si="4"/>
        <v>0.61111111111111127</v>
      </c>
      <c r="I23">
        <f t="shared" si="5"/>
        <v>1.6975308641975308E-2</v>
      </c>
      <c r="J23">
        <f t="shared" si="6"/>
        <v>0.48834390274022349</v>
      </c>
      <c r="K23">
        <f t="shared" si="7"/>
        <v>1.9614007876138893E-2</v>
      </c>
      <c r="L23" s="51"/>
    </row>
    <row r="24" spans="1:12" x14ac:dyDescent="0.2">
      <c r="A24">
        <v>23</v>
      </c>
      <c r="B24">
        <f t="shared" si="1"/>
        <v>0.69264313227497654</v>
      </c>
      <c r="C24">
        <f t="shared" si="2"/>
        <v>5.5946079238101319E-2</v>
      </c>
      <c r="D24">
        <f t="shared" si="3"/>
        <v>6.4399999999999971E-2</v>
      </c>
      <c r="E24">
        <f t="shared" si="4"/>
        <v>4.8299999999999989E-2</v>
      </c>
      <c r="F24">
        <f t="shared" si="4"/>
        <v>0.23690000000000005</v>
      </c>
      <c r="G24">
        <f t="shared" si="4"/>
        <v>0.17767500000000003</v>
      </c>
      <c r="H24">
        <f t="shared" si="4"/>
        <v>0.63888888888888906</v>
      </c>
      <c r="I24">
        <f t="shared" si="5"/>
        <v>1.7746913580246913E-2</v>
      </c>
      <c r="J24">
        <f t="shared" si="6"/>
        <v>0.50369358565801681</v>
      </c>
      <c r="K24">
        <f t="shared" si="7"/>
        <v>2.049635526905037E-2</v>
      </c>
      <c r="L24" s="51"/>
    </row>
    <row r="25" spans="1:12" x14ac:dyDescent="0.2">
      <c r="A25">
        <v>24</v>
      </c>
      <c r="B25">
        <f t="shared" si="1"/>
        <v>0.70801097566122773</v>
      </c>
      <c r="C25">
        <f t="shared" si="2"/>
        <v>5.830621404000607E-2</v>
      </c>
      <c r="D25">
        <f t="shared" si="3"/>
        <v>6.7199999999999968E-2</v>
      </c>
      <c r="E25">
        <f t="shared" si="4"/>
        <v>5.0399999999999986E-2</v>
      </c>
      <c r="F25">
        <f t="shared" si="4"/>
        <v>0.24720000000000006</v>
      </c>
      <c r="G25">
        <f t="shared" si="4"/>
        <v>0.18540000000000004</v>
      </c>
      <c r="H25">
        <f t="shared" ref="H25:H37" si="9">H24+H$2</f>
        <v>0.66666666666666685</v>
      </c>
      <c r="I25">
        <f t="shared" si="5"/>
        <v>1.8518518518518517E-2</v>
      </c>
      <c r="J25">
        <f t="shared" si="6"/>
        <v>0.51858277808827635</v>
      </c>
      <c r="K25">
        <f t="shared" si="7"/>
        <v>2.1377908549308225E-2</v>
      </c>
      <c r="L25" s="51"/>
    </row>
    <row r="26" spans="1:12" x14ac:dyDescent="0.2">
      <c r="A26">
        <v>25</v>
      </c>
      <c r="B26">
        <f t="shared" si="1"/>
        <v>0.72261042687816635</v>
      </c>
      <c r="C26">
        <f t="shared" si="2"/>
        <v>6.066044850490606E-2</v>
      </c>
      <c r="D26">
        <f t="shared" si="3"/>
        <v>6.9999999999999965E-2</v>
      </c>
      <c r="E26">
        <f t="shared" si="4"/>
        <v>5.2499999999999984E-2</v>
      </c>
      <c r="F26">
        <f t="shared" si="4"/>
        <v>0.25750000000000006</v>
      </c>
      <c r="G26">
        <f t="shared" si="4"/>
        <v>0.19312500000000005</v>
      </c>
      <c r="H26">
        <f t="shared" si="9"/>
        <v>0.69444444444444464</v>
      </c>
      <c r="I26">
        <f t="shared" si="5"/>
        <v>1.9290123456790122E-2</v>
      </c>
      <c r="J26">
        <f t="shared" si="6"/>
        <v>0.5330252947456281</v>
      </c>
      <c r="K26">
        <f t="shared" si="7"/>
        <v>2.2258668431613848E-2</v>
      </c>
      <c r="L26" s="51"/>
    </row>
    <row r="27" spans="1:12" x14ac:dyDescent="0.2">
      <c r="A27">
        <v>26</v>
      </c>
      <c r="B27">
        <f t="shared" si="1"/>
        <v>0.73647990553425813</v>
      </c>
      <c r="C27">
        <f t="shared" si="2"/>
        <v>6.3008797383643789E-2</v>
      </c>
      <c r="D27">
        <f t="shared" si="3"/>
        <v>7.2799999999999962E-2</v>
      </c>
      <c r="E27">
        <f t="shared" si="4"/>
        <v>5.4599999999999982E-2</v>
      </c>
      <c r="F27">
        <f t="shared" si="4"/>
        <v>0.26780000000000004</v>
      </c>
      <c r="G27">
        <f t="shared" si="4"/>
        <v>0.20085000000000006</v>
      </c>
      <c r="H27">
        <f t="shared" si="9"/>
        <v>0.72222222222222243</v>
      </c>
      <c r="I27">
        <f t="shared" si="5"/>
        <v>2.0061728395061727E-2</v>
      </c>
      <c r="J27">
        <f t="shared" si="6"/>
        <v>0.54703453590325923</v>
      </c>
      <c r="K27">
        <f t="shared" si="7"/>
        <v>2.3138635630025398E-2</v>
      </c>
    </row>
    <row r="28" spans="1:12" x14ac:dyDescent="0.2">
      <c r="A28">
        <v>27</v>
      </c>
      <c r="B28">
        <f t="shared" si="1"/>
        <v>0.7496559102575453</v>
      </c>
      <c r="C28">
        <f t="shared" si="2"/>
        <v>6.5351275390184677E-2</v>
      </c>
      <c r="D28">
        <f t="shared" si="3"/>
        <v>7.5599999999999959E-2</v>
      </c>
      <c r="E28">
        <f t="shared" si="4"/>
        <v>5.669999999999998E-2</v>
      </c>
      <c r="F28">
        <f t="shared" si="4"/>
        <v>0.27810000000000001</v>
      </c>
      <c r="G28">
        <f t="shared" si="4"/>
        <v>0.20857500000000007</v>
      </c>
      <c r="H28">
        <f t="shared" si="9"/>
        <v>0.75000000000000022</v>
      </c>
      <c r="I28">
        <f t="shared" si="5"/>
        <v>2.0833333333333332E-2</v>
      </c>
      <c r="J28">
        <f t="shared" si="6"/>
        <v>0.56062349982616144</v>
      </c>
      <c r="K28">
        <f t="shared" si="7"/>
        <v>2.4017810857958375E-2</v>
      </c>
    </row>
    <row r="29" spans="1:12" x14ac:dyDescent="0.2">
      <c r="A29">
        <v>28</v>
      </c>
      <c r="B29">
        <f t="shared" si="1"/>
        <v>0.76217311474466809</v>
      </c>
      <c r="C29">
        <f t="shared" si="2"/>
        <v>6.7687897201709216E-2</v>
      </c>
      <c r="D29">
        <f t="shared" si="3"/>
        <v>7.8399999999999956E-2</v>
      </c>
      <c r="E29">
        <f t="shared" si="4"/>
        <v>5.8799999999999977E-2</v>
      </c>
      <c r="F29">
        <f t="shared" si="4"/>
        <v>0.28839999999999999</v>
      </c>
      <c r="G29">
        <f t="shared" si="4"/>
        <v>0.21630000000000008</v>
      </c>
      <c r="H29">
        <f t="shared" si="9"/>
        <v>0.77777777777777801</v>
      </c>
      <c r="I29">
        <f t="shared" si="5"/>
        <v>2.1604938271604937E-2</v>
      </c>
      <c r="J29">
        <f t="shared" si="6"/>
        <v>0.57380479483137659</v>
      </c>
      <c r="K29">
        <f t="shared" si="7"/>
        <v>2.4896194828186214E-2</v>
      </c>
    </row>
    <row r="30" spans="1:12" x14ac:dyDescent="0.2">
      <c r="A30">
        <v>29</v>
      </c>
      <c r="B30">
        <f t="shared" si="1"/>
        <v>0.7740644590074347</v>
      </c>
      <c r="C30">
        <f t="shared" si="2"/>
        <v>7.001867745870495E-2</v>
      </c>
      <c r="D30">
        <f t="shared" si="3"/>
        <v>8.1199999999999953E-2</v>
      </c>
      <c r="E30">
        <f t="shared" si="4"/>
        <v>6.0899999999999975E-2</v>
      </c>
      <c r="F30">
        <f t="shared" si="4"/>
        <v>0.29869999999999997</v>
      </c>
      <c r="G30">
        <f t="shared" si="4"/>
        <v>0.22402500000000009</v>
      </c>
      <c r="H30">
        <f t="shared" si="9"/>
        <v>0.8055555555555558</v>
      </c>
      <c r="I30">
        <f t="shared" si="5"/>
        <v>2.2376543209876542E-2</v>
      </c>
      <c r="J30">
        <f t="shared" si="6"/>
        <v>0.58659065098643537</v>
      </c>
      <c r="K30">
        <f t="shared" si="7"/>
        <v>2.5773788252840848E-2</v>
      </c>
    </row>
    <row r="31" spans="1:12" x14ac:dyDescent="0.2">
      <c r="A31">
        <v>30</v>
      </c>
      <c r="B31">
        <f t="shared" si="1"/>
        <v>0.78536123605706298</v>
      </c>
      <c r="C31">
        <f t="shared" si="2"/>
        <v>7.2343630765058189E-2</v>
      </c>
      <c r="D31">
        <f t="shared" si="3"/>
        <v>8.399999999999995E-2</v>
      </c>
      <c r="E31">
        <f t="shared" si="4"/>
        <v>6.2999999999999973E-2</v>
      </c>
      <c r="F31">
        <f t="shared" si="4"/>
        <v>0.30899999999999994</v>
      </c>
      <c r="G31">
        <f t="shared" si="4"/>
        <v>0.23175000000000009</v>
      </c>
      <c r="H31">
        <f t="shared" si="9"/>
        <v>0.83333333333333359</v>
      </c>
      <c r="I31">
        <f t="shared" si="5"/>
        <v>2.3148148148148147E-2</v>
      </c>
      <c r="J31">
        <f t="shared" si="6"/>
        <v>0.59899293145684229</v>
      </c>
      <c r="K31">
        <f t="shared" si="7"/>
        <v>2.6650591843413292E-2</v>
      </c>
    </row>
    <row r="32" spans="1:12" x14ac:dyDescent="0.2">
      <c r="A32">
        <v>31</v>
      </c>
      <c r="B32">
        <f t="shared" si="1"/>
        <v>0.79609317425420989</v>
      </c>
      <c r="C32">
        <f t="shared" si="2"/>
        <v>7.4662771688145543E-2</v>
      </c>
      <c r="D32">
        <f t="shared" si="3"/>
        <v>8.6799999999999947E-2</v>
      </c>
      <c r="E32">
        <f t="shared" si="4"/>
        <v>6.5099999999999977E-2</v>
      </c>
      <c r="F32">
        <f t="shared" si="4"/>
        <v>0.31929999999999992</v>
      </c>
      <c r="G32">
        <f t="shared" si="4"/>
        <v>0.2394750000000001</v>
      </c>
      <c r="H32">
        <f t="shared" si="9"/>
        <v>0.86111111111111138</v>
      </c>
      <c r="I32">
        <f t="shared" si="5"/>
        <v>2.3919753086419752E-2</v>
      </c>
      <c r="J32">
        <f t="shared" si="6"/>
        <v>0.61102314351313702</v>
      </c>
      <c r="K32">
        <f t="shared" si="7"/>
        <v>2.7526606310754223E-2</v>
      </c>
    </row>
    <row r="33" spans="1:11" x14ac:dyDescent="0.2">
      <c r="A33">
        <v>32</v>
      </c>
      <c r="B33">
        <f t="shared" si="1"/>
        <v>0.80628851554149938</v>
      </c>
      <c r="C33">
        <f t="shared" si="2"/>
        <v>7.6976114758925185E-2</v>
      </c>
      <c r="D33">
        <f t="shared" si="3"/>
        <v>8.9599999999999944E-2</v>
      </c>
      <c r="E33">
        <f t="shared" si="4"/>
        <v>6.7199999999999982E-2</v>
      </c>
      <c r="F33">
        <f t="shared" si="4"/>
        <v>0.32959999999999989</v>
      </c>
      <c r="G33">
        <f t="shared" si="4"/>
        <v>0.24720000000000011</v>
      </c>
      <c r="H33">
        <f t="shared" si="9"/>
        <v>0.88888888888888917</v>
      </c>
      <c r="I33">
        <f t="shared" si="5"/>
        <v>2.4691358024691357E-2</v>
      </c>
      <c r="J33">
        <f t="shared" si="6"/>
        <v>0.62269244920774292</v>
      </c>
      <c r="K33">
        <f t="shared" si="7"/>
        <v>2.8401832365074545E-2</v>
      </c>
    </row>
    <row r="34" spans="1:11" x14ac:dyDescent="0.2">
      <c r="A34">
        <v>33</v>
      </c>
      <c r="B34">
        <f t="shared" si="1"/>
        <v>0.81597408976442443</v>
      </c>
      <c r="C34">
        <f t="shared" si="2"/>
        <v>7.9283674472027874E-2</v>
      </c>
      <c r="D34">
        <f t="shared" si="3"/>
        <v>9.2399999999999941E-2</v>
      </c>
      <c r="E34">
        <f t="shared" si="4"/>
        <v>6.9299999999999987E-2</v>
      </c>
      <c r="F34">
        <f t="shared" si="4"/>
        <v>0.33989999999999987</v>
      </c>
      <c r="G34">
        <f t="shared" si="4"/>
        <v>0.25492500000000012</v>
      </c>
      <c r="H34">
        <f t="shared" si="9"/>
        <v>0.91666666666666696</v>
      </c>
      <c r="I34">
        <f t="shared" si="5"/>
        <v>2.5462962962962962E-2</v>
      </c>
      <c r="J34">
        <f t="shared" si="6"/>
        <v>0.63401167573151063</v>
      </c>
      <c r="K34">
        <f t="shared" si="7"/>
        <v>2.927627071594598E-2</v>
      </c>
    </row>
    <row r="35" spans="1:11" x14ac:dyDescent="0.2">
      <c r="A35">
        <v>34</v>
      </c>
      <c r="B35">
        <f t="shared" si="1"/>
        <v>0.82517538527620327</v>
      </c>
      <c r="C35">
        <f t="shared" si="2"/>
        <v>8.15854652858478E-2</v>
      </c>
      <c r="D35">
        <f t="shared" si="3"/>
        <v>9.5199999999999937E-2</v>
      </c>
      <c r="E35">
        <f t="shared" si="4"/>
        <v>7.1399999999999991E-2</v>
      </c>
      <c r="F35">
        <f t="shared" si="4"/>
        <v>0.35019999999999984</v>
      </c>
      <c r="G35">
        <f t="shared" si="4"/>
        <v>0.26265000000000011</v>
      </c>
      <c r="H35">
        <f t="shared" si="9"/>
        <v>0.94444444444444475</v>
      </c>
      <c r="I35">
        <f t="shared" si="5"/>
        <v>2.6234567901234566E-2</v>
      </c>
      <c r="J35">
        <f t="shared" si="6"/>
        <v>0.64499132545956539</v>
      </c>
      <c r="K35">
        <f t="shared" si="7"/>
        <v>3.0149922072301629E-2</v>
      </c>
    </row>
    <row r="36" spans="1:11" x14ac:dyDescent="0.2">
      <c r="A36">
        <v>35</v>
      </c>
      <c r="B36">
        <f t="shared" ref="B36:B67" si="10">B35+B$2-B35*B$2</f>
        <v>0.8339166160123932</v>
      </c>
      <c r="C36">
        <f t="shared" si="2"/>
        <v>8.3881501622633178E-2</v>
      </c>
      <c r="D36">
        <f t="shared" si="3"/>
        <v>9.7999999999999934E-2</v>
      </c>
      <c r="E36">
        <f t="shared" si="4"/>
        <v>7.3499999999999996E-2</v>
      </c>
      <c r="F36">
        <f t="shared" si="4"/>
        <v>0.36049999999999982</v>
      </c>
      <c r="G36">
        <f t="shared" si="4"/>
        <v>0.27037500000000009</v>
      </c>
      <c r="H36">
        <f t="shared" si="9"/>
        <v>0.97222222222222254</v>
      </c>
      <c r="I36">
        <f t="shared" si="5"/>
        <v>2.7006172839506171E-2</v>
      </c>
      <c r="J36">
        <f t="shared" si="6"/>
        <v>0.65564158569577846</v>
      </c>
      <c r="K36">
        <f t="shared" si="7"/>
        <v>3.1022787142436559E-2</v>
      </c>
    </row>
    <row r="37" spans="1:11" x14ac:dyDescent="0.2">
      <c r="A37">
        <v>36</v>
      </c>
      <c r="B37">
        <f t="shared" si="10"/>
        <v>0.84222078521177357</v>
      </c>
      <c r="C37">
        <f t="shared" si="2"/>
        <v>8.6171797868576594E-2</v>
      </c>
      <c r="D37">
        <f t="shared" si="3"/>
        <v>0.10079999999999993</v>
      </c>
      <c r="E37">
        <f t="shared" si="4"/>
        <v>7.5600000000000001E-2</v>
      </c>
      <c r="F37">
        <f t="shared" si="4"/>
        <v>0.3707999999999998</v>
      </c>
      <c r="G37">
        <f t="shared" si="4"/>
        <v>0.27810000000000007</v>
      </c>
      <c r="H37">
        <f t="shared" si="9"/>
        <v>1.0000000000000002</v>
      </c>
      <c r="I37">
        <f t="shared" si="5"/>
        <v>2.7777777777777776E-2</v>
      </c>
      <c r="J37">
        <f t="shared" si="6"/>
        <v>0.66597233812490508</v>
      </c>
      <c r="K37">
        <f t="shared" si="7"/>
        <v>3.1894866634008361E-2</v>
      </c>
    </row>
    <row r="38" spans="1:11" x14ac:dyDescent="0.2">
      <c r="A38">
        <v>37</v>
      </c>
      <c r="B38">
        <f t="shared" si="10"/>
        <v>0.85010974595118494</v>
      </c>
      <c r="C38">
        <f t="shared" si="2"/>
        <v>8.845636837390515E-2</v>
      </c>
      <c r="D38">
        <f t="shared" si="3"/>
        <v>0.10359999999999993</v>
      </c>
      <c r="E38">
        <f t="shared" si="4"/>
        <v>7.7700000000000005E-2</v>
      </c>
      <c r="F38">
        <f t="shared" si="4"/>
        <v>0.38109999999999977</v>
      </c>
      <c r="G38">
        <f t="shared" si="4"/>
        <v>0.28582500000000005</v>
      </c>
      <c r="I38">
        <f t="shared" si="5"/>
        <v>2.8549382716049381E-2</v>
      </c>
      <c r="J38">
        <f t="shared" si="6"/>
        <v>0.67599316798115794</v>
      </c>
      <c r="K38">
        <f t="shared" si="7"/>
        <v>3.2766161254037751E-2</v>
      </c>
    </row>
    <row r="39" spans="1:11" x14ac:dyDescent="0.2">
      <c r="A39">
        <v>38</v>
      </c>
      <c r="B39">
        <f t="shared" si="10"/>
        <v>0.85760425865362577</v>
      </c>
      <c r="C39">
        <f t="shared" si="2"/>
        <v>9.0735227452970385E-2</v>
      </c>
      <c r="D39">
        <f t="shared" si="3"/>
        <v>0.10639999999999993</v>
      </c>
      <c r="E39">
        <f t="shared" si="4"/>
        <v>7.980000000000001E-2</v>
      </c>
      <c r="F39">
        <f t="shared" si="4"/>
        <v>0.39139999999999975</v>
      </c>
      <c r="G39">
        <f t="shared" si="4"/>
        <v>0.29355000000000003</v>
      </c>
      <c r="I39">
        <f t="shared" si="5"/>
        <v>2.9320987654320986E-2</v>
      </c>
      <c r="J39">
        <f t="shared" si="6"/>
        <v>0.68571337294172319</v>
      </c>
      <c r="K39">
        <f t="shared" si="7"/>
        <v>3.3636671708909112E-2</v>
      </c>
    </row>
    <row r="40" spans="1:11" x14ac:dyDescent="0.2">
      <c r="A40">
        <v>39</v>
      </c>
      <c r="B40">
        <f t="shared" si="10"/>
        <v>0.86472404572094452</v>
      </c>
      <c r="C40">
        <f t="shared" si="2"/>
        <v>9.3008389384337961E-2</v>
      </c>
      <c r="D40">
        <f t="shared" si="3"/>
        <v>0.10919999999999992</v>
      </c>
      <c r="E40">
        <f t="shared" si="4"/>
        <v>8.1900000000000014E-2</v>
      </c>
      <c r="F40">
        <f t="shared" si="4"/>
        <v>0.40169999999999972</v>
      </c>
      <c r="G40">
        <f t="shared" si="4"/>
        <v>0.30127500000000002</v>
      </c>
      <c r="I40">
        <f t="shared" si="5"/>
        <v>3.0092592592592591E-2</v>
      </c>
      <c r="J40">
        <f t="shared" si="6"/>
        <v>0.69514197175347148</v>
      </c>
      <c r="K40">
        <f t="shared" si="7"/>
        <v>3.450639870437109E-2</v>
      </c>
    </row>
    <row r="41" spans="1:11" x14ac:dyDescent="0.2">
      <c r="A41">
        <v>40</v>
      </c>
      <c r="B41">
        <f t="shared" si="10"/>
        <v>0.87148784343489738</v>
      </c>
      <c r="C41">
        <f t="shared" si="2"/>
        <v>9.5275868410877124E-2</v>
      </c>
      <c r="D41">
        <f t="shared" si="3"/>
        <v>0.11199999999999992</v>
      </c>
      <c r="E41">
        <f t="shared" si="4"/>
        <v>8.4000000000000019E-2</v>
      </c>
      <c r="F41">
        <f t="shared" si="4"/>
        <v>0.4119999999999997</v>
      </c>
      <c r="G41">
        <f t="shared" si="4"/>
        <v>0.309</v>
      </c>
      <c r="I41">
        <f t="shared" si="5"/>
        <v>3.0864197530864196E-2</v>
      </c>
      <c r="J41">
        <f t="shared" si="6"/>
        <v>0.70428771260086731</v>
      </c>
      <c r="K41">
        <f t="shared" si="7"/>
        <v>3.5375342945537153E-2</v>
      </c>
    </row>
    <row r="42" spans="1:11" x14ac:dyDescent="0.2">
      <c r="A42">
        <v>41</v>
      </c>
      <c r="B42">
        <f t="shared" si="10"/>
        <v>0.87791345126315257</v>
      </c>
      <c r="C42">
        <f t="shared" si="2"/>
        <v>9.7537678739849934E-2</v>
      </c>
      <c r="D42">
        <f t="shared" si="3"/>
        <v>0.11479999999999992</v>
      </c>
      <c r="E42">
        <f t="shared" si="4"/>
        <v>8.6100000000000024E-2</v>
      </c>
      <c r="F42">
        <f t="shared" si="4"/>
        <v>0.42229999999999968</v>
      </c>
      <c r="G42">
        <f t="shared" si="4"/>
        <v>0.31672499999999998</v>
      </c>
      <c r="I42">
        <f t="shared" si="5"/>
        <v>3.1635802469135804E-2</v>
      </c>
      <c r="J42">
        <f t="shared" si="6"/>
        <v>0.71315908122284133</v>
      </c>
      <c r="K42">
        <f t="shared" si="7"/>
        <v>3.6243505136886164E-2</v>
      </c>
    </row>
    <row r="43" spans="1:11" x14ac:dyDescent="0.2">
      <c r="A43">
        <v>42</v>
      </c>
      <c r="B43">
        <f t="shared" si="10"/>
        <v>0.88401777869999498</v>
      </c>
      <c r="C43">
        <f t="shared" si="2"/>
        <v>9.9793834543000309E-2</v>
      </c>
      <c r="D43">
        <f t="shared" si="3"/>
        <v>0.11759999999999991</v>
      </c>
      <c r="E43">
        <f t="shared" si="4"/>
        <v>8.8200000000000028E-2</v>
      </c>
      <c r="F43">
        <f t="shared" si="4"/>
        <v>0.43259999999999965</v>
      </c>
      <c r="G43">
        <f t="shared" si="4"/>
        <v>0.32444999999999996</v>
      </c>
      <c r="I43">
        <f t="shared" si="5"/>
        <v>3.2407407407407413E-2</v>
      </c>
      <c r="J43">
        <f t="shared" si="6"/>
        <v>0.72176430878615616</v>
      </c>
      <c r="K43">
        <f t="shared" si="7"/>
        <v>3.7110885982262962E-2</v>
      </c>
    </row>
    <row r="44" spans="1:11" x14ac:dyDescent="0.2">
      <c r="A44">
        <v>43</v>
      </c>
      <c r="B44">
        <f t="shared" si="10"/>
        <v>0.88981688976499529</v>
      </c>
      <c r="C44">
        <f t="shared" si="2"/>
        <v>0.10204434995664281</v>
      </c>
      <c r="D44">
        <f t="shared" si="3"/>
        <v>0.12039999999999991</v>
      </c>
      <c r="E44">
        <f t="shared" si="4"/>
        <v>9.0300000000000033E-2</v>
      </c>
      <c r="F44">
        <f t="shared" si="4"/>
        <v>0.44289999999999963</v>
      </c>
      <c r="G44">
        <f t="shared" si="4"/>
        <v>0.33217499999999994</v>
      </c>
      <c r="I44">
        <f t="shared" si="5"/>
        <v>3.3179012345679021E-2</v>
      </c>
      <c r="J44">
        <f t="shared" si="6"/>
        <v>0.73011137952257155</v>
      </c>
      <c r="K44">
        <f t="shared" si="7"/>
        <v>3.7977486184878922E-2</v>
      </c>
    </row>
    <row r="45" spans="1:11" x14ac:dyDescent="0.2">
      <c r="A45">
        <v>44</v>
      </c>
      <c r="B45">
        <f t="shared" si="10"/>
        <v>0.89532604527674553</v>
      </c>
      <c r="C45">
        <f t="shared" si="2"/>
        <v>0.10428923908175121</v>
      </c>
      <c r="D45">
        <f t="shared" si="3"/>
        <v>0.12319999999999991</v>
      </c>
      <c r="E45">
        <f t="shared" si="4"/>
        <v>9.2400000000000038E-2</v>
      </c>
      <c r="F45">
        <f t="shared" si="4"/>
        <v>0.4531999999999996</v>
      </c>
      <c r="G45">
        <f t="shared" si="4"/>
        <v>0.33989999999999992</v>
      </c>
      <c r="I45">
        <f t="shared" si="5"/>
        <v>3.3950617283950629E-2</v>
      </c>
      <c r="J45">
        <f t="shared" si="6"/>
        <v>0.7382080381368944</v>
      </c>
      <c r="K45">
        <f t="shared" si="7"/>
        <v>3.8843306447312528E-2</v>
      </c>
    </row>
    <row r="46" spans="1:11" x14ac:dyDescent="0.2">
      <c r="A46">
        <v>45</v>
      </c>
      <c r="B46">
        <f t="shared" si="10"/>
        <v>0.90055974301290831</v>
      </c>
      <c r="C46">
        <f t="shared" si="2"/>
        <v>0.10652851598404683</v>
      </c>
      <c r="D46">
        <f t="shared" si="3"/>
        <v>0.12599999999999992</v>
      </c>
      <c r="E46">
        <f t="shared" si="4"/>
        <v>9.4500000000000042E-2</v>
      </c>
      <c r="F46">
        <f t="shared" si="4"/>
        <v>0.46349999999999958</v>
      </c>
      <c r="G46">
        <f t="shared" si="4"/>
        <v>0.34762499999999991</v>
      </c>
      <c r="I46">
        <f t="shared" si="5"/>
        <v>3.4722222222222238E-2</v>
      </c>
      <c r="J46">
        <f t="shared" si="6"/>
        <v>0.74606179699278763</v>
      </c>
      <c r="K46">
        <f t="shared" si="7"/>
        <v>3.9708347471509947E-2</v>
      </c>
    </row>
    <row r="47" spans="1:11" x14ac:dyDescent="0.2">
      <c r="A47">
        <v>46</v>
      </c>
      <c r="B47">
        <f t="shared" si="10"/>
        <v>0.90553175586226298</v>
      </c>
      <c r="C47">
        <f t="shared" si="2"/>
        <v>0.10876219469408673</v>
      </c>
      <c r="D47">
        <f t="shared" si="3"/>
        <v>0.12879999999999991</v>
      </c>
      <c r="E47">
        <f t="shared" si="4"/>
        <v>9.6600000000000047E-2</v>
      </c>
      <c r="F47">
        <f t="shared" si="4"/>
        <v>0.47379999999999955</v>
      </c>
      <c r="G47">
        <f t="shared" si="4"/>
        <v>0.35534999999999989</v>
      </c>
      <c r="I47">
        <f t="shared" si="5"/>
        <v>3.5493827160493846E-2</v>
      </c>
      <c r="J47">
        <f t="shared" si="6"/>
        <v>0.75367994308300401</v>
      </c>
      <c r="K47">
        <f t="shared" si="7"/>
        <v>4.0572609958785588E-2</v>
      </c>
    </row>
    <row r="48" spans="1:11" x14ac:dyDescent="0.2">
      <c r="A48">
        <v>47</v>
      </c>
      <c r="B48">
        <f t="shared" si="10"/>
        <v>0.91025516806914986</v>
      </c>
      <c r="C48">
        <f t="shared" si="2"/>
        <v>0.11099028920735152</v>
      </c>
      <c r="D48">
        <f t="shared" si="3"/>
        <v>0.13159999999999991</v>
      </c>
      <c r="E48">
        <f t="shared" si="4"/>
        <v>9.8700000000000052E-2</v>
      </c>
      <c r="F48">
        <f t="shared" si="4"/>
        <v>0.48409999999999953</v>
      </c>
      <c r="G48">
        <f t="shared" si="4"/>
        <v>0.36307499999999987</v>
      </c>
      <c r="I48">
        <f t="shared" si="5"/>
        <v>3.6265432098765454E-2</v>
      </c>
      <c r="J48">
        <f t="shared" si="6"/>
        <v>0.76106954479051392</v>
      </c>
      <c r="K48">
        <f t="shared" si="7"/>
        <v>4.1436094609822678E-2</v>
      </c>
    </row>
    <row r="49" spans="1:11" x14ac:dyDescent="0.2">
      <c r="A49">
        <v>48</v>
      </c>
      <c r="B49">
        <f t="shared" si="10"/>
        <v>0.91474240966569242</v>
      </c>
      <c r="C49">
        <f t="shared" si="2"/>
        <v>0.11321281348433314</v>
      </c>
      <c r="D49">
        <f t="shared" si="3"/>
        <v>0.13439999999999991</v>
      </c>
      <c r="E49">
        <f t="shared" si="4"/>
        <v>0.10080000000000006</v>
      </c>
      <c r="F49">
        <f t="shared" si="4"/>
        <v>0.49439999999999951</v>
      </c>
      <c r="G49">
        <f t="shared" si="4"/>
        <v>0.37079999999999985</v>
      </c>
      <c r="I49">
        <f t="shared" si="5"/>
        <v>3.7037037037037063E-2</v>
      </c>
      <c r="J49">
        <f t="shared" si="6"/>
        <v>0.76823745844679858</v>
      </c>
      <c r="K49">
        <f t="shared" si="7"/>
        <v>4.2298802124673837E-2</v>
      </c>
    </row>
    <row r="50" spans="1:11" x14ac:dyDescent="0.2">
      <c r="A50">
        <v>49</v>
      </c>
      <c r="B50">
        <f t="shared" si="10"/>
        <v>0.91900528918240787</v>
      </c>
      <c r="C50">
        <f t="shared" si="2"/>
        <v>0.11542978145062231</v>
      </c>
      <c r="D50">
        <f t="shared" si="3"/>
        <v>0.13719999999999991</v>
      </c>
      <c r="E50">
        <f t="shared" si="4"/>
        <v>0.10290000000000006</v>
      </c>
      <c r="F50">
        <f t="shared" si="4"/>
        <v>0.50469999999999948</v>
      </c>
      <c r="G50">
        <f t="shared" si="4"/>
        <v>0.37852499999999983</v>
      </c>
      <c r="I50">
        <f t="shared" si="5"/>
        <v>3.7808641975308671E-2</v>
      </c>
      <c r="J50">
        <f t="shared" si="6"/>
        <v>0.7751903346933946</v>
      </c>
      <c r="K50">
        <f t="shared" si="7"/>
        <v>4.3160733202761627E-2</v>
      </c>
    </row>
    <row r="51" spans="1:11" x14ac:dyDescent="0.2">
      <c r="A51">
        <v>50</v>
      </c>
      <c r="B51">
        <f t="shared" si="10"/>
        <v>0.92305502472328749</v>
      </c>
      <c r="C51">
        <f t="shared" si="2"/>
        <v>0.11764120699699576</v>
      </c>
      <c r="D51">
        <f t="shared" si="3"/>
        <v>0.1399999999999999</v>
      </c>
      <c r="E51">
        <f t="shared" si="4"/>
        <v>0.10500000000000007</v>
      </c>
      <c r="F51">
        <f t="shared" si="4"/>
        <v>0.51499999999999946</v>
      </c>
      <c r="G51">
        <f t="shared" si="4"/>
        <v>0.38624999999999982</v>
      </c>
      <c r="I51">
        <f t="shared" si="5"/>
        <v>3.8580246913580279E-2</v>
      </c>
      <c r="J51">
        <f t="shared" si="6"/>
        <v>0.78193462465259278</v>
      </c>
      <c r="K51">
        <f t="shared" si="7"/>
        <v>4.402188854287914E-2</v>
      </c>
    </row>
    <row r="52" spans="1:11" x14ac:dyDescent="0.2">
      <c r="A52">
        <v>51</v>
      </c>
      <c r="B52">
        <f t="shared" si="10"/>
        <v>0.92690227348712317</v>
      </c>
      <c r="C52">
        <f t="shared" si="2"/>
        <v>0.11984710397950328</v>
      </c>
      <c r="D52">
        <f t="shared" si="3"/>
        <v>0.1427999999999999</v>
      </c>
      <c r="E52">
        <f t="shared" si="4"/>
        <v>0.10710000000000007</v>
      </c>
      <c r="F52">
        <f t="shared" si="4"/>
        <v>0.52529999999999943</v>
      </c>
      <c r="G52">
        <f t="shared" si="4"/>
        <v>0.3939749999999998</v>
      </c>
      <c r="I52">
        <f t="shared" si="5"/>
        <v>3.9351851851851888E-2</v>
      </c>
      <c r="J52">
        <f t="shared" si="6"/>
        <v>0.78847658591301506</v>
      </c>
      <c r="K52">
        <f t="shared" si="7"/>
        <v>4.4882268843190548E-2</v>
      </c>
    </row>
    <row r="53" spans="1:11" x14ac:dyDescent="0.2">
      <c r="A53">
        <v>52</v>
      </c>
      <c r="B53">
        <f t="shared" si="10"/>
        <v>0.9305571598127671</v>
      </c>
      <c r="C53">
        <f t="shared" si="2"/>
        <v>0.12204748621955452</v>
      </c>
      <c r="D53">
        <f t="shared" si="3"/>
        <v>0.1455999999999999</v>
      </c>
      <c r="E53">
        <f t="shared" si="4"/>
        <v>0.10920000000000007</v>
      </c>
      <c r="F53">
        <f t="shared" si="4"/>
        <v>0.53559999999999941</v>
      </c>
      <c r="G53">
        <f t="shared" si="4"/>
        <v>0.40169999999999978</v>
      </c>
      <c r="I53">
        <f t="shared" si="5"/>
        <v>4.0123456790123496E-2</v>
      </c>
      <c r="J53">
        <f t="shared" si="6"/>
        <v>0.79482228833562463</v>
      </c>
      <c r="K53">
        <f t="shared" si="7"/>
        <v>4.5741874801231673E-2</v>
      </c>
    </row>
    <row r="54" spans="1:11" x14ac:dyDescent="0.2">
      <c r="A54">
        <v>53</v>
      </c>
      <c r="B54">
        <f t="shared" si="10"/>
        <v>0.93402930182212884</v>
      </c>
      <c r="C54">
        <f t="shared" si="2"/>
        <v>0.12424236750400564</v>
      </c>
      <c r="D54">
        <f t="shared" si="3"/>
        <v>0.14839999999999989</v>
      </c>
      <c r="E54">
        <f t="shared" si="4"/>
        <v>0.11130000000000008</v>
      </c>
      <c r="F54">
        <f t="shared" si="4"/>
        <v>0.54589999999999939</v>
      </c>
      <c r="G54">
        <f t="shared" si="4"/>
        <v>0.40942499999999976</v>
      </c>
      <c r="I54">
        <f t="shared" si="5"/>
        <v>4.0895061728395105E-2</v>
      </c>
      <c r="J54">
        <f t="shared" si="6"/>
        <v>0.80097761968555592</v>
      </c>
      <c r="K54">
        <f t="shared" si="7"/>
        <v>4.660070711391056E-2</v>
      </c>
    </row>
    <row r="55" spans="1:11" x14ac:dyDescent="0.2">
      <c r="A55">
        <v>54</v>
      </c>
      <c r="B55">
        <f t="shared" si="10"/>
        <v>0.93732783673102249</v>
      </c>
      <c r="C55">
        <f t="shared" si="2"/>
        <v>0.12643176158524563</v>
      </c>
      <c r="D55">
        <f t="shared" si="3"/>
        <v>0.15119999999999989</v>
      </c>
      <c r="E55">
        <f t="shared" si="4"/>
        <v>0.11340000000000008</v>
      </c>
      <c r="F55">
        <f t="shared" si="4"/>
        <v>0.55619999999999936</v>
      </c>
      <c r="G55">
        <f t="shared" si="4"/>
        <v>0.41714999999999974</v>
      </c>
      <c r="I55">
        <f t="shared" si="5"/>
        <v>4.1666666666666713E-2</v>
      </c>
      <c r="J55">
        <f t="shared" si="6"/>
        <v>0.80694829109498922</v>
      </c>
      <c r="K55">
        <f t="shared" si="7"/>
        <v>4.745876647750804E-2</v>
      </c>
    </row>
    <row r="56" spans="1:11" x14ac:dyDescent="0.2">
      <c r="A56">
        <v>55</v>
      </c>
      <c r="B56">
        <f t="shared" si="10"/>
        <v>0.94046144489447137</v>
      </c>
      <c r="C56">
        <f t="shared" si="2"/>
        <v>0.12861568218128253</v>
      </c>
      <c r="D56">
        <f t="shared" si="3"/>
        <v>0.15399999999999989</v>
      </c>
      <c r="E56">
        <f t="shared" si="4"/>
        <v>0.11550000000000009</v>
      </c>
      <c r="F56">
        <f t="shared" si="4"/>
        <v>0.56649999999999934</v>
      </c>
      <c r="G56">
        <f t="shared" si="4"/>
        <v>0.42487499999999973</v>
      </c>
      <c r="I56">
        <f t="shared" si="5"/>
        <v>4.2438271604938321E-2</v>
      </c>
      <c r="J56">
        <f t="shared" si="6"/>
        <v>0.81273984236213959</v>
      </c>
      <c r="K56">
        <f t="shared" si="7"/>
        <v>4.8316053587678279E-2</v>
      </c>
    </row>
    <row r="57" spans="1:11" x14ac:dyDescent="0.2">
      <c r="A57">
        <v>56</v>
      </c>
      <c r="B57">
        <f t="shared" si="10"/>
        <v>0.94343837264974784</v>
      </c>
      <c r="C57">
        <f t="shared" si="2"/>
        <v>0.13079414297582931</v>
      </c>
      <c r="D57">
        <f t="shared" si="3"/>
        <v>0.15679999999999988</v>
      </c>
      <c r="E57">
        <f t="shared" si="4"/>
        <v>0.11760000000000009</v>
      </c>
      <c r="F57">
        <f t="shared" si="4"/>
        <v>0.57679999999999931</v>
      </c>
      <c r="G57">
        <f t="shared" si="4"/>
        <v>0.43259999999999971</v>
      </c>
      <c r="I57">
        <f t="shared" si="5"/>
        <v>4.320987654320993E-2</v>
      </c>
      <c r="J57">
        <f t="shared" si="6"/>
        <v>0.81835764709127545</v>
      </c>
      <c r="K57">
        <f t="shared" si="7"/>
        <v>4.9172569139449368E-2</v>
      </c>
    </row>
    <row r="58" spans="1:11" x14ac:dyDescent="0.2">
      <c r="A58">
        <v>57</v>
      </c>
      <c r="B58">
        <f t="shared" si="10"/>
        <v>0.94626645401726051</v>
      </c>
      <c r="C58">
        <f t="shared" si="2"/>
        <v>0.13296715761838973</v>
      </c>
      <c r="D58">
        <f t="shared" si="3"/>
        <v>0.15959999999999988</v>
      </c>
      <c r="E58">
        <f t="shared" si="4"/>
        <v>0.1197000000000001</v>
      </c>
      <c r="F58">
        <f t="shared" si="4"/>
        <v>0.58709999999999929</v>
      </c>
      <c r="G58">
        <f t="shared" si="4"/>
        <v>0.44032499999999969</v>
      </c>
      <c r="I58">
        <f t="shared" si="5"/>
        <v>4.3981481481481538E-2</v>
      </c>
      <c r="J58">
        <f t="shared" si="6"/>
        <v>0.8238069176785372</v>
      </c>
      <c r="K58">
        <f t="shared" si="7"/>
        <v>5.0028313827223864E-2</v>
      </c>
    </row>
    <row r="59" spans="1:11" x14ac:dyDescent="0.2">
      <c r="A59">
        <v>58</v>
      </c>
      <c r="B59">
        <f t="shared" si="10"/>
        <v>0.94895313131639747</v>
      </c>
      <c r="C59">
        <f t="shared" si="2"/>
        <v>0.13513473972434376</v>
      </c>
      <c r="D59">
        <f t="shared" si="3"/>
        <v>0.16239999999999988</v>
      </c>
      <c r="E59">
        <f t="shared" si="4"/>
        <v>0.1218000000000001</v>
      </c>
      <c r="F59">
        <f t="shared" si="4"/>
        <v>0.59739999999999926</v>
      </c>
      <c r="G59">
        <f t="shared" si="4"/>
        <v>0.44804999999999967</v>
      </c>
      <c r="I59">
        <f t="shared" si="5"/>
        <v>4.4753086419753146E-2</v>
      </c>
      <c r="J59">
        <f t="shared" si="6"/>
        <v>0.82909271014818109</v>
      </c>
      <c r="K59">
        <f t="shared" si="7"/>
        <v>5.0883288344779364E-2</v>
      </c>
    </row>
    <row r="60" spans="1:11" x14ac:dyDescent="0.2">
      <c r="A60">
        <v>59</v>
      </c>
      <c r="B60">
        <f t="shared" si="10"/>
        <v>0.95150547475057767</v>
      </c>
      <c r="C60">
        <f t="shared" si="2"/>
        <v>0.13729690287503291</v>
      </c>
      <c r="D60">
        <f t="shared" si="3"/>
        <v>0.16519999999999987</v>
      </c>
      <c r="E60">
        <f t="shared" si="4"/>
        <v>0.12390000000000011</v>
      </c>
      <c r="F60">
        <f t="shared" si="4"/>
        <v>0.60769999999999924</v>
      </c>
      <c r="G60">
        <f t="shared" si="4"/>
        <v>0.45577499999999965</v>
      </c>
      <c r="I60">
        <f t="shared" si="5"/>
        <v>4.5524691358024755E-2</v>
      </c>
      <c r="J60">
        <f t="shared" si="6"/>
        <v>0.83421992884373564</v>
      </c>
      <c r="K60">
        <f t="shared" si="7"/>
        <v>5.1737493385269062E-2</v>
      </c>
    </row>
    <row r="61" spans="1:11" x14ac:dyDescent="0.2">
      <c r="A61">
        <v>60</v>
      </c>
      <c r="B61">
        <f t="shared" si="10"/>
        <v>0.95393020101304871</v>
      </c>
      <c r="C61">
        <f t="shared" si="2"/>
        <v>0.13945366061784534</v>
      </c>
      <c r="D61">
        <f t="shared" si="3"/>
        <v>0.16799999999999987</v>
      </c>
      <c r="E61">
        <f t="shared" si="4"/>
        <v>0.12600000000000011</v>
      </c>
      <c r="F61">
        <f t="shared" si="4"/>
        <v>0.61799999999999922</v>
      </c>
      <c r="G61">
        <f t="shared" si="4"/>
        <v>0.46349999999999963</v>
      </c>
      <c r="I61">
        <f t="shared" si="5"/>
        <v>4.6296296296296363E-2</v>
      </c>
      <c r="J61">
        <f t="shared" si="6"/>
        <v>0.83919333097842364</v>
      </c>
      <c r="K61">
        <f t="shared" si="7"/>
        <v>5.259092964122232E-2</v>
      </c>
    </row>
    <row r="62" spans="1:11" x14ac:dyDescent="0.2">
      <c r="A62">
        <v>61</v>
      </c>
      <c r="B62">
        <f t="shared" si="10"/>
        <v>0.95623369096239619</v>
      </c>
      <c r="C62">
        <f t="shared" si="2"/>
        <v>0.14160502646630072</v>
      </c>
      <c r="D62">
        <f t="shared" si="3"/>
        <v>0.17079999999999987</v>
      </c>
      <c r="E62">
        <f t="shared" si="4"/>
        <v>0.1281000000000001</v>
      </c>
      <c r="F62">
        <f t="shared" si="4"/>
        <v>0.62829999999999919</v>
      </c>
      <c r="G62">
        <f t="shared" si="4"/>
        <v>0.47122499999999962</v>
      </c>
      <c r="I62">
        <f t="shared" si="5"/>
        <v>4.7067901234567971E-2</v>
      </c>
      <c r="J62">
        <f t="shared" si="6"/>
        <v>0.84401753104907096</v>
      </c>
      <c r="K62">
        <f t="shared" si="7"/>
        <v>5.3443597804545218E-2</v>
      </c>
    </row>
    <row r="63" spans="1:11" x14ac:dyDescent="0.2">
      <c r="A63">
        <v>62</v>
      </c>
      <c r="B63">
        <f t="shared" si="10"/>
        <v>0.95842200641427633</v>
      </c>
      <c r="C63">
        <f t="shared" si="2"/>
        <v>0.14375101390013498</v>
      </c>
      <c r="D63">
        <f t="shared" si="3"/>
        <v>0.17359999999999987</v>
      </c>
      <c r="E63">
        <f t="shared" si="4"/>
        <v>0.13020000000000009</v>
      </c>
      <c r="F63">
        <f t="shared" si="4"/>
        <v>0.63859999999999917</v>
      </c>
      <c r="G63">
        <f t="shared" si="4"/>
        <v>0.4789499999999996</v>
      </c>
      <c r="I63">
        <f t="shared" si="5"/>
        <v>4.783950617283958E-2</v>
      </c>
      <c r="J63">
        <f t="shared" si="6"/>
        <v>0.84869700511759882</v>
      </c>
      <c r="K63">
        <f t="shared" si="7"/>
        <v>5.4295498566521126E-2</v>
      </c>
    </row>
    <row r="64" spans="1:11" x14ac:dyDescent="0.2">
      <c r="A64">
        <v>63</v>
      </c>
      <c r="B64">
        <f t="shared" si="10"/>
        <v>0.96050090609356253</v>
      </c>
      <c r="C64">
        <f t="shared" si="2"/>
        <v>0.14589163636538463</v>
      </c>
      <c r="D64">
        <f t="shared" si="3"/>
        <v>0.17639999999999986</v>
      </c>
      <c r="E64">
        <f t="shared" si="4"/>
        <v>0.13230000000000008</v>
      </c>
      <c r="F64">
        <f t="shared" si="4"/>
        <v>0.64889999999999914</v>
      </c>
      <c r="G64">
        <f t="shared" si="4"/>
        <v>0.48667499999999958</v>
      </c>
      <c r="I64">
        <f t="shared" si="5"/>
        <v>4.8611111111111188E-2</v>
      </c>
      <c r="J64">
        <f t="shared" si="6"/>
        <v>0.85323609496407093</v>
      </c>
      <c r="K64">
        <f t="shared" si="7"/>
        <v>5.5146632617811255E-2</v>
      </c>
    </row>
    <row r="65" spans="1:11" x14ac:dyDescent="0.2">
      <c r="A65">
        <v>64</v>
      </c>
      <c r="B65">
        <f t="shared" si="10"/>
        <v>0.96247586078888447</v>
      </c>
      <c r="C65">
        <f t="shared" si="2"/>
        <v>0.14802690727447118</v>
      </c>
      <c r="D65">
        <f t="shared" si="3"/>
        <v>0.17919999999999986</v>
      </c>
      <c r="E65">
        <f t="shared" si="4"/>
        <v>0.13440000000000007</v>
      </c>
      <c r="F65">
        <f t="shared" si="4"/>
        <v>0.65919999999999912</v>
      </c>
      <c r="G65">
        <f t="shared" si="4"/>
        <v>0.49439999999999956</v>
      </c>
      <c r="I65">
        <f t="shared" si="5"/>
        <v>4.9382716049382797E-2</v>
      </c>
      <c r="J65">
        <f t="shared" si="6"/>
        <v>0.85763901211514881</v>
      </c>
      <c r="K65">
        <f t="shared" si="7"/>
        <v>5.5997000648455225E-2</v>
      </c>
    </row>
    <row r="66" spans="1:11" x14ac:dyDescent="0.2">
      <c r="A66">
        <v>65</v>
      </c>
      <c r="B66">
        <f t="shared" si="10"/>
        <v>0.96435206774944016</v>
      </c>
      <c r="C66">
        <f t="shared" si="2"/>
        <v>0.15015684000628501</v>
      </c>
      <c r="D66">
        <f t="shared" si="3"/>
        <v>0.18199999999999986</v>
      </c>
      <c r="E66">
        <f t="shared" si="4"/>
        <v>0.13650000000000007</v>
      </c>
      <c r="F66">
        <f t="shared" si="4"/>
        <v>0.6694999999999991</v>
      </c>
      <c r="G66">
        <f t="shared" si="4"/>
        <v>0.5021249999999996</v>
      </c>
      <c r="I66">
        <f t="shared" si="5"/>
        <v>5.0154320987654405E-2</v>
      </c>
      <c r="J66">
        <f t="shared" si="6"/>
        <v>0.86190984175169438</v>
      </c>
      <c r="K66">
        <f t="shared" si="7"/>
        <v>5.6846603347871616E-2</v>
      </c>
    </row>
    <row r="67" spans="1:11" x14ac:dyDescent="0.2">
      <c r="A67">
        <v>66</v>
      </c>
      <c r="B67">
        <f t="shared" si="10"/>
        <v>0.96613446436196815</v>
      </c>
      <c r="C67">
        <f t="shared" si="2"/>
        <v>0.1522814479062693</v>
      </c>
      <c r="D67">
        <f t="shared" si="3"/>
        <v>0.18479999999999985</v>
      </c>
      <c r="E67">
        <f t="shared" si="4"/>
        <v>0.13860000000000006</v>
      </c>
      <c r="F67">
        <f t="shared" si="4"/>
        <v>0.67979999999999907</v>
      </c>
      <c r="G67">
        <f t="shared" si="4"/>
        <v>0.50984999999999958</v>
      </c>
      <c r="I67">
        <f t="shared" si="5"/>
        <v>5.0925925925926013E-2</v>
      </c>
      <c r="J67">
        <f t="shared" si="6"/>
        <v>0.86605254649914354</v>
      </c>
      <c r="K67">
        <f t="shared" si="7"/>
        <v>5.7695441404858529E-2</v>
      </c>
    </row>
    <row r="68" spans="1:11" x14ac:dyDescent="0.2">
      <c r="A68">
        <v>67</v>
      </c>
      <c r="B68">
        <f t="shared" ref="B68:B101" si="11">B67+B$2-B67*B$2</f>
        <v>0.96782774114386971</v>
      </c>
      <c r="C68">
        <f t="shared" ref="C68:C131" si="12">C67+C$2-C67*C$2</f>
        <v>0.15440074428650363</v>
      </c>
      <c r="D68">
        <f t="shared" ref="D68:D131" si="13">D67+D$2</f>
        <v>0.18759999999999985</v>
      </c>
      <c r="E68">
        <f t="shared" ref="E68:G131" si="14">E67+E$2</f>
        <v>0.14070000000000005</v>
      </c>
      <c r="F68">
        <f t="shared" si="14"/>
        <v>0.69009999999999905</v>
      </c>
      <c r="G68">
        <f t="shared" si="14"/>
        <v>0.51757499999999956</v>
      </c>
      <c r="I68">
        <f t="shared" ref="I68:I109" si="15">I67+I$2</f>
        <v>5.1697530864197622E-2</v>
      </c>
      <c r="J68">
        <f t="shared" ref="J68:J131" si="16">J67+J$2-J67*J$2</f>
        <v>0.87007097010416923</v>
      </c>
      <c r="K68">
        <f t="shared" ref="K68:K131" si="17">K67+K$2-K67*K$2</f>
        <v>5.8543515507594152E-2</v>
      </c>
    </row>
    <row r="69" spans="1:11" x14ac:dyDescent="0.2">
      <c r="A69">
        <v>68</v>
      </c>
      <c r="B69">
        <f t="shared" si="11"/>
        <v>0.96943635408667617</v>
      </c>
      <c r="C69">
        <f t="shared" si="12"/>
        <v>0.15651474242578736</v>
      </c>
      <c r="D69">
        <f t="shared" si="13"/>
        <v>0.19039999999999985</v>
      </c>
      <c r="E69">
        <f t="shared" si="14"/>
        <v>0.14280000000000004</v>
      </c>
      <c r="F69">
        <f t="shared" si="14"/>
        <v>0.70039999999999902</v>
      </c>
      <c r="G69">
        <f t="shared" si="14"/>
        <v>0.52529999999999955</v>
      </c>
      <c r="I69">
        <f t="shared" si="15"/>
        <v>5.246913580246923E-2</v>
      </c>
      <c r="J69">
        <f t="shared" si="16"/>
        <v>0.87396884100104422</v>
      </c>
      <c r="K69">
        <f t="shared" si="17"/>
        <v>5.9390826343637314E-2</v>
      </c>
    </row>
    <row r="70" spans="1:11" x14ac:dyDescent="0.2">
      <c r="A70">
        <v>69</v>
      </c>
      <c r="B70">
        <f t="shared" si="11"/>
        <v>0.97096453638234237</v>
      </c>
      <c r="C70">
        <f t="shared" si="12"/>
        <v>0.1586234555697229</v>
      </c>
      <c r="D70">
        <f t="shared" si="13"/>
        <v>0.19319999999999984</v>
      </c>
      <c r="E70">
        <f t="shared" si="14"/>
        <v>0.14490000000000003</v>
      </c>
      <c r="F70">
        <f t="shared" si="14"/>
        <v>0.710699999999999</v>
      </c>
      <c r="G70">
        <f t="shared" si="14"/>
        <v>0.53302499999999953</v>
      </c>
      <c r="I70">
        <f t="shared" si="15"/>
        <v>5.3240740740740838E-2</v>
      </c>
      <c r="J70">
        <f t="shared" si="16"/>
        <v>0.87774977577101287</v>
      </c>
      <c r="K70">
        <f t="shared" si="17"/>
        <v>6.0237374599928041E-2</v>
      </c>
    </row>
    <row r="71" spans="1:11" x14ac:dyDescent="0.2">
      <c r="A71">
        <v>70</v>
      </c>
      <c r="B71">
        <f t="shared" si="11"/>
        <v>0.97241630956322522</v>
      </c>
      <c r="C71">
        <f t="shared" si="12"/>
        <v>0.16072689693079861</v>
      </c>
      <c r="D71">
        <f t="shared" si="13"/>
        <v>0.19599999999999984</v>
      </c>
      <c r="E71">
        <f t="shared" si="14"/>
        <v>0.14700000000000002</v>
      </c>
      <c r="F71">
        <f t="shared" si="14"/>
        <v>0.72099999999999898</v>
      </c>
      <c r="G71">
        <f t="shared" si="14"/>
        <v>0.54074999999999951</v>
      </c>
      <c r="I71">
        <f t="shared" si="15"/>
        <v>5.4012345679012447E-2</v>
      </c>
      <c r="J71">
        <f t="shared" si="16"/>
        <v>0.88141728249788254</v>
      </c>
      <c r="K71">
        <f t="shared" si="17"/>
        <v>6.1083160962788104E-2</v>
      </c>
    </row>
    <row r="72" spans="1:11" x14ac:dyDescent="0.2">
      <c r="A72">
        <v>71</v>
      </c>
      <c r="B72">
        <f t="shared" si="11"/>
        <v>0.97379549408506405</v>
      </c>
      <c r="C72">
        <f t="shared" si="12"/>
        <v>0.16282507968847162</v>
      </c>
      <c r="D72">
        <f t="shared" si="13"/>
        <v>0.19879999999999984</v>
      </c>
      <c r="E72">
        <f t="shared" si="14"/>
        <v>0.14910000000000001</v>
      </c>
      <c r="F72">
        <f t="shared" si="14"/>
        <v>0.73129999999999895</v>
      </c>
      <c r="G72">
        <f t="shared" si="14"/>
        <v>0.54847499999999949</v>
      </c>
      <c r="I72">
        <f t="shared" si="15"/>
        <v>5.4783950617284055E-2</v>
      </c>
      <c r="J72">
        <f t="shared" si="16"/>
        <v>0.88497476402294606</v>
      </c>
      <c r="K72">
        <f t="shared" si="17"/>
        <v>6.1928186117921592E-2</v>
      </c>
    </row>
    <row r="73" spans="1:11" x14ac:dyDescent="0.2">
      <c r="A73">
        <v>72</v>
      </c>
      <c r="B73">
        <f t="shared" si="11"/>
        <v>0.97510571938081081</v>
      </c>
      <c r="C73">
        <f t="shared" si="12"/>
        <v>0.16491801698925046</v>
      </c>
      <c r="D73">
        <f t="shared" si="13"/>
        <v>0.20159999999999983</v>
      </c>
      <c r="E73">
        <f t="shared" si="14"/>
        <v>0.1512</v>
      </c>
      <c r="F73">
        <f t="shared" si="14"/>
        <v>0.74159999999999893</v>
      </c>
      <c r="G73">
        <f t="shared" si="14"/>
        <v>0.55619999999999947</v>
      </c>
      <c r="I73">
        <f t="shared" si="15"/>
        <v>5.5555555555555663E-2</v>
      </c>
      <c r="J73">
        <f t="shared" si="16"/>
        <v>0.8884255211022577</v>
      </c>
      <c r="K73">
        <f t="shared" si="17"/>
        <v>6.2772450750415473E-2</v>
      </c>
    </row>
    <row r="74" spans="1:11" x14ac:dyDescent="0.2">
      <c r="A74">
        <v>73</v>
      </c>
      <c r="B74">
        <f t="shared" si="11"/>
        <v>0.9763504334117703</v>
      </c>
      <c r="C74">
        <f t="shared" si="12"/>
        <v>0.16700572194677735</v>
      </c>
      <c r="D74">
        <f t="shared" si="13"/>
        <v>0.20439999999999983</v>
      </c>
      <c r="E74">
        <f t="shared" si="14"/>
        <v>0.15329999999999999</v>
      </c>
      <c r="F74">
        <f t="shared" si="14"/>
        <v>0.7518999999999989</v>
      </c>
      <c r="G74">
        <f t="shared" si="14"/>
        <v>0.56392499999999945</v>
      </c>
      <c r="I74">
        <f t="shared" si="15"/>
        <v>5.6327160493827272E-2</v>
      </c>
      <c r="J74">
        <f t="shared" si="16"/>
        <v>0.89177275546918999</v>
      </c>
      <c r="K74">
        <f t="shared" si="17"/>
        <v>6.3615955544740102E-2</v>
      </c>
    </row>
    <row r="75" spans="1:11" x14ac:dyDescent="0.2">
      <c r="A75">
        <v>74</v>
      </c>
      <c r="B75">
        <f t="shared" si="11"/>
        <v>0.97753291174118184</v>
      </c>
      <c r="C75">
        <f t="shared" si="12"/>
        <v>0.1690882076419104</v>
      </c>
      <c r="D75">
        <f t="shared" si="13"/>
        <v>0.20719999999999983</v>
      </c>
      <c r="E75">
        <f t="shared" si="14"/>
        <v>0.15539999999999998</v>
      </c>
      <c r="F75">
        <f t="shared" si="14"/>
        <v>0.76219999999999888</v>
      </c>
      <c r="G75">
        <f t="shared" si="14"/>
        <v>0.57164999999999944</v>
      </c>
      <c r="I75">
        <f t="shared" si="15"/>
        <v>5.709876543209888E-2</v>
      </c>
      <c r="J75">
        <f t="shared" si="16"/>
        <v>0.89501957280511435</v>
      </c>
      <c r="K75">
        <f t="shared" si="17"/>
        <v>6.4458701184749834E-2</v>
      </c>
    </row>
    <row r="76" spans="1:11" x14ac:dyDescent="0.2">
      <c r="A76">
        <v>75</v>
      </c>
      <c r="B76">
        <f t="shared" si="11"/>
        <v>0.97865626615412271</v>
      </c>
      <c r="C76">
        <f t="shared" si="12"/>
        <v>0.17116548712280563</v>
      </c>
      <c r="D76">
        <f t="shared" si="13"/>
        <v>0.20999999999999983</v>
      </c>
      <c r="E76">
        <f t="shared" si="14"/>
        <v>0.15749999999999997</v>
      </c>
      <c r="F76">
        <f t="shared" si="14"/>
        <v>0.77249999999999885</v>
      </c>
      <c r="G76">
        <f t="shared" si="14"/>
        <v>0.57937499999999942</v>
      </c>
      <c r="I76">
        <f t="shared" si="15"/>
        <v>5.7870370370370489E-2</v>
      </c>
      <c r="J76">
        <f t="shared" si="16"/>
        <v>0.89816898562096092</v>
      </c>
      <c r="K76">
        <f t="shared" si="17"/>
        <v>6.530068835368355E-2</v>
      </c>
    </row>
    <row r="77" spans="1:11" x14ac:dyDescent="0.2">
      <c r="A77">
        <v>76</v>
      </c>
      <c r="B77">
        <f t="shared" si="11"/>
        <v>0.9797234528464166</v>
      </c>
      <c r="C77">
        <f t="shared" si="12"/>
        <v>0.17323757340499862</v>
      </c>
      <c r="D77">
        <f t="shared" si="13"/>
        <v>0.21279999999999982</v>
      </c>
      <c r="E77">
        <f t="shared" si="14"/>
        <v>0.15959999999999996</v>
      </c>
      <c r="F77">
        <f t="shared" si="14"/>
        <v>0.78279999999999883</v>
      </c>
      <c r="G77">
        <f t="shared" si="14"/>
        <v>0.5870999999999994</v>
      </c>
      <c r="I77">
        <f t="shared" si="15"/>
        <v>5.8641975308642097E-2</v>
      </c>
      <c r="J77">
        <f t="shared" si="16"/>
        <v>0.9012239160523321</v>
      </c>
      <c r="K77">
        <f t="shared" si="17"/>
        <v>6.6141917734165237E-2</v>
      </c>
    </row>
    <row r="78" spans="1:11" x14ac:dyDescent="0.2">
      <c r="A78">
        <v>77</v>
      </c>
      <c r="B78">
        <f t="shared" si="11"/>
        <v>0.98073728020409567</v>
      </c>
      <c r="C78">
        <f t="shared" si="12"/>
        <v>0.17530447947148614</v>
      </c>
      <c r="D78">
        <f t="shared" si="13"/>
        <v>0.21559999999999982</v>
      </c>
      <c r="E78">
        <f t="shared" si="14"/>
        <v>0.16169999999999995</v>
      </c>
      <c r="F78">
        <f t="shared" si="14"/>
        <v>0.79309999999999881</v>
      </c>
      <c r="G78">
        <f t="shared" si="14"/>
        <v>0.59482499999999938</v>
      </c>
      <c r="I78">
        <f t="shared" si="15"/>
        <v>5.9413580246913705E-2</v>
      </c>
      <c r="J78">
        <f t="shared" si="16"/>
        <v>0.90418719857076213</v>
      </c>
      <c r="K78">
        <f t="shared" si="17"/>
        <v>6.6982390008204482E-2</v>
      </c>
    </row>
    <row r="79" spans="1:11" x14ac:dyDescent="0.2">
      <c r="A79">
        <v>78</v>
      </c>
      <c r="B79">
        <f t="shared" si="11"/>
        <v>0.98170041619389092</v>
      </c>
      <c r="C79">
        <f t="shared" si="12"/>
        <v>0.17736621827280744</v>
      </c>
      <c r="D79">
        <f t="shared" si="13"/>
        <v>0.21839999999999982</v>
      </c>
      <c r="E79">
        <f t="shared" si="14"/>
        <v>0.16379999999999995</v>
      </c>
      <c r="F79">
        <f t="shared" si="14"/>
        <v>0.80339999999999878</v>
      </c>
      <c r="G79">
        <f t="shared" si="14"/>
        <v>0.60254999999999936</v>
      </c>
      <c r="I79">
        <f t="shared" si="15"/>
        <v>6.0185185185185314E-2</v>
      </c>
      <c r="J79">
        <f t="shared" si="16"/>
        <v>0.90706158261363934</v>
      </c>
      <c r="K79">
        <f t="shared" si="17"/>
        <v>6.7822105857197099E-2</v>
      </c>
    </row>
    <row r="80" spans="1:11" x14ac:dyDescent="0.2">
      <c r="A80">
        <v>79</v>
      </c>
      <c r="B80">
        <f t="shared" si="11"/>
        <v>0.9826153953841964</v>
      </c>
      <c r="C80">
        <f t="shared" si="12"/>
        <v>0.17942280272712541</v>
      </c>
      <c r="D80">
        <f t="shared" si="13"/>
        <v>0.22119999999999981</v>
      </c>
      <c r="E80">
        <f t="shared" si="14"/>
        <v>0.16589999999999994</v>
      </c>
      <c r="F80">
        <f t="shared" si="14"/>
        <v>0.81369999999999876</v>
      </c>
      <c r="G80">
        <f t="shared" si="14"/>
        <v>0.61027499999999935</v>
      </c>
      <c r="I80">
        <f t="shared" si="15"/>
        <v>6.0956790123456922E-2</v>
      </c>
      <c r="J80">
        <f t="shared" si="16"/>
        <v>0.90984973513523015</v>
      </c>
      <c r="K80">
        <f t="shared" si="17"/>
        <v>6.8661065961925616E-2</v>
      </c>
    </row>
    <row r="81" spans="1:11" x14ac:dyDescent="0.2">
      <c r="A81">
        <v>80</v>
      </c>
      <c r="B81">
        <f t="shared" si="11"/>
        <v>0.98348462561498651</v>
      </c>
      <c r="C81">
        <f t="shared" si="12"/>
        <v>0.1814742457203076</v>
      </c>
      <c r="D81">
        <f t="shared" si="13"/>
        <v>0.22399999999999981</v>
      </c>
      <c r="E81">
        <f t="shared" si="14"/>
        <v>0.16799999999999993</v>
      </c>
      <c r="F81">
        <f t="shared" si="14"/>
        <v>0.82399999999999873</v>
      </c>
      <c r="G81">
        <f t="shared" si="14"/>
        <v>0.61799999999999933</v>
      </c>
      <c r="I81">
        <f t="shared" si="15"/>
        <v>6.172839506172853E-2</v>
      </c>
      <c r="J81">
        <f t="shared" si="16"/>
        <v>0.91255424308117328</v>
      </c>
      <c r="K81">
        <f t="shared" si="17"/>
        <v>6.9499271002559884E-2</v>
      </c>
    </row>
    <row r="82" spans="1:11" x14ac:dyDescent="0.2">
      <c r="A82">
        <v>81</v>
      </c>
      <c r="B82">
        <f t="shared" si="11"/>
        <v>0.98431039433423728</v>
      </c>
      <c r="C82">
        <f t="shared" si="12"/>
        <v>0.18352056010600684</v>
      </c>
      <c r="D82">
        <f t="shared" si="13"/>
        <v>0.22679999999999981</v>
      </c>
      <c r="E82">
        <f t="shared" si="14"/>
        <v>0.17009999999999992</v>
      </c>
      <c r="F82">
        <f t="shared" si="14"/>
        <v>0.83429999999999871</v>
      </c>
      <c r="G82">
        <f t="shared" si="14"/>
        <v>0.62572499999999931</v>
      </c>
      <c r="I82">
        <f t="shared" si="15"/>
        <v>6.2500000000000139E-2</v>
      </c>
      <c r="J82">
        <f t="shared" si="16"/>
        <v>0.91517761578873813</v>
      </c>
      <c r="K82">
        <f t="shared" si="17"/>
        <v>7.0336721658657578E-2</v>
      </c>
    </row>
    <row r="83" spans="1:11" x14ac:dyDescent="0.2">
      <c r="A83">
        <v>82</v>
      </c>
      <c r="B83">
        <f t="shared" si="11"/>
        <v>0.98509487461752543</v>
      </c>
      <c r="C83">
        <f t="shared" si="12"/>
        <v>0.18556175870574182</v>
      </c>
      <c r="D83">
        <f t="shared" si="13"/>
        <v>0.2295999999999998</v>
      </c>
      <c r="E83">
        <f t="shared" si="14"/>
        <v>0.17219999999999991</v>
      </c>
      <c r="F83">
        <f t="shared" si="14"/>
        <v>0.84459999999999869</v>
      </c>
      <c r="G83">
        <f t="shared" si="14"/>
        <v>0.63344999999999929</v>
      </c>
      <c r="I83">
        <f t="shared" si="15"/>
        <v>6.3271604938271747E-2</v>
      </c>
      <c r="J83">
        <f t="shared" si="16"/>
        <v>0.91772228731507599</v>
      </c>
      <c r="K83">
        <f t="shared" si="17"/>
        <v>7.117341860916479E-2</v>
      </c>
    </row>
    <row r="84" spans="1:11" x14ac:dyDescent="0.2">
      <c r="A84">
        <v>83</v>
      </c>
      <c r="B84">
        <f t="shared" si="11"/>
        <v>0.98584013088664924</v>
      </c>
      <c r="C84">
        <f t="shared" si="12"/>
        <v>0.18759785430897746</v>
      </c>
      <c r="D84">
        <f t="shared" si="13"/>
        <v>0.2323999999999998</v>
      </c>
      <c r="E84">
        <f t="shared" si="14"/>
        <v>0.1742999999999999</v>
      </c>
      <c r="F84">
        <f t="shared" si="14"/>
        <v>0.85489999999999866</v>
      </c>
      <c r="G84">
        <f t="shared" si="14"/>
        <v>0.64117499999999927</v>
      </c>
      <c r="I84">
        <f t="shared" si="15"/>
        <v>6.4043209876543356E-2</v>
      </c>
      <c r="J84">
        <f t="shared" si="16"/>
        <v>0.92019061869562369</v>
      </c>
      <c r="K84">
        <f t="shared" si="17"/>
        <v>7.2009362532416535E-2</v>
      </c>
    </row>
    <row r="85" spans="1:11" x14ac:dyDescent="0.2">
      <c r="A85">
        <v>84</v>
      </c>
      <c r="B85">
        <f t="shared" si="11"/>
        <v>0.98654812434231665</v>
      </c>
      <c r="C85">
        <f t="shared" si="12"/>
        <v>0.18962885967320503</v>
      </c>
      <c r="D85">
        <f t="shared" si="13"/>
        <v>0.2351999999999998</v>
      </c>
      <c r="E85">
        <f t="shared" si="14"/>
        <v>0.17639999999999989</v>
      </c>
      <c r="F85">
        <f t="shared" si="14"/>
        <v>0.86519999999999864</v>
      </c>
      <c r="G85">
        <f t="shared" si="14"/>
        <v>0.64889999999999926</v>
      </c>
      <c r="I85">
        <f t="shared" si="15"/>
        <v>6.4814814814814964E-2</v>
      </c>
      <c r="J85">
        <f t="shared" si="16"/>
        <v>0.92258490013475503</v>
      </c>
      <c r="K85">
        <f t="shared" si="17"/>
        <v>7.2844554106137355E-2</v>
      </c>
    </row>
    <row r="86" spans="1:11" x14ac:dyDescent="0.2">
      <c r="A86">
        <v>85</v>
      </c>
      <c r="B86">
        <f t="shared" si="11"/>
        <v>0.98722071812520085</v>
      </c>
      <c r="C86">
        <f t="shared" si="12"/>
        <v>0.19165478752402201</v>
      </c>
      <c r="D86">
        <f t="shared" si="13"/>
        <v>0.2379999999999998</v>
      </c>
      <c r="E86">
        <f t="shared" si="14"/>
        <v>0.17849999999999988</v>
      </c>
      <c r="F86">
        <f t="shared" si="14"/>
        <v>0.87549999999999861</v>
      </c>
      <c r="G86">
        <f t="shared" si="14"/>
        <v>0.65662499999999924</v>
      </c>
      <c r="I86">
        <f t="shared" si="15"/>
        <v>6.5586419753086572E-2</v>
      </c>
      <c r="J86">
        <f t="shared" si="16"/>
        <v>0.92490735313071237</v>
      </c>
      <c r="K86">
        <f t="shared" si="17"/>
        <v>7.3678994007441823E-2</v>
      </c>
    </row>
    <row r="87" spans="1:11" x14ac:dyDescent="0.2">
      <c r="A87">
        <v>86</v>
      </c>
      <c r="B87">
        <f t="shared" si="11"/>
        <v>0.98785968221894083</v>
      </c>
      <c r="C87">
        <f t="shared" si="12"/>
        <v>0.19367565055521196</v>
      </c>
      <c r="D87">
        <f t="shared" si="13"/>
        <v>0.24079999999999979</v>
      </c>
      <c r="E87">
        <f t="shared" si="14"/>
        <v>0.18059999999999987</v>
      </c>
      <c r="F87">
        <f t="shared" si="14"/>
        <v>0.88579999999999859</v>
      </c>
      <c r="G87">
        <f t="shared" si="14"/>
        <v>0.66434999999999922</v>
      </c>
      <c r="I87">
        <f t="shared" si="15"/>
        <v>6.6358024691358181E-2</v>
      </c>
      <c r="J87">
        <f t="shared" si="16"/>
        <v>0.92716013253679108</v>
      </c>
      <c r="K87">
        <f t="shared" si="17"/>
        <v>7.4512682912835124E-2</v>
      </c>
    </row>
    <row r="88" spans="1:11" x14ac:dyDescent="0.2">
      <c r="A88">
        <v>87</v>
      </c>
      <c r="B88">
        <f t="shared" si="11"/>
        <v>0.9884666981079937</v>
      </c>
      <c r="C88">
        <f t="shared" si="12"/>
        <v>0.19569146142882393</v>
      </c>
      <c r="D88">
        <f t="shared" si="13"/>
        <v>0.24359999999999979</v>
      </c>
      <c r="E88">
        <f t="shared" si="14"/>
        <v>0.18269999999999986</v>
      </c>
      <c r="F88">
        <f t="shared" si="14"/>
        <v>0.89609999999999856</v>
      </c>
      <c r="G88">
        <f t="shared" si="14"/>
        <v>0.6720749999999992</v>
      </c>
      <c r="I88">
        <f t="shared" si="15"/>
        <v>6.7129629629629789E-2</v>
      </c>
      <c r="J88">
        <f t="shared" si="16"/>
        <v>0.92934532856068741</v>
      </c>
      <c r="K88">
        <f t="shared" si="17"/>
        <v>7.5345621498213569E-2</v>
      </c>
    </row>
    <row r="89" spans="1:11" x14ac:dyDescent="0.2">
      <c r="A89">
        <v>88</v>
      </c>
      <c r="B89">
        <f t="shared" si="11"/>
        <v>0.98904336320259412</v>
      </c>
      <c r="C89">
        <f t="shared" si="12"/>
        <v>0.19770223277525187</v>
      </c>
      <c r="D89">
        <f t="shared" si="13"/>
        <v>0.24639999999999979</v>
      </c>
      <c r="E89">
        <f t="shared" si="14"/>
        <v>0.18479999999999985</v>
      </c>
      <c r="F89">
        <f t="shared" si="14"/>
        <v>0.90639999999999854</v>
      </c>
      <c r="G89">
        <f t="shared" si="14"/>
        <v>0.67979999999999918</v>
      </c>
      <c r="I89">
        <f t="shared" si="15"/>
        <v>6.7901234567901397E-2</v>
      </c>
      <c r="J89">
        <f t="shared" si="16"/>
        <v>0.93146496870386686</v>
      </c>
      <c r="K89">
        <f t="shared" si="17"/>
        <v>7.6177810438865179E-2</v>
      </c>
    </row>
    <row r="90" spans="1:11" x14ac:dyDescent="0.2">
      <c r="A90">
        <v>89</v>
      </c>
      <c r="B90">
        <f t="shared" si="11"/>
        <v>0.98959119504246451</v>
      </c>
      <c r="C90">
        <f t="shared" si="12"/>
        <v>0.19970797719331373</v>
      </c>
      <c r="D90">
        <f t="shared" si="13"/>
        <v>0.24919999999999978</v>
      </c>
      <c r="E90">
        <f t="shared" si="14"/>
        <v>0.18689999999999984</v>
      </c>
      <c r="F90">
        <f t="shared" si="14"/>
        <v>0.91669999999999852</v>
      </c>
      <c r="G90">
        <f t="shared" si="14"/>
        <v>0.68752499999999916</v>
      </c>
      <c r="I90">
        <f t="shared" si="15"/>
        <v>6.8672839506173006E-2</v>
      </c>
      <c r="J90">
        <f t="shared" si="16"/>
        <v>0.93352101964275092</v>
      </c>
      <c r="K90">
        <f t="shared" si="17"/>
        <v>7.7009250409470195E-2</v>
      </c>
    </row>
    <row r="91" spans="1:11" x14ac:dyDescent="0.2">
      <c r="A91">
        <v>90</v>
      </c>
      <c r="B91">
        <f t="shared" si="11"/>
        <v>0.9901116352903413</v>
      </c>
      <c r="C91">
        <f t="shared" si="12"/>
        <v>0.20170870725033047</v>
      </c>
      <c r="D91">
        <f t="shared" si="13"/>
        <v>0.25199999999999978</v>
      </c>
      <c r="E91">
        <f t="shared" si="14"/>
        <v>0.18899999999999983</v>
      </c>
      <c r="F91">
        <f t="shared" si="14"/>
        <v>0.92699999999999849</v>
      </c>
      <c r="G91">
        <f t="shared" si="14"/>
        <v>0.69524999999999915</v>
      </c>
      <c r="I91">
        <f t="shared" si="15"/>
        <v>6.9444444444444614E-2</v>
      </c>
      <c r="J91">
        <f t="shared" si="16"/>
        <v>0.93551538905346843</v>
      </c>
      <c r="K91">
        <f t="shared" si="17"/>
        <v>7.7839942084101665E-2</v>
      </c>
    </row>
    <row r="92" spans="1:11" x14ac:dyDescent="0.2">
      <c r="A92">
        <v>91</v>
      </c>
      <c r="B92">
        <f t="shared" si="11"/>
        <v>0.9906060535258242</v>
      </c>
      <c r="C92">
        <f t="shared" si="12"/>
        <v>0.20370443548220465</v>
      </c>
      <c r="D92">
        <f t="shared" si="13"/>
        <v>0.2547999999999998</v>
      </c>
      <c r="E92">
        <f t="shared" si="14"/>
        <v>0.19109999999999983</v>
      </c>
      <c r="F92">
        <f t="shared" si="14"/>
        <v>0.93729999999999847</v>
      </c>
      <c r="G92">
        <f t="shared" si="14"/>
        <v>0.70297499999999913</v>
      </c>
      <c r="I92">
        <f t="shared" si="15"/>
        <v>7.0216049382716222E-2</v>
      </c>
      <c r="J92">
        <f t="shared" si="16"/>
        <v>0.93744992738186439</v>
      </c>
      <c r="K92">
        <f t="shared" si="17"/>
        <v>7.8669886136225969E-2</v>
      </c>
    </row>
    <row r="93" spans="1:11" x14ac:dyDescent="0.2">
      <c r="A93">
        <v>92</v>
      </c>
      <c r="B93">
        <f t="shared" si="11"/>
        <v>0.99107575084953292</v>
      </c>
      <c r="C93">
        <f t="shared" si="12"/>
        <v>0.20569517439349916</v>
      </c>
      <c r="D93">
        <f t="shared" si="13"/>
        <v>0.25759999999999983</v>
      </c>
      <c r="E93">
        <f t="shared" si="14"/>
        <v>0.19319999999999982</v>
      </c>
      <c r="F93">
        <f t="shared" si="14"/>
        <v>0.94759999999999844</v>
      </c>
      <c r="G93">
        <f t="shared" si="14"/>
        <v>0.71069999999999911</v>
      </c>
      <c r="I93">
        <f t="shared" si="15"/>
        <v>7.0987654320987831E-2</v>
      </c>
      <c r="J93">
        <f t="shared" si="16"/>
        <v>0.93932642956040846</v>
      </c>
      <c r="K93">
        <f t="shared" si="17"/>
        <v>7.9499083238703361E-2</v>
      </c>
    </row>
    <row r="94" spans="1:11" x14ac:dyDescent="0.2">
      <c r="A94">
        <v>93</v>
      </c>
      <c r="B94">
        <f t="shared" si="11"/>
        <v>0.99152196330705633</v>
      </c>
      <c r="C94">
        <f t="shared" si="12"/>
        <v>0.20768093645751542</v>
      </c>
      <c r="D94">
        <f t="shared" si="13"/>
        <v>0.26039999999999985</v>
      </c>
      <c r="E94">
        <f t="shared" si="14"/>
        <v>0.19529999999999981</v>
      </c>
      <c r="F94">
        <f t="shared" si="14"/>
        <v>0.95789999999999842</v>
      </c>
      <c r="G94">
        <f t="shared" si="14"/>
        <v>0.71842499999999909</v>
      </c>
      <c r="I94">
        <f t="shared" si="15"/>
        <v>7.1759259259259439E-2</v>
      </c>
      <c r="J94">
        <f t="shared" si="16"/>
        <v>0.94114663667359622</v>
      </c>
      <c r="K94">
        <f t="shared" si="17"/>
        <v>8.0327534063788522E-2</v>
      </c>
    </row>
    <row r="95" spans="1:11" x14ac:dyDescent="0.2">
      <c r="A95">
        <v>94</v>
      </c>
      <c r="B95">
        <f t="shared" si="11"/>
        <v>0.99194586514170346</v>
      </c>
      <c r="C95">
        <f t="shared" si="12"/>
        <v>0.20966173411637165</v>
      </c>
      <c r="D95">
        <f t="shared" si="13"/>
        <v>0.26319999999999988</v>
      </c>
      <c r="E95">
        <f t="shared" si="14"/>
        <v>0.1973999999999998</v>
      </c>
      <c r="F95">
        <f t="shared" si="14"/>
        <v>0.9681999999999984</v>
      </c>
      <c r="G95">
        <f t="shared" si="14"/>
        <v>0.72614999999999907</v>
      </c>
      <c r="I95">
        <f t="shared" si="15"/>
        <v>7.2530864197531048E-2</v>
      </c>
      <c r="J95">
        <f t="shared" si="16"/>
        <v>0.94291223757338838</v>
      </c>
      <c r="K95">
        <f t="shared" si="17"/>
        <v>8.1155239283131106E-2</v>
      </c>
    </row>
    <row r="96" spans="1:11" x14ac:dyDescent="0.2">
      <c r="A96">
        <v>95</v>
      </c>
      <c r="B96">
        <f t="shared" si="11"/>
        <v>0.99234857188461834</v>
      </c>
      <c r="C96">
        <f t="shared" si="12"/>
        <v>0.21163757978108072</v>
      </c>
      <c r="D96">
        <f t="shared" si="13"/>
        <v>0.2659999999999999</v>
      </c>
      <c r="E96">
        <f t="shared" si="14"/>
        <v>0.19949999999999979</v>
      </c>
      <c r="F96">
        <f t="shared" si="14"/>
        <v>0.97849999999999837</v>
      </c>
      <c r="G96">
        <f t="shared" si="14"/>
        <v>0.73387499999999906</v>
      </c>
      <c r="I96">
        <f t="shared" si="15"/>
        <v>7.3302469135802656E-2</v>
      </c>
      <c r="J96">
        <f t="shared" si="16"/>
        <v>0.9446248704461867</v>
      </c>
      <c r="K96">
        <f t="shared" si="17"/>
        <v>8.198219956777629E-2</v>
      </c>
    </row>
    <row r="97" spans="1:11" x14ac:dyDescent="0.2">
      <c r="A97">
        <v>96</v>
      </c>
      <c r="B97">
        <f t="shared" si="11"/>
        <v>0.99273114329038747</v>
      </c>
      <c r="C97">
        <f t="shared" si="12"/>
        <v>0.21360848583162803</v>
      </c>
      <c r="D97">
        <f t="shared" si="13"/>
        <v>0.26879999999999993</v>
      </c>
      <c r="E97">
        <f t="shared" si="14"/>
        <v>0.20159999999999978</v>
      </c>
      <c r="F97">
        <f t="shared" si="14"/>
        <v>0.98879999999999835</v>
      </c>
      <c r="G97">
        <f t="shared" si="14"/>
        <v>0.74159999999999904</v>
      </c>
      <c r="I97">
        <f t="shared" si="15"/>
        <v>7.4074074074074264E-2</v>
      </c>
      <c r="J97">
        <f t="shared" si="16"/>
        <v>0.94628612433280113</v>
      </c>
      <c r="K97">
        <f t="shared" si="17"/>
        <v>8.2808415588165291E-2</v>
      </c>
    </row>
    <row r="98" spans="1:11" x14ac:dyDescent="0.2">
      <c r="A98">
        <v>97</v>
      </c>
      <c r="B98">
        <f t="shared" si="11"/>
        <v>0.99309458612586798</v>
      </c>
      <c r="C98">
        <f t="shared" si="12"/>
        <v>0.21557446461704896</v>
      </c>
      <c r="D98">
        <f t="shared" si="13"/>
        <v>0.27159999999999995</v>
      </c>
      <c r="E98">
        <f t="shared" si="14"/>
        <v>0.20369999999999977</v>
      </c>
      <c r="F98">
        <f t="shared" si="14"/>
        <v>0.99909999999999832</v>
      </c>
      <c r="G98">
        <f t="shared" si="14"/>
        <v>0.74932499999999902</v>
      </c>
      <c r="I98">
        <f t="shared" si="15"/>
        <v>7.4845679012345873E-2</v>
      </c>
      <c r="J98">
        <f t="shared" si="16"/>
        <v>0.94789754060281717</v>
      </c>
      <c r="K98">
        <f t="shared" si="17"/>
        <v>8.3633888014135946E-2</v>
      </c>
    </row>
    <row r="99" spans="1:11" x14ac:dyDescent="0.2">
      <c r="A99">
        <v>98</v>
      </c>
      <c r="B99">
        <f t="shared" si="11"/>
        <v>0.99343985681957458</v>
      </c>
      <c r="C99">
        <f t="shared" si="12"/>
        <v>0.21753552845550633</v>
      </c>
      <c r="D99">
        <f t="shared" si="13"/>
        <v>0.27439999999999998</v>
      </c>
      <c r="E99">
        <f t="shared" si="14"/>
        <v>0.20579999999999976</v>
      </c>
      <c r="I99">
        <f t="shared" si="15"/>
        <v>7.5617283950617481E-2</v>
      </c>
      <c r="J99">
        <f t="shared" si="16"/>
        <v>0.94946061438473273</v>
      </c>
      <c r="K99">
        <f t="shared" si="17"/>
        <v>8.4458617514923215E-2</v>
      </c>
    </row>
    <row r="100" spans="1:11" x14ac:dyDescent="0.2">
      <c r="A100">
        <v>99</v>
      </c>
      <c r="B100">
        <f t="shared" si="11"/>
        <v>0.99376786397859584</v>
      </c>
      <c r="C100">
        <f t="shared" si="12"/>
        <v>0.21949168963436758</v>
      </c>
      <c r="D100">
        <f t="shared" si="13"/>
        <v>0.2772</v>
      </c>
      <c r="E100">
        <f t="shared" si="14"/>
        <v>0.20789999999999975</v>
      </c>
      <c r="I100">
        <f t="shared" si="15"/>
        <v>7.6388888888889089E-2</v>
      </c>
      <c r="J100">
        <f t="shared" si="16"/>
        <v>0.95097679595319073</v>
      </c>
      <c r="K100">
        <f t="shared" si="17"/>
        <v>8.5282604759159789E-2</v>
      </c>
    </row>
    <row r="101" spans="1:11" x14ac:dyDescent="0.2">
      <c r="A101">
        <v>100</v>
      </c>
      <c r="B101">
        <f t="shared" si="11"/>
        <v>0.99407947077966607</v>
      </c>
      <c r="C101">
        <f t="shared" si="12"/>
        <v>0.22144296041028166</v>
      </c>
      <c r="D101">
        <f t="shared" si="13"/>
        <v>0.28000000000000003</v>
      </c>
      <c r="E101">
        <f t="shared" si="14"/>
        <v>0.20999999999999974</v>
      </c>
      <c r="I101">
        <f t="shared" si="15"/>
        <v>7.7160493827160698E-2</v>
      </c>
      <c r="J101">
        <f t="shared" si="16"/>
        <v>0.952447492074595</v>
      </c>
      <c r="K101">
        <f t="shared" si="17"/>
        <v>8.6105850414876547E-2</v>
      </c>
    </row>
    <row r="102" spans="1:11" x14ac:dyDescent="0.2">
      <c r="A102">
        <v>101</v>
      </c>
      <c r="B102">
        <f t="shared" ref="B102:B165" si="18">B101+B$2-B101*B$2</f>
        <v>0.99437549724068286</v>
      </c>
      <c r="C102">
        <f t="shared" si="12"/>
        <v>0.22338935300925597</v>
      </c>
      <c r="D102">
        <f t="shared" si="13"/>
        <v>0.28280000000000005</v>
      </c>
      <c r="E102">
        <f t="shared" si="14"/>
        <v>0.21209999999999973</v>
      </c>
      <c r="I102">
        <f t="shared" si="15"/>
        <v>7.7932098765432306E-2</v>
      </c>
      <c r="J102">
        <f t="shared" si="16"/>
        <v>0.95387406731235713</v>
      </c>
      <c r="K102">
        <f t="shared" si="17"/>
        <v>8.6928355149503159E-2</v>
      </c>
    </row>
    <row r="103" spans="1:11" x14ac:dyDescent="0.2">
      <c r="A103">
        <v>102</v>
      </c>
      <c r="B103">
        <f t="shared" si="18"/>
        <v>0.99465672237864877</v>
      </c>
      <c r="C103">
        <f t="shared" si="12"/>
        <v>0.22533087962673284</v>
      </c>
      <c r="D103">
        <f t="shared" si="13"/>
        <v>0.28560000000000008</v>
      </c>
      <c r="E103">
        <f t="shared" si="14"/>
        <v>0.21419999999999972</v>
      </c>
      <c r="I103">
        <f t="shared" si="15"/>
        <v>7.8703703703703914E-2</v>
      </c>
      <c r="J103">
        <f t="shared" si="16"/>
        <v>0.95525784529298641</v>
      </c>
      <c r="K103">
        <f t="shared" si="17"/>
        <v>8.7750119629868603E-2</v>
      </c>
    </row>
    <row r="104" spans="1:11" x14ac:dyDescent="0.2">
      <c r="A104">
        <v>103</v>
      </c>
      <c r="B104">
        <f t="shared" si="18"/>
        <v>0.99492388625971628</v>
      </c>
      <c r="C104">
        <f t="shared" si="12"/>
        <v>0.22726755242766603</v>
      </c>
      <c r="D104">
        <f t="shared" si="13"/>
        <v>0.2884000000000001</v>
      </c>
      <c r="E104">
        <f t="shared" si="14"/>
        <v>0.21629999999999971</v>
      </c>
      <c r="I104">
        <f t="shared" si="15"/>
        <v>7.9475308641975523E-2</v>
      </c>
      <c r="J104">
        <f t="shared" si="16"/>
        <v>0.95660010993419686</v>
      </c>
      <c r="K104">
        <f t="shared" si="17"/>
        <v>8.8571144522201717E-2</v>
      </c>
    </row>
    <row r="105" spans="1:11" x14ac:dyDescent="0.2">
      <c r="A105">
        <v>104</v>
      </c>
      <c r="B105">
        <f t="shared" si="18"/>
        <v>0.99517769194673056</v>
      </c>
      <c r="C105">
        <f t="shared" si="12"/>
        <v>0.22919938354659686</v>
      </c>
      <c r="D105">
        <f t="shared" si="13"/>
        <v>0.29120000000000013</v>
      </c>
      <c r="E105">
        <f t="shared" si="14"/>
        <v>0.21839999999999971</v>
      </c>
      <c r="I105">
        <f t="shared" si="15"/>
        <v>8.0246913580247131E-2</v>
      </c>
      <c r="J105">
        <f t="shared" si="16"/>
        <v>0.95790210663617104</v>
      </c>
      <c r="K105">
        <f t="shared" si="17"/>
        <v>8.9391430492131732E-2</v>
      </c>
    </row>
    <row r="106" spans="1:11" x14ac:dyDescent="0.2">
      <c r="A106">
        <v>105</v>
      </c>
      <c r="B106">
        <f t="shared" si="18"/>
        <v>0.99541880734939403</v>
      </c>
      <c r="C106">
        <f t="shared" si="12"/>
        <v>0.23112638508773037</v>
      </c>
      <c r="D106">
        <f t="shared" si="13"/>
        <v>0.29400000000000015</v>
      </c>
      <c r="E106">
        <f t="shared" si="14"/>
        <v>0.2204999999999997</v>
      </c>
      <c r="I106">
        <f t="shared" si="15"/>
        <v>8.101851851851874E-2</v>
      </c>
      <c r="J106">
        <f t="shared" si="16"/>
        <v>0.95916504343708597</v>
      </c>
      <c r="K106">
        <f t="shared" si="17"/>
        <v>9.0210978204688805E-2</v>
      </c>
    </row>
    <row r="107" spans="1:11" x14ac:dyDescent="0.2">
      <c r="A107">
        <v>106</v>
      </c>
      <c r="B107">
        <f t="shared" si="18"/>
        <v>0.9956478669819242</v>
      </c>
      <c r="C107">
        <f t="shared" si="12"/>
        <v>0.23304856912501104</v>
      </c>
      <c r="D107">
        <f t="shared" si="13"/>
        <v>0.29680000000000017</v>
      </c>
      <c r="E107">
        <f t="shared" si="14"/>
        <v>0.22259999999999969</v>
      </c>
      <c r="I107">
        <f t="shared" si="15"/>
        <v>8.1790123456790348E-2</v>
      </c>
      <c r="J107">
        <f t="shared" si="16"/>
        <v>0.96039009213397342</v>
      </c>
      <c r="K107">
        <f t="shared" si="17"/>
        <v>9.1029788324304584E-2</v>
      </c>
    </row>
    <row r="108" spans="1:11" x14ac:dyDescent="0.2">
      <c r="A108">
        <v>107</v>
      </c>
      <c r="B108">
        <f t="shared" si="18"/>
        <v>0.99586547363282807</v>
      </c>
      <c r="C108">
        <f t="shared" si="12"/>
        <v>0.2349659477021985</v>
      </c>
      <c r="D108">
        <f t="shared" si="13"/>
        <v>0.2996000000000002</v>
      </c>
      <c r="E108">
        <f t="shared" si="14"/>
        <v>0.22469999999999968</v>
      </c>
      <c r="I108">
        <f t="shared" si="15"/>
        <v>8.2561728395061956E-2</v>
      </c>
      <c r="J108">
        <f t="shared" si="16"/>
        <v>0.96157838936995421</v>
      </c>
      <c r="K108">
        <f t="shared" si="17"/>
        <v>9.1847861514812709E-2</v>
      </c>
    </row>
    <row r="109" spans="1:11" x14ac:dyDescent="0.2">
      <c r="A109">
        <v>108</v>
      </c>
      <c r="B109">
        <f t="shared" si="18"/>
        <v>0.99607219995118668</v>
      </c>
      <c r="C109">
        <f t="shared" si="12"/>
        <v>0.236878532832943</v>
      </c>
      <c r="D109">
        <f t="shared" si="13"/>
        <v>0.30240000000000022</v>
      </c>
      <c r="E109">
        <f t="shared" si="14"/>
        <v>0.22679999999999967</v>
      </c>
      <c r="I109">
        <f t="shared" si="15"/>
        <v>8.3333333333333565E-2</v>
      </c>
      <c r="J109">
        <f t="shared" si="16"/>
        <v>0.9627310376888556</v>
      </c>
      <c r="K109">
        <f t="shared" si="17"/>
        <v>9.266519843944937E-2</v>
      </c>
    </row>
    <row r="110" spans="1:11" x14ac:dyDescent="0.2">
      <c r="A110">
        <v>109</v>
      </c>
      <c r="B110">
        <f t="shared" si="18"/>
        <v>0.99626858995362721</v>
      </c>
      <c r="C110">
        <f t="shared" si="12"/>
        <v>0.23878633650086065</v>
      </c>
      <c r="D110">
        <f t="shared" si="13"/>
        <v>0.30520000000000025</v>
      </c>
      <c r="E110">
        <f t="shared" si="14"/>
        <v>0.22889999999999966</v>
      </c>
      <c r="J110">
        <f t="shared" si="16"/>
        <v>0.96384910655819001</v>
      </c>
      <c r="K110">
        <f t="shared" si="17"/>
        <v>9.348179976085387E-2</v>
      </c>
    </row>
    <row r="111" spans="1:11" x14ac:dyDescent="0.2">
      <c r="A111">
        <v>110</v>
      </c>
      <c r="B111">
        <f t="shared" si="18"/>
        <v>0.99645516045594595</v>
      </c>
      <c r="C111">
        <f t="shared" si="12"/>
        <v>0.24068937065960849</v>
      </c>
      <c r="D111">
        <f t="shared" si="13"/>
        <v>0.30800000000000027</v>
      </c>
      <c r="E111">
        <f t="shared" si="14"/>
        <v>0.23099999999999965</v>
      </c>
      <c r="J111">
        <f t="shared" si="16"/>
        <v>0.96493363336144433</v>
      </c>
      <c r="K111">
        <f t="shared" si="17"/>
        <v>9.4297666141069103E-2</v>
      </c>
    </row>
    <row r="112" spans="1:11" x14ac:dyDescent="0.2">
      <c r="A112">
        <v>111</v>
      </c>
      <c r="B112">
        <f t="shared" si="18"/>
        <v>0.99663240243314866</v>
      </c>
      <c r="C112">
        <f t="shared" si="12"/>
        <v>0.24258764723295947</v>
      </c>
      <c r="D112">
        <f t="shared" si="13"/>
        <v>0.3108000000000003</v>
      </c>
      <c r="E112">
        <f t="shared" si="14"/>
        <v>0.23309999999999964</v>
      </c>
      <c r="J112">
        <f t="shared" si="16"/>
        <v>0.96598562436060098</v>
      </c>
      <c r="K112">
        <f t="shared" si="17"/>
        <v>9.5112798241542146E-2</v>
      </c>
    </row>
    <row r="113" spans="1:11" x14ac:dyDescent="0.2">
      <c r="A113">
        <v>112</v>
      </c>
      <c r="B113">
        <f t="shared" si="18"/>
        <v>0.99680078231149116</v>
      </c>
      <c r="C113">
        <f t="shared" si="12"/>
        <v>0.24448117811487707</v>
      </c>
      <c r="D113">
        <f t="shared" si="13"/>
        <v>0.31360000000000032</v>
      </c>
      <c r="E113">
        <f t="shared" si="14"/>
        <v>0.23519999999999963</v>
      </c>
      <c r="J113">
        <f t="shared" si="16"/>
        <v>0.96700605562978303</v>
      </c>
      <c r="K113">
        <f t="shared" si="17"/>
        <v>9.5927196723124761E-2</v>
      </c>
    </row>
    <row r="114" spans="1:11" x14ac:dyDescent="0.2">
      <c r="A114">
        <v>113</v>
      </c>
      <c r="B114">
        <f t="shared" si="18"/>
        <v>0.99696074319591654</v>
      </c>
      <c r="C114">
        <f t="shared" si="12"/>
        <v>0.24636997516958989</v>
      </c>
      <c r="D114">
        <f t="shared" si="13"/>
        <v>0.31640000000000035</v>
      </c>
      <c r="E114">
        <f t="shared" si="14"/>
        <v>0.23729999999999962</v>
      </c>
      <c r="J114">
        <f t="shared" si="16"/>
        <v>0.9679958739608896</v>
      </c>
      <c r="K114">
        <f t="shared" si="17"/>
        <v>9.674086224607395E-2</v>
      </c>
    </row>
    <row r="115" spans="1:11" x14ac:dyDescent="0.2">
      <c r="A115">
        <v>114</v>
      </c>
      <c r="B115">
        <f t="shared" si="18"/>
        <v>0.99711270603612068</v>
      </c>
      <c r="C115">
        <f t="shared" si="12"/>
        <v>0.24825405023166591</v>
      </c>
      <c r="D115">
        <f t="shared" si="13"/>
        <v>0.31920000000000037</v>
      </c>
      <c r="E115">
        <f t="shared" si="14"/>
        <v>0.23939999999999961</v>
      </c>
      <c r="J115">
        <f t="shared" si="16"/>
        <v>0.96895599774206298</v>
      </c>
      <c r="K115">
        <f t="shared" si="17"/>
        <v>9.7553795470052482E-2</v>
      </c>
    </row>
    <row r="116" spans="1:11" x14ac:dyDescent="0.2">
      <c r="A116">
        <v>115</v>
      </c>
      <c r="B116">
        <f t="shared" si="18"/>
        <v>0.99725707073431469</v>
      </c>
      <c r="C116">
        <f t="shared" si="12"/>
        <v>0.25013341510608678</v>
      </c>
      <c r="D116">
        <f t="shared" si="13"/>
        <v>0.3220000000000004</v>
      </c>
      <c r="E116">
        <f t="shared" si="14"/>
        <v>0.2414999999999996</v>
      </c>
      <c r="J116">
        <f t="shared" si="16"/>
        <v>0.96988731780980109</v>
      </c>
      <c r="K116">
        <f t="shared" si="17"/>
        <v>9.8365997054129434E-2</v>
      </c>
    </row>
    <row r="117" spans="1:11" x14ac:dyDescent="0.2">
      <c r="A117">
        <v>116</v>
      </c>
      <c r="B117">
        <f t="shared" si="18"/>
        <v>0.99739421719759902</v>
      </c>
      <c r="C117">
        <f t="shared" si="12"/>
        <v>0.25200808156832155</v>
      </c>
      <c r="D117">
        <f t="shared" si="13"/>
        <v>0.32480000000000042</v>
      </c>
      <c r="E117">
        <f t="shared" si="14"/>
        <v>0.24359999999999959</v>
      </c>
      <c r="J117">
        <f t="shared" si="16"/>
        <v>0.97079069827550712</v>
      </c>
      <c r="K117">
        <f t="shared" si="17"/>
        <v>9.9177467656780718E-2</v>
      </c>
    </row>
    <row r="118" spans="1:11" x14ac:dyDescent="0.2">
      <c r="A118">
        <v>117</v>
      </c>
      <c r="B118">
        <f t="shared" si="18"/>
        <v>0.99752450633771894</v>
      </c>
      <c r="C118">
        <f t="shared" si="12"/>
        <v>0.25387806136440078</v>
      </c>
      <c r="D118">
        <f t="shared" si="13"/>
        <v>0.32760000000000045</v>
      </c>
      <c r="E118">
        <f t="shared" si="14"/>
        <v>0.24569999999999959</v>
      </c>
      <c r="J118">
        <f t="shared" si="16"/>
        <v>0.97166697732724183</v>
      </c>
      <c r="K118">
        <f t="shared" si="17"/>
        <v>9.9988207935889611E-2</v>
      </c>
    </row>
    <row r="119" spans="1:11" x14ac:dyDescent="0.2">
      <c r="A119">
        <v>118</v>
      </c>
      <c r="B119">
        <f t="shared" si="18"/>
        <v>0.99764828102083303</v>
      </c>
      <c r="C119">
        <f t="shared" si="12"/>
        <v>0.25574336621098975</v>
      </c>
      <c r="D119">
        <f t="shared" si="13"/>
        <v>0.33040000000000047</v>
      </c>
      <c r="E119">
        <f t="shared" si="14"/>
        <v>0.24779999999999958</v>
      </c>
      <c r="J119">
        <f t="shared" si="16"/>
        <v>0.97251696800742449</v>
      </c>
      <c r="K119">
        <f t="shared" si="17"/>
        <v>0.10079821854874731</v>
      </c>
    </row>
    <row r="120" spans="1:11" x14ac:dyDescent="0.2">
      <c r="A120">
        <v>119</v>
      </c>
      <c r="B120">
        <f t="shared" si="18"/>
        <v>0.9977658669697913</v>
      </c>
      <c r="C120">
        <f t="shared" si="12"/>
        <v>0.25760400779546228</v>
      </c>
      <c r="D120">
        <f t="shared" si="13"/>
        <v>0.3332000000000005</v>
      </c>
      <c r="E120">
        <f t="shared" si="14"/>
        <v>0.24989999999999957</v>
      </c>
      <c r="J120">
        <f t="shared" si="16"/>
        <v>0.9733414589672017</v>
      </c>
      <c r="K120">
        <f t="shared" si="17"/>
        <v>0.10160750015205343</v>
      </c>
    </row>
    <row r="121" spans="1:11" x14ac:dyDescent="0.2">
      <c r="A121">
        <v>120</v>
      </c>
      <c r="B121">
        <f t="shared" si="18"/>
        <v>0.99787757362130181</v>
      </c>
      <c r="C121">
        <f t="shared" si="12"/>
        <v>0.25945999777597362</v>
      </c>
      <c r="D121">
        <f t="shared" si="13"/>
        <v>0.33600000000000052</v>
      </c>
      <c r="E121">
        <f t="shared" si="14"/>
        <v>0.25199999999999956</v>
      </c>
      <c r="J121">
        <f t="shared" si="16"/>
        <v>0.97414121519818553</v>
      </c>
      <c r="K121">
        <f t="shared" si="17"/>
        <v>0.10241605340191658</v>
      </c>
    </row>
    <row r="122" spans="1:11" x14ac:dyDescent="0.2">
      <c r="A122">
        <v>121</v>
      </c>
      <c r="B122">
        <f t="shared" si="18"/>
        <v>0.99798369494023664</v>
      </c>
      <c r="C122">
        <f t="shared" si="12"/>
        <v>0.2613113477815337</v>
      </c>
      <c r="D122">
        <f t="shared" si="13"/>
        <v>0.33880000000000055</v>
      </c>
      <c r="E122">
        <f t="shared" si="14"/>
        <v>0.25409999999999955</v>
      </c>
      <c r="J122">
        <f t="shared" si="16"/>
        <v>0.97491697874223993</v>
      </c>
      <c r="K122">
        <f t="shared" si="17"/>
        <v>0.10322387895385485</v>
      </c>
    </row>
    <row r="123" spans="1:11" x14ac:dyDescent="0.2">
      <c r="A123">
        <v>122</v>
      </c>
      <c r="B123">
        <f t="shared" si="18"/>
        <v>0.99808451019322475</v>
      </c>
      <c r="C123">
        <f t="shared" si="12"/>
        <v>0.26315806941207986</v>
      </c>
      <c r="D123">
        <f t="shared" si="13"/>
        <v>0.34160000000000057</v>
      </c>
      <c r="E123">
        <f t="shared" si="14"/>
        <v>0.25619999999999954</v>
      </c>
      <c r="J123">
        <f t="shared" si="16"/>
        <v>0.97566946937997268</v>
      </c>
      <c r="K123">
        <f t="shared" si="17"/>
        <v>0.10403097746279638</v>
      </c>
    </row>
    <row r="124" spans="1:11" x14ac:dyDescent="0.2">
      <c r="A124">
        <v>123</v>
      </c>
      <c r="B124">
        <f t="shared" si="18"/>
        <v>0.99818028468356357</v>
      </c>
      <c r="C124">
        <f t="shared" si="12"/>
        <v>0.26500017423854966</v>
      </c>
      <c r="D124">
        <f t="shared" si="13"/>
        <v>0.34440000000000059</v>
      </c>
      <c r="E124">
        <f t="shared" si="14"/>
        <v>0.25829999999999953</v>
      </c>
      <c r="J124">
        <f t="shared" si="16"/>
        <v>0.9763993852985734</v>
      </c>
      <c r="K124">
        <f t="shared" si="17"/>
        <v>0.10483734958307986</v>
      </c>
    </row>
    <row r="125" spans="1:11" x14ac:dyDescent="0.2">
      <c r="A125">
        <v>124</v>
      </c>
      <c r="B125">
        <f t="shared" si="18"/>
        <v>0.99827127044938535</v>
      </c>
      <c r="C125">
        <f t="shared" si="12"/>
        <v>0.26683767380295331</v>
      </c>
      <c r="D125">
        <f t="shared" si="13"/>
        <v>0.34720000000000062</v>
      </c>
      <c r="E125">
        <f t="shared" si="14"/>
        <v>0.26039999999999952</v>
      </c>
      <c r="J125">
        <f t="shared" si="16"/>
        <v>0.97710740373961613</v>
      </c>
      <c r="K125">
        <f t="shared" si="17"/>
        <v>0.10564299596845508</v>
      </c>
    </row>
    <row r="126" spans="1:11" x14ac:dyDescent="0.2">
      <c r="A126">
        <v>125</v>
      </c>
      <c r="B126">
        <f t="shared" si="18"/>
        <v>0.99835770692691606</v>
      </c>
      <c r="C126">
        <f t="shared" si="12"/>
        <v>0.26867057961844593</v>
      </c>
      <c r="D126">
        <f t="shared" si="13"/>
        <v>0.35000000000000064</v>
      </c>
      <c r="E126">
        <f t="shared" si="14"/>
        <v>0.26249999999999951</v>
      </c>
      <c r="J126">
        <f t="shared" si="16"/>
        <v>0.97779418162742771</v>
      </c>
      <c r="K126">
        <f t="shared" si="17"/>
        <v>0.10644791727208347</v>
      </c>
    </row>
    <row r="127" spans="1:11" x14ac:dyDescent="0.2">
      <c r="A127">
        <v>126</v>
      </c>
      <c r="B127">
        <f t="shared" si="18"/>
        <v>0.99843982158057032</v>
      </c>
      <c r="C127">
        <f t="shared" si="12"/>
        <v>0.27049890316939984</v>
      </c>
      <c r="D127">
        <f t="shared" si="13"/>
        <v>0.35280000000000067</v>
      </c>
      <c r="E127">
        <f t="shared" si="14"/>
        <v>0.2645999999999995</v>
      </c>
      <c r="J127">
        <f t="shared" si="16"/>
        <v>0.97846035617860483</v>
      </c>
      <c r="K127">
        <f t="shared" si="17"/>
        <v>0.1072521141465386</v>
      </c>
    </row>
    <row r="128" spans="1:11" x14ac:dyDescent="0.2">
      <c r="A128">
        <v>127</v>
      </c>
      <c r="B128">
        <f t="shared" si="18"/>
        <v>0.99851783050154186</v>
      </c>
      <c r="C128">
        <f t="shared" si="12"/>
        <v>0.27232265591147636</v>
      </c>
      <c r="D128">
        <f t="shared" si="13"/>
        <v>0.35560000000000069</v>
      </c>
      <c r="E128">
        <f t="shared" si="14"/>
        <v>0.26669999999999949</v>
      </c>
      <c r="J128">
        <f t="shared" si="16"/>
        <v>0.97910654549324661</v>
      </c>
      <c r="K128">
        <f t="shared" si="17"/>
        <v>0.10805558724380671</v>
      </c>
    </row>
    <row r="129" spans="1:11" x14ac:dyDescent="0.2">
      <c r="A129">
        <v>128</v>
      </c>
      <c r="B129">
        <f t="shared" si="18"/>
        <v>0.99859193897646481</v>
      </c>
      <c r="C129">
        <f t="shared" si="12"/>
        <v>0.27414184927169766</v>
      </c>
      <c r="D129">
        <f t="shared" si="13"/>
        <v>0.35840000000000072</v>
      </c>
      <c r="E129">
        <f t="shared" si="14"/>
        <v>0.26879999999999948</v>
      </c>
      <c r="J129">
        <f t="shared" si="16"/>
        <v>0.97973334912844923</v>
      </c>
      <c r="K129">
        <f t="shared" si="17"/>
        <v>0.10885833721528727</v>
      </c>
    </row>
    <row r="130" spans="1:11" x14ac:dyDescent="0.2">
      <c r="A130">
        <v>129</v>
      </c>
      <c r="B130">
        <f t="shared" si="18"/>
        <v>0.99866234202764159</v>
      </c>
      <c r="C130">
        <f t="shared" si="12"/>
        <v>0.2759564946485184</v>
      </c>
      <c r="D130">
        <f t="shared" si="13"/>
        <v>0.36120000000000074</v>
      </c>
      <c r="E130">
        <f t="shared" si="14"/>
        <v>0.27089999999999947</v>
      </c>
      <c r="J130">
        <f t="shared" si="16"/>
        <v>0.98034134865459577</v>
      </c>
      <c r="K130">
        <f t="shared" si="17"/>
        <v>0.10966036471179351</v>
      </c>
    </row>
    <row r="131" spans="1:11" x14ac:dyDescent="0.2">
      <c r="A131">
        <v>130</v>
      </c>
      <c r="B131">
        <f t="shared" si="18"/>
        <v>0.99872922492625948</v>
      </c>
      <c r="C131">
        <f t="shared" si="12"/>
        <v>0.27776660341189713</v>
      </c>
      <c r="D131">
        <f t="shared" si="13"/>
        <v>0.36400000000000077</v>
      </c>
      <c r="E131">
        <f t="shared" si="14"/>
        <v>0.27299999999999947</v>
      </c>
      <c r="J131">
        <f t="shared" si="16"/>
        <v>0.98093110819495788</v>
      </c>
      <c r="K131">
        <f t="shared" si="17"/>
        <v>0.1104616703835529</v>
      </c>
    </row>
    <row r="132" spans="1:11" x14ac:dyDescent="0.2">
      <c r="A132">
        <v>131</v>
      </c>
      <c r="B132">
        <f t="shared" si="18"/>
        <v>0.9987927636799464</v>
      </c>
      <c r="C132">
        <f t="shared" ref="C132:C195" si="19">C131+C$2-C131*C$2</f>
        <v>0.27957218690336738</v>
      </c>
      <c r="D132">
        <f t="shared" ref="D132:D195" si="20">D131+D$2</f>
        <v>0.36680000000000079</v>
      </c>
      <c r="E132">
        <f t="shared" ref="E132:E195" si="21">E131+E$2</f>
        <v>0.27509999999999946</v>
      </c>
      <c r="J132">
        <f t="shared" ref="J132:J195" si="22">J131+J$2-J131*J$2</f>
        <v>0.98150317494910921</v>
      </c>
      <c r="K132">
        <f t="shared" ref="K132:K195" si="23">K131+K$2-K131*K$2</f>
        <v>0.11126225488020769</v>
      </c>
    </row>
    <row r="133" spans="1:11" x14ac:dyDescent="0.2">
      <c r="A133">
        <v>132</v>
      </c>
      <c r="B133">
        <f t="shared" si="18"/>
        <v>0.99885312549594896</v>
      </c>
      <c r="C133">
        <f t="shared" si="19"/>
        <v>0.28137325643610894</v>
      </c>
      <c r="D133">
        <f t="shared" si="20"/>
        <v>0.36960000000000082</v>
      </c>
      <c r="E133">
        <f t="shared" si="21"/>
        <v>0.27719999999999945</v>
      </c>
      <c r="J133">
        <f t="shared" si="22"/>
        <v>0.98205807970063597</v>
      </c>
      <c r="K133">
        <f t="shared" si="23"/>
        <v>0.1120621188508155</v>
      </c>
    </row>
    <row r="134" spans="1:11" x14ac:dyDescent="0.2">
      <c r="A134">
        <v>133</v>
      </c>
      <c r="B134">
        <f t="shared" si="18"/>
        <v>0.99891046922115156</v>
      </c>
      <c r="C134">
        <f t="shared" si="19"/>
        <v>0.28316982329501866</v>
      </c>
      <c r="D134">
        <f t="shared" si="20"/>
        <v>0.37240000000000084</v>
      </c>
      <c r="E134">
        <f t="shared" si="21"/>
        <v>0.27929999999999944</v>
      </c>
      <c r="J134">
        <f t="shared" si="22"/>
        <v>0.98259633730961693</v>
      </c>
      <c r="K134">
        <f t="shared" si="23"/>
        <v>0.11286126294384977</v>
      </c>
    </row>
    <row r="135" spans="1:11" x14ac:dyDescent="0.2">
      <c r="A135">
        <v>134</v>
      </c>
      <c r="B135">
        <f t="shared" si="18"/>
        <v>0.99896494576009387</v>
      </c>
      <c r="C135">
        <f t="shared" si="19"/>
        <v>0.28496189873678113</v>
      </c>
      <c r="D135">
        <f t="shared" si="20"/>
        <v>0.37520000000000087</v>
      </c>
      <c r="E135">
        <f t="shared" si="21"/>
        <v>0.28139999999999943</v>
      </c>
      <c r="J135">
        <f t="shared" si="22"/>
        <v>0.98311844719032848</v>
      </c>
      <c r="K135">
        <f t="shared" si="23"/>
        <v>0.1136596878072003</v>
      </c>
    </row>
    <row r="136" spans="1:11" x14ac:dyDescent="0.2">
      <c r="A136">
        <v>135</v>
      </c>
      <c r="B136">
        <f t="shared" si="18"/>
        <v>0.99901669847208907</v>
      </c>
      <c r="C136">
        <f t="shared" si="19"/>
        <v>0.28674949398993915</v>
      </c>
      <c r="D136">
        <f t="shared" si="20"/>
        <v>0.37800000000000089</v>
      </c>
      <c r="E136">
        <f t="shared" si="21"/>
        <v>0.28349999999999942</v>
      </c>
      <c r="J136">
        <f t="shared" si="22"/>
        <v>0.9836248937746187</v>
      </c>
      <c r="K136">
        <f t="shared" si="23"/>
        <v>0.11445739408817382</v>
      </c>
    </row>
    <row r="137" spans="1:11" x14ac:dyDescent="0.2">
      <c r="A137">
        <v>136</v>
      </c>
      <c r="B137">
        <f t="shared" si="18"/>
        <v>0.99906586354848459</v>
      </c>
      <c r="C137">
        <f t="shared" si="19"/>
        <v>0.28853262025496429</v>
      </c>
      <c r="D137">
        <f t="shared" si="20"/>
        <v>0.38080000000000092</v>
      </c>
      <c r="E137">
        <f t="shared" si="21"/>
        <v>0.28559999999999941</v>
      </c>
      <c r="J137">
        <f t="shared" si="22"/>
        <v>0.98411614696138006</v>
      </c>
      <c r="K137">
        <f t="shared" si="23"/>
        <v>0.11525438243349446</v>
      </c>
    </row>
    <row r="138" spans="1:11" x14ac:dyDescent="0.2">
      <c r="A138">
        <v>137</v>
      </c>
      <c r="B138">
        <f t="shared" si="18"/>
        <v>0.99911257037106038</v>
      </c>
      <c r="C138">
        <f t="shared" si="19"/>
        <v>0.29031128870432688</v>
      </c>
      <c r="D138">
        <f t="shared" si="20"/>
        <v>0.38360000000000094</v>
      </c>
      <c r="E138">
        <f t="shared" si="21"/>
        <v>0.2876999999999994</v>
      </c>
      <c r="J138">
        <f t="shared" si="22"/>
        <v>0.98459266255253852</v>
      </c>
      <c r="K138">
        <f t="shared" si="23"/>
        <v>0.11605065348930432</v>
      </c>
    </row>
    <row r="139" spans="1:11" x14ac:dyDescent="0.2">
      <c r="A139">
        <v>138</v>
      </c>
      <c r="B139">
        <f t="shared" si="18"/>
        <v>0.99915694185250736</v>
      </c>
      <c r="C139">
        <f t="shared" si="19"/>
        <v>0.29208551048256604</v>
      </c>
      <c r="D139">
        <f t="shared" si="20"/>
        <v>0.38640000000000096</v>
      </c>
      <c r="E139">
        <f t="shared" si="21"/>
        <v>0.28979999999999939</v>
      </c>
      <c r="J139">
        <f t="shared" si="22"/>
        <v>0.98505488267596242</v>
      </c>
      <c r="K139">
        <f t="shared" si="23"/>
        <v>0.11684620790116394</v>
      </c>
    </row>
    <row r="140" spans="1:11" x14ac:dyDescent="0.2">
      <c r="A140">
        <v>139</v>
      </c>
      <c r="B140">
        <f t="shared" si="18"/>
        <v>0.99919909475988189</v>
      </c>
      <c r="C140">
        <f t="shared" si="19"/>
        <v>0.29385529670635963</v>
      </c>
      <c r="D140">
        <f t="shared" si="20"/>
        <v>0.38920000000000099</v>
      </c>
      <c r="E140">
        <f t="shared" si="21"/>
        <v>0.29189999999999938</v>
      </c>
      <c r="J140">
        <f t="shared" si="22"/>
        <v>0.98550323619568359</v>
      </c>
      <c r="K140">
        <f t="shared" si="23"/>
        <v>0.11764104631405289</v>
      </c>
    </row>
    <row r="141" spans="1:11" x14ac:dyDescent="0.2">
      <c r="A141">
        <v>140</v>
      </c>
      <c r="B141">
        <f t="shared" si="18"/>
        <v>0.99923914002188785</v>
      </c>
      <c r="C141">
        <f t="shared" si="19"/>
        <v>0.29562065846459373</v>
      </c>
      <c r="D141">
        <f t="shared" si="20"/>
        <v>0.39200000000000101</v>
      </c>
      <c r="E141">
        <f t="shared" si="21"/>
        <v>0.29399999999999937</v>
      </c>
      <c r="J141">
        <f t="shared" si="22"/>
        <v>0.98593813910981298</v>
      </c>
      <c r="K141">
        <f t="shared" si="23"/>
        <v>0.11843516937237024</v>
      </c>
    </row>
    <row r="142" spans="1:11" x14ac:dyDescent="0.2">
      <c r="A142">
        <v>141</v>
      </c>
      <c r="B142">
        <f t="shared" si="18"/>
        <v>0.99927718302079349</v>
      </c>
      <c r="C142">
        <f t="shared" si="19"/>
        <v>0.29738160681843223</v>
      </c>
      <c r="D142">
        <f t="shared" si="20"/>
        <v>0.39480000000000104</v>
      </c>
      <c r="E142">
        <f t="shared" si="21"/>
        <v>0.29609999999999936</v>
      </c>
      <c r="J142">
        <f t="shared" si="22"/>
        <v>0.9863599949365186</v>
      </c>
      <c r="K142">
        <f t="shared" si="23"/>
        <v>0.1192285777199351</v>
      </c>
    </row>
    <row r="143" spans="1:11" x14ac:dyDescent="0.2">
      <c r="A143">
        <v>142</v>
      </c>
      <c r="B143">
        <f t="shared" si="18"/>
        <v>0.9993133238697538</v>
      </c>
      <c r="C143">
        <f t="shared" si="19"/>
        <v>0.29913815280138617</v>
      </c>
      <c r="D143">
        <f t="shared" si="20"/>
        <v>0.39760000000000106</v>
      </c>
      <c r="E143">
        <f t="shared" si="21"/>
        <v>0.29819999999999935</v>
      </c>
      <c r="J143">
        <f t="shared" si="22"/>
        <v>0.98676919508842298</v>
      </c>
      <c r="K143">
        <f t="shared" si="23"/>
        <v>0.12002127199998716</v>
      </c>
    </row>
    <row r="144" spans="1:11" x14ac:dyDescent="0.2">
      <c r="A144">
        <v>143</v>
      </c>
      <c r="B144">
        <f t="shared" si="18"/>
        <v>0.9993476576762661</v>
      </c>
      <c r="C144">
        <f t="shared" si="19"/>
        <v>0.30089030741938272</v>
      </c>
      <c r="D144">
        <f t="shared" si="20"/>
        <v>0.40040000000000109</v>
      </c>
      <c r="E144">
        <f t="shared" si="21"/>
        <v>0.30029999999999935</v>
      </c>
      <c r="J144">
        <f t="shared" si="22"/>
        <v>0.98716611923577036</v>
      </c>
      <c r="K144">
        <f t="shared" si="23"/>
        <v>0.12081325285518717</v>
      </c>
    </row>
    <row r="145" spans="1:11" x14ac:dyDescent="0.2">
      <c r="A145">
        <v>144</v>
      </c>
      <c r="B145">
        <f t="shared" si="18"/>
        <v>0.99938027479245284</v>
      </c>
      <c r="C145">
        <f t="shared" si="19"/>
        <v>0.30263808165083428</v>
      </c>
      <c r="D145">
        <f t="shared" si="20"/>
        <v>0.40320000000000111</v>
      </c>
      <c r="E145">
        <f t="shared" si="21"/>
        <v>0.30239999999999934</v>
      </c>
      <c r="J145">
        <f t="shared" si="22"/>
        <v>0.98755113565869723</v>
      </c>
      <c r="K145">
        <f t="shared" si="23"/>
        <v>0.12160452092761749</v>
      </c>
    </row>
    <row r="146" spans="1:11" x14ac:dyDescent="0.2">
      <c r="A146">
        <v>145</v>
      </c>
      <c r="B146">
        <f t="shared" si="18"/>
        <v>0.99941126105283007</v>
      </c>
      <c r="C146">
        <f t="shared" si="19"/>
        <v>0.30438148644670721</v>
      </c>
      <c r="D146">
        <f t="shared" si="20"/>
        <v>0.40600000000000114</v>
      </c>
      <c r="E146">
        <f t="shared" si="21"/>
        <v>0.30449999999999933</v>
      </c>
      <c r="J146">
        <f t="shared" si="22"/>
        <v>0.98792460158893636</v>
      </c>
      <c r="K146">
        <f t="shared" si="23"/>
        <v>0.12239507685878263</v>
      </c>
    </row>
    <row r="147" spans="1:11" x14ac:dyDescent="0.2">
      <c r="A147">
        <v>146</v>
      </c>
      <c r="B147">
        <f t="shared" si="18"/>
        <v>0.99944069800018864</v>
      </c>
      <c r="C147">
        <f t="shared" si="19"/>
        <v>0.30612053273059042</v>
      </c>
      <c r="D147">
        <f t="shared" si="20"/>
        <v>0.40880000000000116</v>
      </c>
      <c r="E147">
        <f t="shared" si="21"/>
        <v>0.30659999999999932</v>
      </c>
      <c r="J147">
        <f t="shared" si="22"/>
        <v>0.98828686354126816</v>
      </c>
      <c r="K147">
        <f t="shared" si="23"/>
        <v>0.12318492128960973</v>
      </c>
    </row>
    <row r="148" spans="1:11" x14ac:dyDescent="0.2">
      <c r="A148">
        <v>147</v>
      </c>
      <c r="B148">
        <f t="shared" si="18"/>
        <v>0.99946866310017923</v>
      </c>
      <c r="C148">
        <f t="shared" si="19"/>
        <v>0.30785523139876397</v>
      </c>
      <c r="D148">
        <f t="shared" si="20"/>
        <v>0.41160000000000119</v>
      </c>
      <c r="E148">
        <f t="shared" si="21"/>
        <v>0.30869999999999931</v>
      </c>
      <c r="J148">
        <f t="shared" si="22"/>
        <v>0.98863825763502999</v>
      </c>
      <c r="K148">
        <f t="shared" si="23"/>
        <v>0.12397405486044907</v>
      </c>
    </row>
    <row r="149" spans="1:11" x14ac:dyDescent="0.2">
      <c r="A149">
        <v>148</v>
      </c>
      <c r="B149">
        <f t="shared" si="18"/>
        <v>0.99949522994517026</v>
      </c>
      <c r="C149">
        <f t="shared" si="19"/>
        <v>0.30958559332026708</v>
      </c>
      <c r="D149">
        <f t="shared" si="20"/>
        <v>0.41440000000000121</v>
      </c>
      <c r="E149">
        <f t="shared" si="21"/>
        <v>0.3107999999999993</v>
      </c>
      <c r="J149">
        <f t="shared" si="22"/>
        <v>0.98897910990597904</v>
      </c>
      <c r="K149">
        <f t="shared" si="23"/>
        <v>0.12476247821107467</v>
      </c>
    </row>
    <row r="150" spans="1:11" x14ac:dyDescent="0.2">
      <c r="A150">
        <v>149</v>
      </c>
      <c r="B150">
        <f t="shared" si="18"/>
        <v>0.99952046844791176</v>
      </c>
      <c r="C150">
        <f t="shared" si="19"/>
        <v>0.31131162933696643</v>
      </c>
      <c r="D150">
        <f t="shared" si="20"/>
        <v>0.41720000000000124</v>
      </c>
      <c r="E150">
        <f t="shared" si="21"/>
        <v>0.31289999999999929</v>
      </c>
      <c r="J150">
        <f t="shared" si="22"/>
        <v>0.98930973660879973</v>
      </c>
      <c r="K150">
        <f t="shared" si="23"/>
        <v>0.12555019198068471</v>
      </c>
    </row>
    <row r="151" spans="1:11" x14ac:dyDescent="0.2">
      <c r="A151">
        <v>150</v>
      </c>
      <c r="B151">
        <f t="shared" si="18"/>
        <v>0.9995444450255162</v>
      </c>
      <c r="C151">
        <f t="shared" si="19"/>
        <v>0.313033350263624</v>
      </c>
      <c r="D151">
        <f t="shared" si="20"/>
        <v>0.42000000000000126</v>
      </c>
      <c r="E151">
        <f t="shared" si="21"/>
        <v>0.31499999999999928</v>
      </c>
      <c r="J151">
        <f t="shared" si="22"/>
        <v>0.98963044451053572</v>
      </c>
      <c r="K151">
        <f t="shared" si="23"/>
        <v>0.12633719680790209</v>
      </c>
    </row>
    <row r="152" spans="1:11" x14ac:dyDescent="0.2">
      <c r="A152">
        <v>151</v>
      </c>
      <c r="B152">
        <f t="shared" si="18"/>
        <v>0.99956722277424048</v>
      </c>
      <c r="C152">
        <f t="shared" si="19"/>
        <v>0.31475076688796494</v>
      </c>
      <c r="D152">
        <f t="shared" si="20"/>
        <v>0.42280000000000129</v>
      </c>
      <c r="E152">
        <f t="shared" si="21"/>
        <v>0.31709999999999927</v>
      </c>
      <c r="J152">
        <f t="shared" si="22"/>
        <v>0.98994153117521966</v>
      </c>
      <c r="K152">
        <f t="shared" si="23"/>
        <v>0.12712349333077499</v>
      </c>
    </row>
    <row r="153" spans="1:11" x14ac:dyDescent="0.2">
      <c r="A153">
        <v>152</v>
      </c>
      <c r="B153">
        <f t="shared" si="18"/>
        <v>0.99958886163552851</v>
      </c>
      <c r="C153">
        <f t="shared" si="19"/>
        <v>0.31646388997074504</v>
      </c>
      <c r="D153">
        <f t="shared" si="20"/>
        <v>0.42560000000000131</v>
      </c>
      <c r="E153">
        <f t="shared" si="21"/>
        <v>0.31919999999999926</v>
      </c>
      <c r="J153">
        <f t="shared" si="22"/>
        <v>0.99024328523996297</v>
      </c>
      <c r="K153">
        <f t="shared" si="23"/>
        <v>0.1279090821867773</v>
      </c>
    </row>
    <row r="154" spans="1:11" x14ac:dyDescent="0.2">
      <c r="A154">
        <v>153</v>
      </c>
      <c r="B154">
        <f t="shared" si="18"/>
        <v>0.99960941855375207</v>
      </c>
      <c r="C154">
        <f t="shared" si="19"/>
        <v>0.31817273024581816</v>
      </c>
      <c r="D154">
        <f t="shared" si="20"/>
        <v>0.42840000000000134</v>
      </c>
      <c r="E154">
        <f t="shared" si="21"/>
        <v>0.32129999999999925</v>
      </c>
      <c r="J154">
        <f t="shared" si="22"/>
        <v>0.9905359866827641</v>
      </c>
      <c r="K154">
        <f t="shared" si="23"/>
        <v>0.12869396401280922</v>
      </c>
    </row>
    <row r="155" spans="1:11" x14ac:dyDescent="0.2">
      <c r="A155">
        <v>154</v>
      </c>
      <c r="B155">
        <f t="shared" si="18"/>
        <v>0.99962894762606447</v>
      </c>
      <c r="C155">
        <f t="shared" si="19"/>
        <v>0.31987729842020363</v>
      </c>
      <c r="D155">
        <f t="shared" si="20"/>
        <v>0.43120000000000136</v>
      </c>
      <c r="E155">
        <f t="shared" si="21"/>
        <v>0.32339999999999924</v>
      </c>
      <c r="J155">
        <f t="shared" si="22"/>
        <v>0.99081990708228118</v>
      </c>
      <c r="K155">
        <f t="shared" si="23"/>
        <v>0.1294781394451977</v>
      </c>
    </row>
    <row r="156" spans="1:11" x14ac:dyDescent="0.2">
      <c r="A156">
        <v>155</v>
      </c>
      <c r="B156">
        <f t="shared" si="18"/>
        <v>0.99964750024476134</v>
      </c>
      <c r="C156">
        <f t="shared" si="19"/>
        <v>0.32157760517415312</v>
      </c>
      <c r="D156">
        <f t="shared" si="20"/>
        <v>0.43400000000000138</v>
      </c>
      <c r="E156">
        <f t="shared" si="21"/>
        <v>0.32549999999999923</v>
      </c>
      <c r="J156">
        <f t="shared" si="22"/>
        <v>0.99109530986981276</v>
      </c>
      <c r="K156">
        <f t="shared" si="23"/>
        <v>0.13026160911969703</v>
      </c>
    </row>
    <row r="157" spans="1:11" x14ac:dyDescent="0.2">
      <c r="A157">
        <v>156</v>
      </c>
      <c r="B157">
        <f t="shared" si="18"/>
        <v>0.99966512523252327</v>
      </c>
      <c r="C157">
        <f t="shared" si="19"/>
        <v>0.32327366116121775</v>
      </c>
      <c r="D157">
        <f t="shared" si="20"/>
        <v>0.43680000000000141</v>
      </c>
      <c r="E157">
        <f t="shared" si="21"/>
        <v>0.32759999999999923</v>
      </c>
      <c r="J157">
        <f t="shared" si="22"/>
        <v>0.99136245057371841</v>
      </c>
      <c r="K157">
        <f t="shared" si="23"/>
        <v>0.13104437367148933</v>
      </c>
    </row>
    <row r="158" spans="1:11" x14ac:dyDescent="0.2">
      <c r="A158">
        <v>157</v>
      </c>
      <c r="B158">
        <f t="shared" si="18"/>
        <v>0.99968186897089717</v>
      </c>
      <c r="C158">
        <f t="shared" si="19"/>
        <v>0.32496547700831468</v>
      </c>
      <c r="D158">
        <f t="shared" si="20"/>
        <v>0.43960000000000143</v>
      </c>
      <c r="E158">
        <f t="shared" si="21"/>
        <v>0.32969999999999922</v>
      </c>
      <c r="J158">
        <f t="shared" si="22"/>
        <v>0.99162157705650689</v>
      </c>
      <c r="K158">
        <f t="shared" si="23"/>
        <v>0.13182643373518499</v>
      </c>
    </row>
    <row r="159" spans="1:11" x14ac:dyDescent="0.2">
      <c r="A159">
        <v>158</v>
      </c>
      <c r="B159">
        <f t="shared" si="18"/>
        <v>0.99969777552235228</v>
      </c>
      <c r="C159">
        <f t="shared" si="19"/>
        <v>0.32665306331579391</v>
      </c>
      <c r="D159">
        <f t="shared" si="20"/>
        <v>0.44240000000000146</v>
      </c>
      <c r="E159">
        <f t="shared" si="21"/>
        <v>0.33179999999999921</v>
      </c>
      <c r="J159">
        <f t="shared" si="22"/>
        <v>0.99187292974481167</v>
      </c>
      <c r="K159">
        <f t="shared" si="23"/>
        <v>0.13260778994482333</v>
      </c>
    </row>
    <row r="160" spans="1:11" x14ac:dyDescent="0.2">
      <c r="A160">
        <v>159</v>
      </c>
      <c r="B160">
        <f t="shared" si="18"/>
        <v>0.9997128867462346</v>
      </c>
      <c r="C160">
        <f t="shared" si="19"/>
        <v>0.32833643065750445</v>
      </c>
      <c r="D160">
        <f t="shared" si="20"/>
        <v>0.44520000000000148</v>
      </c>
      <c r="E160">
        <f t="shared" si="21"/>
        <v>0.3338999999999992</v>
      </c>
      <c r="J160">
        <f t="shared" si="22"/>
        <v>0.99211674185246734</v>
      </c>
      <c r="K160">
        <f t="shared" si="23"/>
        <v>0.133388442933873</v>
      </c>
    </row>
    <row r="161" spans="1:11" x14ac:dyDescent="0.2">
      <c r="A161">
        <v>160</v>
      </c>
      <c r="B161">
        <f t="shared" si="18"/>
        <v>0.99972724240892297</v>
      </c>
      <c r="C161">
        <f t="shared" si="19"/>
        <v>0.33001558958086069</v>
      </c>
      <c r="D161">
        <f t="shared" si="20"/>
        <v>0.44800000000000151</v>
      </c>
      <c r="E161">
        <f t="shared" si="21"/>
        <v>0.33599999999999919</v>
      </c>
      <c r="J161">
        <f t="shared" si="22"/>
        <v>0.99235323959689326</v>
      </c>
      <c r="K161">
        <f t="shared" si="23"/>
        <v>0.13416839333523253</v>
      </c>
    </row>
    <row r="162" spans="1:11" x14ac:dyDescent="0.2">
      <c r="A162">
        <v>161</v>
      </c>
      <c r="B162">
        <f t="shared" si="18"/>
        <v>0.99974088028847685</v>
      </c>
      <c r="C162">
        <f t="shared" si="19"/>
        <v>0.33169055060690855</v>
      </c>
      <c r="D162">
        <f t="shared" si="20"/>
        <v>0.45080000000000153</v>
      </c>
      <c r="E162">
        <f t="shared" si="21"/>
        <v>0.33809999999999918</v>
      </c>
      <c r="J162">
        <f t="shared" si="22"/>
        <v>0.99258264240898653</v>
      </c>
      <c r="K162">
        <f t="shared" si="23"/>
        <v>0.13494764178123084</v>
      </c>
    </row>
    <row r="163" spans="1:11" x14ac:dyDescent="0.2">
      <c r="A163">
        <v>162</v>
      </c>
      <c r="B163">
        <f t="shared" si="18"/>
        <v>0.99975383627405301</v>
      </c>
      <c r="C163">
        <f t="shared" si="19"/>
        <v>0.33336132423039128</v>
      </c>
      <c r="D163">
        <f t="shared" si="20"/>
        <v>0.45360000000000156</v>
      </c>
      <c r="E163">
        <f t="shared" si="21"/>
        <v>0.34019999999999917</v>
      </c>
      <c r="J163">
        <f t="shared" si="22"/>
        <v>0.99280516313671696</v>
      </c>
      <c r="K163">
        <f t="shared" si="23"/>
        <v>0.13572618890362775</v>
      </c>
    </row>
    <row r="164" spans="1:11" x14ac:dyDescent="0.2">
      <c r="A164">
        <v>163</v>
      </c>
      <c r="B164">
        <f t="shared" si="18"/>
        <v>0.99976614446035039</v>
      </c>
      <c r="C164">
        <f t="shared" si="19"/>
        <v>0.33502792091981531</v>
      </c>
      <c r="D164">
        <f t="shared" si="20"/>
        <v>0.45640000000000158</v>
      </c>
      <c r="E164">
        <f t="shared" si="21"/>
        <v>0.34229999999999916</v>
      </c>
      <c r="J164">
        <f t="shared" si="22"/>
        <v>0.99302100824261552</v>
      </c>
      <c r="K164">
        <f t="shared" si="23"/>
        <v>0.13650403533361449</v>
      </c>
    </row>
    <row r="165" spans="1:11" x14ac:dyDescent="0.2">
      <c r="A165">
        <v>164</v>
      </c>
      <c r="B165">
        <f t="shared" si="18"/>
        <v>0.99977783723733282</v>
      </c>
      <c r="C165">
        <f t="shared" si="19"/>
        <v>0.33669035111751577</v>
      </c>
      <c r="D165">
        <f t="shared" si="20"/>
        <v>0.45920000000000161</v>
      </c>
      <c r="E165">
        <f t="shared" si="21"/>
        <v>0.34439999999999915</v>
      </c>
      <c r="J165">
        <f t="shared" si="22"/>
        <v>0.99323037799533698</v>
      </c>
      <c r="K165">
        <f t="shared" si="23"/>
        <v>0.13728118170181425</v>
      </c>
    </row>
    <row r="166" spans="1:11" x14ac:dyDescent="0.2">
      <c r="A166">
        <v>165</v>
      </c>
      <c r="B166">
        <f t="shared" ref="B166:B229" si="24">B165+B$2-B165*B$2</f>
        <v>0.99978894537546614</v>
      </c>
      <c r="C166">
        <f t="shared" si="19"/>
        <v>0.33834862523972198</v>
      </c>
      <c r="D166">
        <f t="shared" si="20"/>
        <v>0.46200000000000163</v>
      </c>
      <c r="E166">
        <f t="shared" si="21"/>
        <v>0.34649999999999914</v>
      </c>
      <c r="J166">
        <f t="shared" si="22"/>
        <v>0.99343346665547683</v>
      </c>
      <c r="K166">
        <f t="shared" si="23"/>
        <v>0.13805762863828264</v>
      </c>
    </row>
    <row r="167" spans="1:11" x14ac:dyDescent="0.2">
      <c r="A167">
        <v>166</v>
      </c>
      <c r="B167">
        <f t="shared" si="24"/>
        <v>0.99979949810669277</v>
      </c>
      <c r="C167">
        <f t="shared" si="19"/>
        <v>0.34000275367662269</v>
      </c>
      <c r="D167">
        <f t="shared" si="20"/>
        <v>0.46480000000000166</v>
      </c>
      <c r="E167">
        <f t="shared" si="21"/>
        <v>0.34859999999999913</v>
      </c>
      <c r="J167">
        <f t="shared" si="22"/>
        <v>0.99363046265581245</v>
      </c>
      <c r="K167">
        <f t="shared" si="23"/>
        <v>0.1388333767725082</v>
      </c>
    </row>
    <row r="168" spans="1:11" x14ac:dyDescent="0.2">
      <c r="A168">
        <v>167</v>
      </c>
      <c r="B168">
        <f t="shared" si="24"/>
        <v>0.99980952320135807</v>
      </c>
      <c r="C168">
        <f t="shared" si="19"/>
        <v>0.34165274679243113</v>
      </c>
      <c r="D168">
        <f t="shared" si="20"/>
        <v>0.46760000000000168</v>
      </c>
      <c r="E168">
        <f t="shared" si="21"/>
        <v>0.35069999999999912</v>
      </c>
      <c r="J168">
        <f t="shared" si="22"/>
        <v>0.99382154877613804</v>
      </c>
      <c r="K168">
        <f t="shared" si="23"/>
        <v>0.13960842673341295</v>
      </c>
    </row>
    <row r="169" spans="1:11" x14ac:dyDescent="0.2">
      <c r="A169">
        <v>168</v>
      </c>
      <c r="B169">
        <f t="shared" si="24"/>
        <v>0.9998190470412901</v>
      </c>
      <c r="C169">
        <f t="shared" si="19"/>
        <v>0.34329861492545005</v>
      </c>
      <c r="D169">
        <f t="shared" si="20"/>
        <v>0.47040000000000171</v>
      </c>
      <c r="E169">
        <f t="shared" si="21"/>
        <v>0.35279999999999911</v>
      </c>
      <c r="J169">
        <f t="shared" si="22"/>
        <v>0.99400690231285382</v>
      </c>
      <c r="K169">
        <f t="shared" si="23"/>
        <v>0.14038277914935288</v>
      </c>
    </row>
    <row r="170" spans="1:11" x14ac:dyDescent="0.2">
      <c r="A170">
        <v>169</v>
      </c>
      <c r="B170">
        <f t="shared" si="24"/>
        <v>0.99982809468922551</v>
      </c>
      <c r="C170">
        <f t="shared" si="19"/>
        <v>0.34494036838813641</v>
      </c>
      <c r="D170">
        <f t="shared" si="20"/>
        <v>0.47320000000000173</v>
      </c>
      <c r="E170">
        <f t="shared" si="21"/>
        <v>0.35489999999999911</v>
      </c>
      <c r="J170">
        <f t="shared" si="22"/>
        <v>0.99418669524346814</v>
      </c>
      <c r="K170">
        <f t="shared" si="23"/>
        <v>0.14115643464811847</v>
      </c>
    </row>
    <row r="171" spans="1:11" x14ac:dyDescent="0.2">
      <c r="A171">
        <v>170</v>
      </c>
      <c r="B171">
        <f t="shared" si="24"/>
        <v>0.99983668995476427</v>
      </c>
      <c r="C171">
        <f t="shared" si="19"/>
        <v>0.34657801746716604</v>
      </c>
      <c r="D171">
        <f t="shared" si="20"/>
        <v>0.47600000000000176</v>
      </c>
      <c r="E171">
        <f t="shared" si="21"/>
        <v>0.3569999999999991</v>
      </c>
      <c r="J171">
        <f t="shared" si="22"/>
        <v>0.99436109438616416</v>
      </c>
      <c r="K171">
        <f t="shared" si="23"/>
        <v>0.14192939385693518</v>
      </c>
    </row>
    <row r="172" spans="1:11" x14ac:dyDescent="0.2">
      <c r="A172">
        <v>171</v>
      </c>
      <c r="B172">
        <f t="shared" si="24"/>
        <v>0.99984485545702595</v>
      </c>
      <c r="C172">
        <f t="shared" si="19"/>
        <v>0.34821157242349815</v>
      </c>
      <c r="D172">
        <f t="shared" si="20"/>
        <v>0.47880000000000178</v>
      </c>
      <c r="E172">
        <f t="shared" si="21"/>
        <v>0.35909999999999909</v>
      </c>
      <c r="J172">
        <f t="shared" si="22"/>
        <v>0.99453026155457913</v>
      </c>
      <c r="K172">
        <f t="shared" si="23"/>
        <v>0.14270165740246396</v>
      </c>
    </row>
    <row r="173" spans="1:11" x14ac:dyDescent="0.2">
      <c r="A173">
        <v>172</v>
      </c>
      <c r="B173">
        <f t="shared" si="24"/>
        <v>0.99985261268417458</v>
      </c>
      <c r="C173">
        <f t="shared" si="19"/>
        <v>0.34984104349243939</v>
      </c>
      <c r="D173">
        <f t="shared" si="20"/>
        <v>0.4816000000000018</v>
      </c>
      <c r="E173">
        <f t="shared" si="21"/>
        <v>0.36119999999999908</v>
      </c>
      <c r="J173">
        <f t="shared" si="22"/>
        <v>0.99469435370794168</v>
      </c>
      <c r="K173">
        <f t="shared" si="23"/>
        <v>0.14347322591080175</v>
      </c>
    </row>
    <row r="174" spans="1:11" x14ac:dyDescent="0.2">
      <c r="A174">
        <v>173</v>
      </c>
      <c r="B174">
        <f t="shared" si="24"/>
        <v>0.99985998204996573</v>
      </c>
      <c r="C174">
        <f t="shared" si="19"/>
        <v>0.35146644088370826</v>
      </c>
      <c r="D174">
        <f t="shared" si="20"/>
        <v>0.48440000000000183</v>
      </c>
      <c r="E174">
        <f t="shared" si="21"/>
        <v>0.36329999999999907</v>
      </c>
      <c r="J174">
        <f t="shared" si="22"/>
        <v>0.99485352309670338</v>
      </c>
      <c r="K174">
        <f t="shared" si="23"/>
        <v>0.14424410000748203</v>
      </c>
    </row>
    <row r="175" spans="1:11" x14ac:dyDescent="0.2">
      <c r="A175">
        <v>174</v>
      </c>
      <c r="B175">
        <f t="shared" si="24"/>
        <v>0.99986698294746734</v>
      </c>
      <c r="C175">
        <f t="shared" si="19"/>
        <v>0.353087774781499</v>
      </c>
      <c r="D175">
        <f t="shared" si="20"/>
        <v>0.48720000000000185</v>
      </c>
      <c r="E175">
        <f t="shared" si="21"/>
        <v>0.36539999999999906</v>
      </c>
      <c r="J175">
        <f t="shared" si="22"/>
        <v>0.99500791740380223</v>
      </c>
      <c r="K175">
        <f t="shared" si="23"/>
        <v>0.14501428031747532</v>
      </c>
    </row>
    <row r="176" spans="1:11" x14ac:dyDescent="0.2">
      <c r="A176">
        <v>175</v>
      </c>
      <c r="B176">
        <f t="shared" si="24"/>
        <v>0.99987363380009397</v>
      </c>
      <c r="C176">
        <f t="shared" si="19"/>
        <v>0.35470505534454527</v>
      </c>
      <c r="D176">
        <f t="shared" si="20"/>
        <v>0.49000000000000188</v>
      </c>
      <c r="E176">
        <f t="shared" si="21"/>
        <v>0.36749999999999905</v>
      </c>
      <c r="J176">
        <f t="shared" si="22"/>
        <v>0.99515767988168824</v>
      </c>
      <c r="K176">
        <f t="shared" si="23"/>
        <v>0.14578376746518959</v>
      </c>
    </row>
    <row r="177" spans="1:11" x14ac:dyDescent="0.2">
      <c r="A177">
        <v>176</v>
      </c>
      <c r="B177">
        <f t="shared" si="24"/>
        <v>0.99987995211008929</v>
      </c>
      <c r="C177">
        <f t="shared" si="19"/>
        <v>0.35631829270618393</v>
      </c>
      <c r="D177">
        <f t="shared" si="20"/>
        <v>0.4928000000000019</v>
      </c>
      <c r="E177">
        <f t="shared" si="21"/>
        <v>0.36959999999999904</v>
      </c>
      <c r="J177">
        <f t="shared" si="22"/>
        <v>0.99530294948523745</v>
      </c>
      <c r="K177">
        <f t="shared" si="23"/>
        <v>0.14655256207447093</v>
      </c>
    </row>
    <row r="178" spans="1:11" x14ac:dyDescent="0.2">
      <c r="A178">
        <v>177</v>
      </c>
      <c r="B178">
        <f t="shared" si="24"/>
        <v>0.99988595450458473</v>
      </c>
      <c r="C178">
        <f t="shared" si="19"/>
        <v>0.35792749697441845</v>
      </c>
      <c r="D178">
        <f t="shared" si="20"/>
        <v>0.49560000000000193</v>
      </c>
      <c r="E178">
        <f t="shared" si="21"/>
        <v>0.37169999999999903</v>
      </c>
      <c r="J178">
        <f t="shared" si="22"/>
        <v>0.99544386100068039</v>
      </c>
      <c r="K178">
        <f t="shared" si="23"/>
        <v>0.14732066476860392</v>
      </c>
    </row>
    <row r="179" spans="1:11" x14ac:dyDescent="0.2">
      <c r="A179">
        <v>178</v>
      </c>
      <c r="B179">
        <f t="shared" si="24"/>
        <v>0.99989165677935543</v>
      </c>
      <c r="C179">
        <f t="shared" si="19"/>
        <v>0.35953267823198243</v>
      </c>
      <c r="D179">
        <f t="shared" si="20"/>
        <v>0.49840000000000195</v>
      </c>
      <c r="E179">
        <f t="shared" si="21"/>
        <v>0.37379999999999902</v>
      </c>
      <c r="J179">
        <f t="shared" si="22"/>
        <v>0.99558054517065997</v>
      </c>
      <c r="K179">
        <f t="shared" si="23"/>
        <v>0.14808807617031219</v>
      </c>
    </row>
    <row r="180" spans="1:11" x14ac:dyDescent="0.2">
      <c r="A180">
        <v>179</v>
      </c>
      <c r="B180">
        <f t="shared" si="24"/>
        <v>0.99989707394038774</v>
      </c>
      <c r="C180">
        <f t="shared" si="19"/>
        <v>0.36113384653640246</v>
      </c>
      <c r="D180">
        <f t="shared" si="20"/>
        <v>0.50120000000000198</v>
      </c>
      <c r="E180">
        <f t="shared" si="21"/>
        <v>0.37589999999999901</v>
      </c>
      <c r="J180">
        <f t="shared" si="22"/>
        <v>0.99571312881554008</v>
      </c>
      <c r="K180">
        <f t="shared" si="23"/>
        <v>0.14885479690175893</v>
      </c>
    </row>
    <row r="181" spans="1:11" x14ac:dyDescent="0.2">
      <c r="A181">
        <v>180</v>
      </c>
      <c r="B181">
        <f t="shared" si="24"/>
        <v>0.99990222024336828</v>
      </c>
      <c r="C181">
        <f t="shared" si="19"/>
        <v>0.36273101192006146</v>
      </c>
      <c r="D181">
        <f t="shared" si="20"/>
        <v>0.504000000000002</v>
      </c>
      <c r="E181">
        <f t="shared" si="21"/>
        <v>0.377999999999999</v>
      </c>
      <c r="J181">
        <f t="shared" si="22"/>
        <v>0.99584173495107386</v>
      </c>
      <c r="K181">
        <f t="shared" si="23"/>
        <v>0.14962082758454737</v>
      </c>
    </row>
    <row r="182" spans="1:11" x14ac:dyDescent="0.2">
      <c r="A182">
        <v>181</v>
      </c>
      <c r="B182">
        <f t="shared" si="24"/>
        <v>0.99990710923119996</v>
      </c>
      <c r="C182">
        <f t="shared" si="19"/>
        <v>0.36432418439026132</v>
      </c>
      <c r="D182">
        <f t="shared" si="20"/>
        <v>0.50680000000000203</v>
      </c>
      <c r="E182">
        <f t="shared" si="21"/>
        <v>0.38009999999999899</v>
      </c>
      <c r="J182">
        <f t="shared" si="22"/>
        <v>0.99596648290254153</v>
      </c>
      <c r="K182">
        <f t="shared" si="23"/>
        <v>0.15038616883972128</v>
      </c>
    </row>
    <row r="183" spans="1:11" x14ac:dyDescent="0.2">
      <c r="A183">
        <v>182</v>
      </c>
      <c r="B183">
        <f t="shared" si="24"/>
        <v>0.99991175376964003</v>
      </c>
      <c r="C183">
        <f t="shared" si="19"/>
        <v>0.36591337392928569</v>
      </c>
      <c r="D183">
        <f t="shared" si="20"/>
        <v>0.50960000000000205</v>
      </c>
      <c r="E183">
        <f t="shared" si="21"/>
        <v>0.38219999999999898</v>
      </c>
      <c r="J183">
        <f t="shared" si="22"/>
        <v>0.99608748841546524</v>
      </c>
      <c r="K183">
        <f t="shared" si="23"/>
        <v>0.15115082128776555</v>
      </c>
    </row>
    <row r="184" spans="1:11" x14ac:dyDescent="0.2">
      <c r="A184">
        <v>183</v>
      </c>
      <c r="B184">
        <f t="shared" si="24"/>
        <v>0.99991616608115808</v>
      </c>
      <c r="C184">
        <f t="shared" si="19"/>
        <v>0.36749859049446248</v>
      </c>
      <c r="D184">
        <f t="shared" si="20"/>
        <v>0.51240000000000208</v>
      </c>
      <c r="E184">
        <f t="shared" si="21"/>
        <v>0.38429999999999898</v>
      </c>
      <c r="J184">
        <f t="shared" si="22"/>
        <v>0.99620486376300121</v>
      </c>
      <c r="K184">
        <f t="shared" si="23"/>
        <v>0.15191478554860657</v>
      </c>
    </row>
    <row r="185" spans="1:11" x14ac:dyDescent="0.2">
      <c r="A185">
        <v>184</v>
      </c>
      <c r="B185">
        <f t="shared" si="24"/>
        <v>0.99992035777710009</v>
      </c>
      <c r="C185">
        <f t="shared" si="19"/>
        <v>0.36907984401822636</v>
      </c>
      <c r="D185">
        <f t="shared" si="20"/>
        <v>0.5152000000000021</v>
      </c>
      <c r="E185">
        <f t="shared" si="21"/>
        <v>0.38639999999999897</v>
      </c>
      <c r="J185">
        <f t="shared" si="22"/>
        <v>0.99631871785011117</v>
      </c>
      <c r="K185">
        <f t="shared" si="23"/>
        <v>0.15267806224161284</v>
      </c>
    </row>
    <row r="186" spans="1:11" x14ac:dyDescent="0.2">
      <c r="A186">
        <v>185</v>
      </c>
      <c r="B186">
        <f t="shared" si="24"/>
        <v>0.99992433988824514</v>
      </c>
      <c r="C186">
        <f t="shared" si="19"/>
        <v>0.37065714440818082</v>
      </c>
      <c r="D186">
        <f t="shared" si="20"/>
        <v>0.51800000000000213</v>
      </c>
      <c r="E186">
        <f t="shared" si="21"/>
        <v>0.38849999999999896</v>
      </c>
      <c r="J186">
        <f t="shared" si="22"/>
        <v>0.99642915631460782</v>
      </c>
      <c r="K186">
        <f t="shared" si="23"/>
        <v>0.15344065198559539</v>
      </c>
    </row>
    <row r="187" spans="1:11" x14ac:dyDescent="0.2">
      <c r="A187">
        <v>186</v>
      </c>
      <c r="B187">
        <f t="shared" si="24"/>
        <v>0.99992812289383293</v>
      </c>
      <c r="C187">
        <f t="shared" si="19"/>
        <v>0.37223050154716036</v>
      </c>
      <c r="D187">
        <f t="shared" si="20"/>
        <v>0.52080000000000215</v>
      </c>
      <c r="E187">
        <f t="shared" si="21"/>
        <v>0.39059999999999895</v>
      </c>
      <c r="J187">
        <f t="shared" si="22"/>
        <v>0.9965362816251695</v>
      </c>
      <c r="K187">
        <f t="shared" si="23"/>
        <v>0.15420255539880837</v>
      </c>
    </row>
    <row r="188" spans="1:11" x14ac:dyDescent="0.2">
      <c r="A188">
        <v>187</v>
      </c>
      <c r="B188">
        <f t="shared" si="24"/>
        <v>0.99993171674914116</v>
      </c>
      <c r="C188">
        <f t="shared" si="19"/>
        <v>0.37379992529329248</v>
      </c>
      <c r="D188">
        <f t="shared" si="20"/>
        <v>0.52360000000000217</v>
      </c>
      <c r="E188">
        <f t="shared" si="21"/>
        <v>0.39269999999999894</v>
      </c>
      <c r="J188">
        <f t="shared" si="22"/>
        <v>0.99664019317641439</v>
      </c>
      <c r="K188">
        <f t="shared" si="23"/>
        <v>0.15496377309894946</v>
      </c>
    </row>
    <row r="189" spans="1:11" x14ac:dyDescent="0.2">
      <c r="A189">
        <v>188</v>
      </c>
      <c r="B189">
        <f t="shared" si="24"/>
        <v>0.99993513091168407</v>
      </c>
      <c r="C189">
        <f t="shared" si="19"/>
        <v>0.37536542548005924</v>
      </c>
      <c r="D189">
        <f t="shared" si="20"/>
        <v>0.5264000000000022</v>
      </c>
      <c r="E189">
        <f t="shared" si="21"/>
        <v>0.39479999999999893</v>
      </c>
      <c r="J189">
        <f t="shared" si="22"/>
        <v>0.99674098738112193</v>
      </c>
      <c r="K189">
        <f t="shared" si="23"/>
        <v>0.15572430570316043</v>
      </c>
    </row>
    <row r="190" spans="1:11" x14ac:dyDescent="0.2">
      <c r="A190">
        <v>189</v>
      </c>
      <c r="B190">
        <f t="shared" si="24"/>
        <v>0.99993837436609978</v>
      </c>
      <c r="C190">
        <f t="shared" si="19"/>
        <v>0.37692701191635908</v>
      </c>
      <c r="D190">
        <f t="shared" si="20"/>
        <v>0.52920000000000222</v>
      </c>
      <c r="E190">
        <f t="shared" si="21"/>
        <v>0.39689999999999892</v>
      </c>
      <c r="J190">
        <f t="shared" si="22"/>
        <v>0.99683875775968833</v>
      </c>
      <c r="K190">
        <f t="shared" si="23"/>
        <v>0.15648415382802761</v>
      </c>
    </row>
    <row r="191" spans="1:11" x14ac:dyDescent="0.2">
      <c r="A191">
        <v>190</v>
      </c>
      <c r="B191">
        <f t="shared" si="24"/>
        <v>0.99994145564779469</v>
      </c>
      <c r="C191">
        <f t="shared" si="19"/>
        <v>0.37848469438656818</v>
      </c>
      <c r="D191">
        <f t="shared" si="20"/>
        <v>0.53200000000000225</v>
      </c>
      <c r="E191">
        <f t="shared" si="21"/>
        <v>0.39899999999999891</v>
      </c>
      <c r="J191">
        <f t="shared" si="22"/>
        <v>0.9969335950268976</v>
      </c>
      <c r="K191">
        <f t="shared" si="23"/>
        <v>0.15724331808958239</v>
      </c>
    </row>
    <row r="192" spans="1:11" x14ac:dyDescent="0.2">
      <c r="A192">
        <v>191</v>
      </c>
      <c r="B192">
        <f t="shared" si="24"/>
        <v>0.99994438286540488</v>
      </c>
      <c r="C192">
        <f t="shared" si="19"/>
        <v>0.38003848265060175</v>
      </c>
      <c r="D192">
        <f t="shared" si="20"/>
        <v>0.53480000000000227</v>
      </c>
      <c r="E192">
        <f t="shared" si="21"/>
        <v>0.4010999999999989</v>
      </c>
      <c r="J192">
        <f t="shared" si="22"/>
        <v>0.99702558717609069</v>
      </c>
      <c r="K192">
        <f t="shared" si="23"/>
        <v>0.15800179910330178</v>
      </c>
    </row>
    <row r="193" spans="1:11" x14ac:dyDescent="0.2">
      <c r="A193">
        <v>192</v>
      </c>
      <c r="B193">
        <f t="shared" si="24"/>
        <v>0.99994716372213466</v>
      </c>
      <c r="C193">
        <f t="shared" si="19"/>
        <v>0.38158838644397525</v>
      </c>
      <c r="D193">
        <f t="shared" si="20"/>
        <v>0.5376000000000023</v>
      </c>
      <c r="E193">
        <f t="shared" si="21"/>
        <v>0.40319999999999889</v>
      </c>
      <c r="J193">
        <f t="shared" si="22"/>
        <v>0.99711481956080794</v>
      </c>
      <c r="K193">
        <f t="shared" si="23"/>
        <v>0.15875959748410881</v>
      </c>
    </row>
    <row r="194" spans="1:11" x14ac:dyDescent="0.2">
      <c r="A194">
        <v>193</v>
      </c>
      <c r="B194">
        <f t="shared" si="24"/>
        <v>0.99994980553602797</v>
      </c>
      <c r="C194">
        <f t="shared" si="19"/>
        <v>0.38313441547786531</v>
      </c>
      <c r="D194">
        <f t="shared" si="20"/>
        <v>0.54040000000000232</v>
      </c>
      <c r="E194">
        <f t="shared" si="21"/>
        <v>0.40529999999999888</v>
      </c>
      <c r="J194">
        <f t="shared" si="22"/>
        <v>0.99720137497398376</v>
      </c>
      <c r="K194">
        <f t="shared" si="23"/>
        <v>0.15951671384637311</v>
      </c>
    </row>
    <row r="195" spans="1:11" x14ac:dyDescent="0.2">
      <c r="A195">
        <v>194</v>
      </c>
      <c r="B195">
        <f t="shared" si="24"/>
        <v>0.99995231525922645</v>
      </c>
      <c r="C195">
        <f t="shared" si="19"/>
        <v>0.38467657943917066</v>
      </c>
      <c r="D195">
        <f t="shared" si="20"/>
        <v>0.54320000000000235</v>
      </c>
      <c r="E195">
        <f t="shared" si="21"/>
        <v>0.40739999999999887</v>
      </c>
      <c r="J195">
        <f t="shared" si="22"/>
        <v>0.99728533372476413</v>
      </c>
      <c r="K195">
        <f t="shared" si="23"/>
        <v>0.16027314880391139</v>
      </c>
    </row>
    <row r="196" spans="1:11" x14ac:dyDescent="0.2">
      <c r="A196">
        <v>195</v>
      </c>
      <c r="B196">
        <f t="shared" si="24"/>
        <v>0.99995469949626514</v>
      </c>
      <c r="C196">
        <f t="shared" ref="C196:C259" si="25">C195+C$2-C195*C$2</f>
        <v>0.38621488799057274</v>
      </c>
      <c r="D196">
        <f t="shared" ref="D196:D259" si="26">D195+D$2</f>
        <v>0.54600000000000237</v>
      </c>
      <c r="E196">
        <f t="shared" ref="E196:E259" si="27">E195+E$2</f>
        <v>0.40949999999999886</v>
      </c>
      <c r="J196">
        <f t="shared" ref="J196:J259" si="28">J195+J$2-J195*J$2</f>
        <v>0.99736677371302118</v>
      </c>
      <c r="K196">
        <f t="shared" ref="K196:K259" si="29">K195+K$2-K195*K$2</f>
        <v>0.16102890296998787</v>
      </c>
    </row>
    <row r="197" spans="1:11" x14ac:dyDescent="0.2">
      <c r="A197">
        <v>196</v>
      </c>
      <c r="B197">
        <f t="shared" si="24"/>
        <v>0.99995696452145189</v>
      </c>
      <c r="C197">
        <f t="shared" si="25"/>
        <v>0.3877493507705963</v>
      </c>
      <c r="D197">
        <f t="shared" si="26"/>
        <v>0.5488000000000024</v>
      </c>
      <c r="E197">
        <f t="shared" si="27"/>
        <v>0.41159999999999886</v>
      </c>
      <c r="J197">
        <f t="shared" si="28"/>
        <v>0.99744577050163052</v>
      </c>
      <c r="K197">
        <f t="shared" si="29"/>
        <v>0.16178397695731489</v>
      </c>
    </row>
    <row r="198" spans="1:11" x14ac:dyDescent="0.2">
      <c r="A198">
        <v>197</v>
      </c>
      <c r="B198">
        <f t="shared" si="24"/>
        <v>0.99995911629537937</v>
      </c>
      <c r="C198">
        <f t="shared" si="25"/>
        <v>0.38927997739366982</v>
      </c>
      <c r="D198">
        <f t="shared" si="26"/>
        <v>0.55160000000000242</v>
      </c>
      <c r="E198">
        <f t="shared" si="27"/>
        <v>0.41369999999999885</v>
      </c>
      <c r="J198">
        <f t="shared" si="28"/>
        <v>0.99752239738658155</v>
      </c>
      <c r="K198">
        <f t="shared" si="29"/>
        <v>0.16253837137805333</v>
      </c>
    </row>
    <row r="199" spans="1:11" x14ac:dyDescent="0.2">
      <c r="A199">
        <v>198</v>
      </c>
      <c r="B199">
        <f t="shared" si="24"/>
        <v>0.99996116048061046</v>
      </c>
      <c r="C199">
        <f t="shared" si="25"/>
        <v>0.39080677745018566</v>
      </c>
      <c r="D199">
        <f t="shared" si="26"/>
        <v>0.55440000000000245</v>
      </c>
      <c r="E199">
        <f t="shared" si="27"/>
        <v>0.41579999999999884</v>
      </c>
      <c r="J199">
        <f t="shared" si="28"/>
        <v>0.99759672546498401</v>
      </c>
      <c r="K199">
        <f t="shared" si="29"/>
        <v>0.16329208684381308</v>
      </c>
    </row>
    <row r="200" spans="1:11" x14ac:dyDescent="0.2">
      <c r="A200">
        <v>199</v>
      </c>
      <c r="B200">
        <f t="shared" si="24"/>
        <v>0.99996310245657993</v>
      </c>
      <c r="C200">
        <f t="shared" si="25"/>
        <v>0.39232976050656021</v>
      </c>
      <c r="D200">
        <f t="shared" si="26"/>
        <v>0.55720000000000247</v>
      </c>
      <c r="E200">
        <f t="shared" si="27"/>
        <v>0.41789999999999883</v>
      </c>
      <c r="J200">
        <f t="shared" si="28"/>
        <v>0.99766882370103449</v>
      </c>
      <c r="K200">
        <f t="shared" si="29"/>
        <v>0.16404512396565366</v>
      </c>
    </row>
    <row r="201" spans="1:11" x14ac:dyDescent="0.2">
      <c r="A201">
        <v>200</v>
      </c>
      <c r="B201">
        <f t="shared" si="24"/>
        <v>0.99996494733375085</v>
      </c>
      <c r="C201">
        <f t="shared" si="25"/>
        <v>0.39384893610529381</v>
      </c>
      <c r="D201">
        <f t="shared" si="26"/>
        <v>0.5600000000000025</v>
      </c>
      <c r="E201">
        <f t="shared" si="27"/>
        <v>0.41999999999999882</v>
      </c>
      <c r="J201">
        <f t="shared" si="28"/>
        <v>0.99773875899000353</v>
      </c>
      <c r="K201">
        <f t="shared" si="29"/>
        <v>0.16479748335408459</v>
      </c>
    </row>
    <row r="202" spans="1:11" x14ac:dyDescent="0.2">
      <c r="A202">
        <v>201</v>
      </c>
      <c r="B202">
        <f t="shared" si="24"/>
        <v>0.99996669996706333</v>
      </c>
      <c r="C202">
        <f t="shared" si="25"/>
        <v>0.39536431376503056</v>
      </c>
      <c r="D202">
        <f t="shared" si="26"/>
        <v>0.56280000000000252</v>
      </c>
      <c r="E202">
        <f t="shared" si="27"/>
        <v>0.42209999999999881</v>
      </c>
      <c r="J202">
        <f t="shared" si="28"/>
        <v>0.99780659622030343</v>
      </c>
      <c r="K202">
        <f t="shared" si="29"/>
        <v>0.16554916561906594</v>
      </c>
    </row>
    <row r="203" spans="1:11" x14ac:dyDescent="0.2">
      <c r="A203">
        <v>202</v>
      </c>
      <c r="B203">
        <f t="shared" si="24"/>
        <v>0.99996836496871022</v>
      </c>
      <c r="C203">
        <f t="shared" si="25"/>
        <v>0.39687590298061798</v>
      </c>
      <c r="D203">
        <f t="shared" si="26"/>
        <v>0.56560000000000255</v>
      </c>
      <c r="E203">
        <f t="shared" si="27"/>
        <v>0.4241999999999988</v>
      </c>
      <c r="J203">
        <f t="shared" si="28"/>
        <v>0.99787239833369423</v>
      </c>
      <c r="K203">
        <f t="shared" si="29"/>
        <v>0.1663001713700088</v>
      </c>
    </row>
    <row r="204" spans="1:11" x14ac:dyDescent="0.2">
      <c r="A204">
        <v>203</v>
      </c>
      <c r="B204">
        <f t="shared" si="24"/>
        <v>0.99996994672027462</v>
      </c>
      <c r="C204">
        <f t="shared" si="25"/>
        <v>0.39838371322316646</v>
      </c>
      <c r="D204">
        <f t="shared" si="26"/>
        <v>0.56840000000000257</v>
      </c>
      <c r="E204">
        <f t="shared" si="27"/>
        <v>0.42629999999999879</v>
      </c>
      <c r="J204">
        <f t="shared" si="28"/>
        <v>0.99793622638368329</v>
      </c>
      <c r="K204">
        <f t="shared" si="29"/>
        <v>0.1670505012157758</v>
      </c>
    </row>
    <row r="205" spans="1:11" x14ac:dyDescent="0.2">
      <c r="A205">
        <v>204</v>
      </c>
      <c r="B205">
        <f t="shared" si="24"/>
        <v>0.99997144938426086</v>
      </c>
      <c r="C205">
        <f t="shared" si="25"/>
        <v>0.39988775394010856</v>
      </c>
      <c r="D205">
        <f t="shared" si="26"/>
        <v>0.57120000000000259</v>
      </c>
      <c r="E205">
        <f t="shared" si="27"/>
        <v>0.42839999999999878</v>
      </c>
      <c r="J205">
        <f t="shared" si="28"/>
        <v>0.99799813959217287</v>
      </c>
      <c r="K205">
        <f t="shared" si="29"/>
        <v>0.16780015576468163</v>
      </c>
    </row>
    <row r="206" spans="1:11" x14ac:dyDescent="0.2">
      <c r="A206">
        <v>205</v>
      </c>
      <c r="B206">
        <f t="shared" si="24"/>
        <v>0.99997287691504788</v>
      </c>
      <c r="C206">
        <f t="shared" si="25"/>
        <v>0.40138803455525829</v>
      </c>
      <c r="D206">
        <f t="shared" si="26"/>
        <v>0.57400000000000262</v>
      </c>
      <c r="E206">
        <f t="shared" si="27"/>
        <v>0.43049999999999877</v>
      </c>
      <c r="J206">
        <f t="shared" si="28"/>
        <v>0.99805819540440777</v>
      </c>
      <c r="K206">
        <f t="shared" si="29"/>
        <v>0.16854913562449342</v>
      </c>
    </row>
    <row r="207" spans="1:11" x14ac:dyDescent="0.2">
      <c r="A207">
        <v>206</v>
      </c>
      <c r="B207">
        <f t="shared" si="24"/>
        <v>0.99997423306929545</v>
      </c>
      <c r="C207">
        <f t="shared" si="25"/>
        <v>0.40288456446887017</v>
      </c>
      <c r="D207">
        <f t="shared" si="26"/>
        <v>0.57680000000000264</v>
      </c>
      <c r="E207">
        <f t="shared" si="27"/>
        <v>0.43259999999999876</v>
      </c>
      <c r="J207">
        <f t="shared" si="28"/>
        <v>0.99811644954227541</v>
      </c>
      <c r="K207">
        <f t="shared" si="29"/>
        <v>0.16929744140243139</v>
      </c>
    </row>
    <row r="208" spans="1:11" x14ac:dyDescent="0.2">
      <c r="A208">
        <v>207</v>
      </c>
      <c r="B208">
        <f t="shared" si="24"/>
        <v>0.99997552141583057</v>
      </c>
      <c r="C208">
        <f t="shared" si="25"/>
        <v>0.40437735305769801</v>
      </c>
      <c r="D208">
        <f t="shared" si="26"/>
        <v>0.57960000000000267</v>
      </c>
      <c r="E208">
        <f t="shared" si="27"/>
        <v>0.43469999999999875</v>
      </c>
      <c r="J208">
        <f t="shared" si="28"/>
        <v>0.9981729560560072</v>
      </c>
      <c r="K208">
        <f t="shared" si="29"/>
        <v>0.17004507370516922</v>
      </c>
    </row>
    <row r="209" spans="1:11" x14ac:dyDescent="0.2">
      <c r="A209">
        <v>208</v>
      </c>
      <c r="B209">
        <f t="shared" si="24"/>
        <v>0.99997674534503911</v>
      </c>
      <c r="C209">
        <f t="shared" si="25"/>
        <v>0.40586640967505377</v>
      </c>
      <c r="D209">
        <f t="shared" si="26"/>
        <v>0.58240000000000269</v>
      </c>
      <c r="E209">
        <f t="shared" si="27"/>
        <v>0.43679999999999874</v>
      </c>
      <c r="J209">
        <f t="shared" si="28"/>
        <v>0.99822776737432695</v>
      </c>
      <c r="K209">
        <f t="shared" si="29"/>
        <v>0.17079203313883459</v>
      </c>
    </row>
    <row r="210" spans="1:11" x14ac:dyDescent="0.2">
      <c r="A210">
        <v>209</v>
      </c>
      <c r="B210">
        <f t="shared" si="24"/>
        <v>0.99997790807778708</v>
      </c>
      <c r="C210">
        <f t="shared" si="25"/>
        <v>0.40735174365086613</v>
      </c>
      <c r="D210">
        <f t="shared" si="26"/>
        <v>0.58520000000000272</v>
      </c>
      <c r="E210">
        <f t="shared" si="27"/>
        <v>0.43889999999999874</v>
      </c>
      <c r="J210">
        <f t="shared" si="28"/>
        <v>0.99828093435309717</v>
      </c>
      <c r="K210">
        <f t="shared" si="29"/>
        <v>0.17153832030900965</v>
      </c>
    </row>
    <row r="211" spans="1:11" x14ac:dyDescent="0.2">
      <c r="A211">
        <v>210</v>
      </c>
      <c r="B211">
        <f t="shared" si="24"/>
        <v>0.99997901267389777</v>
      </c>
      <c r="C211">
        <f t="shared" si="25"/>
        <v>0.40883336429173894</v>
      </c>
      <c r="D211">
        <f t="shared" si="26"/>
        <v>0.58800000000000274</v>
      </c>
      <c r="E211">
        <f t="shared" si="27"/>
        <v>0.44099999999999873</v>
      </c>
      <c r="J211">
        <f t="shared" si="28"/>
        <v>0.99833250632250425</v>
      </c>
      <c r="K211">
        <f t="shared" si="29"/>
        <v>0.17228393582073154</v>
      </c>
    </row>
    <row r="212" spans="1:11" x14ac:dyDescent="0.2">
      <c r="A212">
        <v>211</v>
      </c>
      <c r="B212">
        <f t="shared" si="24"/>
        <v>0.99998006204020284</v>
      </c>
      <c r="C212">
        <f t="shared" si="25"/>
        <v>0.4103112808810096</v>
      </c>
      <c r="D212">
        <f t="shared" si="26"/>
        <v>0.59080000000000277</v>
      </c>
      <c r="E212">
        <f t="shared" si="27"/>
        <v>0.44309999999999872</v>
      </c>
      <c r="J212">
        <f t="shared" si="28"/>
        <v>0.99838253113282904</v>
      </c>
      <c r="K212">
        <f t="shared" si="29"/>
        <v>0.17302888027849289</v>
      </c>
    </row>
    <row r="213" spans="1:11" x14ac:dyDescent="0.2">
      <c r="A213">
        <v>212</v>
      </c>
      <c r="B213">
        <f t="shared" si="24"/>
        <v>0.99998105893819278</v>
      </c>
      <c r="C213">
        <f t="shared" si="25"/>
        <v>0.41178550267880709</v>
      </c>
      <c r="D213">
        <f t="shared" si="26"/>
        <v>0.59360000000000279</v>
      </c>
      <c r="E213">
        <f t="shared" si="27"/>
        <v>0.44519999999999871</v>
      </c>
      <c r="J213">
        <f t="shared" si="28"/>
        <v>0.99843105519884412</v>
      </c>
      <c r="K213">
        <f t="shared" si="29"/>
        <v>0.17377315428624227</v>
      </c>
    </row>
    <row r="214" spans="1:11" x14ac:dyDescent="0.2">
      <c r="A214">
        <v>213</v>
      </c>
      <c r="B214">
        <f t="shared" si="24"/>
        <v>0.99998200599128317</v>
      </c>
      <c r="C214">
        <f t="shared" si="25"/>
        <v>0.4132560389221101</v>
      </c>
      <c r="D214">
        <f t="shared" si="26"/>
        <v>0.59640000000000282</v>
      </c>
      <c r="E214">
        <f t="shared" si="27"/>
        <v>0.4472999999999987</v>
      </c>
      <c r="J214">
        <f t="shared" si="28"/>
        <v>0.99847812354287868</v>
      </c>
      <c r="K214">
        <f t="shared" si="29"/>
        <v>0.17451675844738465</v>
      </c>
    </row>
    <row r="215" spans="1:11" x14ac:dyDescent="0.2">
      <c r="A215">
        <v>214</v>
      </c>
      <c r="B215">
        <f t="shared" si="24"/>
        <v>0.9999829056917191</v>
      </c>
      <c r="C215">
        <f t="shared" si="25"/>
        <v>0.41472289882480484</v>
      </c>
      <c r="D215">
        <f t="shared" si="26"/>
        <v>0.59920000000000284</v>
      </c>
      <c r="E215">
        <f t="shared" si="27"/>
        <v>0.44939999999999869</v>
      </c>
      <c r="J215">
        <f t="shared" si="28"/>
        <v>0.99852377983659224</v>
      </c>
      <c r="K215">
        <f t="shared" si="29"/>
        <v>0.175259693364782</v>
      </c>
    </row>
    <row r="216" spans="1:11" x14ac:dyDescent="0.2">
      <c r="A216">
        <v>215</v>
      </c>
      <c r="B216">
        <f t="shared" si="24"/>
        <v>0.99998376040713322</v>
      </c>
      <c r="C216">
        <f t="shared" si="25"/>
        <v>0.41618609157774283</v>
      </c>
      <c r="D216">
        <f t="shared" si="26"/>
        <v>0.60200000000000287</v>
      </c>
      <c r="E216">
        <f t="shared" si="27"/>
        <v>0.45149999999999868</v>
      </c>
      <c r="J216">
        <f t="shared" si="28"/>
        <v>0.99856806644149454</v>
      </c>
      <c r="K216">
        <f t="shared" si="29"/>
        <v>0.17600195964075371</v>
      </c>
    </row>
    <row r="217" spans="1:11" x14ac:dyDescent="0.2">
      <c r="A217">
        <v>216</v>
      </c>
      <c r="B217">
        <f t="shared" si="24"/>
        <v>0.99998457238677652</v>
      </c>
      <c r="C217">
        <f t="shared" si="25"/>
        <v>0.41764562634879848</v>
      </c>
      <c r="D217">
        <f t="shared" si="26"/>
        <v>0.60480000000000289</v>
      </c>
      <c r="E217">
        <f t="shared" si="27"/>
        <v>0.45359999999999867</v>
      </c>
      <c r="J217">
        <f t="shared" si="28"/>
        <v>0.99861102444824967</v>
      </c>
      <c r="K217">
        <f t="shared" si="29"/>
        <v>0.17674355787707705</v>
      </c>
    </row>
    <row r="218" spans="1:11" x14ac:dyDescent="0.2">
      <c r="A218">
        <v>217</v>
      </c>
      <c r="B218">
        <f t="shared" si="24"/>
        <v>0.99998534376743764</v>
      </c>
      <c r="C218">
        <f t="shared" si="25"/>
        <v>0.41910151228292647</v>
      </c>
      <c r="D218">
        <f t="shared" si="26"/>
        <v>0.60760000000000292</v>
      </c>
      <c r="E218">
        <f t="shared" si="27"/>
        <v>0.45569999999999866</v>
      </c>
      <c r="J218">
        <f t="shared" si="28"/>
        <v>0.99865269371480214</v>
      </c>
      <c r="K218">
        <f t="shared" si="29"/>
        <v>0.1774844886749877</v>
      </c>
    </row>
    <row r="219" spans="1:11" x14ac:dyDescent="0.2">
      <c r="A219">
        <v>218</v>
      </c>
      <c r="B219">
        <f t="shared" si="24"/>
        <v>0.99998607657906569</v>
      </c>
      <c r="C219">
        <f t="shared" si="25"/>
        <v>0.42055375850221915</v>
      </c>
      <c r="D219">
        <f t="shared" si="26"/>
        <v>0.61040000000000294</v>
      </c>
      <c r="E219">
        <f t="shared" si="27"/>
        <v>0.45779999999999865</v>
      </c>
      <c r="J219">
        <f t="shared" si="28"/>
        <v>0.99869311290335805</v>
      </c>
      <c r="K219">
        <f t="shared" si="29"/>
        <v>0.17822475263518023</v>
      </c>
    </row>
    <row r="220" spans="1:11" x14ac:dyDescent="0.2">
      <c r="A220">
        <v>219</v>
      </c>
      <c r="B220">
        <f t="shared" si="24"/>
        <v>0.99998677275011238</v>
      </c>
      <c r="C220">
        <f t="shared" si="25"/>
        <v>0.42200237410596358</v>
      </c>
      <c r="D220">
        <f t="shared" si="26"/>
        <v>0.61320000000000296</v>
      </c>
      <c r="E220">
        <f t="shared" si="27"/>
        <v>0.45989999999999864</v>
      </c>
      <c r="J220">
        <f t="shared" si="28"/>
        <v>0.99873231951625729</v>
      </c>
      <c r="K220">
        <f t="shared" si="29"/>
        <v>0.17896435035780858</v>
      </c>
    </row>
    <row r="221" spans="1:11" x14ac:dyDescent="0.2">
      <c r="A221">
        <v>220</v>
      </c>
      <c r="B221">
        <f t="shared" si="24"/>
        <v>0.99998743411260682</v>
      </c>
      <c r="C221">
        <f t="shared" si="25"/>
        <v>0.42344736817069867</v>
      </c>
      <c r="D221">
        <f t="shared" si="26"/>
        <v>0.61600000000000299</v>
      </c>
      <c r="E221">
        <f t="shared" si="27"/>
        <v>0.46199999999999863</v>
      </c>
      <c r="J221">
        <f t="shared" si="28"/>
        <v>0.99877034993076952</v>
      </c>
      <c r="K221">
        <f t="shared" si="29"/>
        <v>0.17970328244248657</v>
      </c>
    </row>
    <row r="222" spans="1:11" x14ac:dyDescent="0.2">
      <c r="A222">
        <v>221</v>
      </c>
      <c r="B222">
        <f t="shared" si="24"/>
        <v>0.99998806240697635</v>
      </c>
      <c r="C222">
        <f t="shared" si="25"/>
        <v>0.42488874975027191</v>
      </c>
      <c r="D222">
        <f t="shared" si="26"/>
        <v>0.61880000000000301</v>
      </c>
      <c r="E222">
        <f t="shared" si="27"/>
        <v>0.46409999999999862</v>
      </c>
      <c r="J222">
        <f t="shared" si="28"/>
        <v>0.99880723943284633</v>
      </c>
      <c r="K222">
        <f t="shared" si="29"/>
        <v>0.18044154948828833</v>
      </c>
    </row>
    <row r="223" spans="1:11" x14ac:dyDescent="0.2">
      <c r="A223">
        <v>222</v>
      </c>
      <c r="B223">
        <f t="shared" si="24"/>
        <v>0.99998865928662761</v>
      </c>
      <c r="C223">
        <f t="shared" si="25"/>
        <v>0.42632652787589626</v>
      </c>
      <c r="D223">
        <f t="shared" si="26"/>
        <v>0.62160000000000304</v>
      </c>
      <c r="E223">
        <f t="shared" si="27"/>
        <v>0.46619999999999862</v>
      </c>
      <c r="J223">
        <f t="shared" si="28"/>
        <v>0.99884302224986088</v>
      </c>
      <c r="K223">
        <f t="shared" si="29"/>
        <v>0.18117915209374888</v>
      </c>
    </row>
    <row r="224" spans="1:11" x14ac:dyDescent="0.2">
      <c r="A224">
        <v>223</v>
      </c>
      <c r="B224">
        <f t="shared" si="24"/>
        <v>0.99998922632229625</v>
      </c>
      <c r="C224">
        <f t="shared" si="25"/>
        <v>0.42776071155620654</v>
      </c>
      <c r="D224">
        <f t="shared" si="26"/>
        <v>0.62440000000000306</v>
      </c>
      <c r="E224">
        <f t="shared" si="27"/>
        <v>0.46829999999999861</v>
      </c>
      <c r="J224">
        <f t="shared" si="28"/>
        <v>0.99887773158236492</v>
      </c>
      <c r="K224">
        <f t="shared" si="29"/>
        <v>0.18191609085686453</v>
      </c>
    </row>
    <row r="225" spans="1:11" x14ac:dyDescent="0.2">
      <c r="A225">
        <v>224</v>
      </c>
      <c r="B225">
        <f t="shared" si="24"/>
        <v>0.99998976500618153</v>
      </c>
      <c r="C225">
        <f t="shared" si="25"/>
        <v>0.42919130977731601</v>
      </c>
      <c r="D225">
        <f t="shared" si="26"/>
        <v>0.62720000000000309</v>
      </c>
      <c r="E225">
        <f t="shared" si="27"/>
        <v>0.4703999999999986</v>
      </c>
      <c r="J225">
        <f t="shared" si="28"/>
        <v>0.99891139963489395</v>
      </c>
      <c r="K225">
        <f t="shared" si="29"/>
        <v>0.18265236637509336</v>
      </c>
    </row>
    <row r="226" spans="1:11" x14ac:dyDescent="0.2">
      <c r="A226">
        <v>225</v>
      </c>
      <c r="B226">
        <f t="shared" si="24"/>
        <v>0.99999027675587249</v>
      </c>
      <c r="C226">
        <f t="shared" si="25"/>
        <v>0.43061833150287271</v>
      </c>
      <c r="D226">
        <f t="shared" si="26"/>
        <v>0.63000000000000311</v>
      </c>
      <c r="E226">
        <f t="shared" si="27"/>
        <v>0.47249999999999859</v>
      </c>
      <c r="J226">
        <f t="shared" si="28"/>
        <v>0.99894405764584715</v>
      </c>
      <c r="K226">
        <f t="shared" si="29"/>
        <v>0.18338797924535577</v>
      </c>
    </row>
    <row r="227" spans="1:11" x14ac:dyDescent="0.2">
      <c r="A227">
        <v>226</v>
      </c>
      <c r="B227">
        <f t="shared" si="24"/>
        <v>0.99999076291807876</v>
      </c>
      <c r="C227">
        <f t="shared" si="25"/>
        <v>0.43204178567411555</v>
      </c>
      <c r="D227">
        <f t="shared" si="26"/>
        <v>0.63280000000000314</v>
      </c>
      <c r="E227">
        <f t="shared" si="27"/>
        <v>0.47459999999999858</v>
      </c>
      <c r="J227">
        <f t="shared" si="28"/>
        <v>0.99897573591647171</v>
      </c>
      <c r="K227">
        <f t="shared" si="29"/>
        <v>0.18412293006403496</v>
      </c>
    </row>
    <row r="228" spans="1:11" x14ac:dyDescent="0.2">
      <c r="A228">
        <v>227</v>
      </c>
      <c r="B228">
        <f t="shared" si="24"/>
        <v>0.99999122477217472</v>
      </c>
      <c r="C228">
        <f t="shared" si="25"/>
        <v>0.43346168120993028</v>
      </c>
      <c r="D228">
        <f t="shared" si="26"/>
        <v>0.63560000000000316</v>
      </c>
      <c r="E228">
        <f t="shared" si="27"/>
        <v>0.47669999999999857</v>
      </c>
      <c r="J228">
        <f t="shared" si="28"/>
        <v>0.99900646383897762</v>
      </c>
      <c r="K228">
        <f t="shared" si="29"/>
        <v>0.18485721942697733</v>
      </c>
    </row>
    <row r="229" spans="1:11" x14ac:dyDescent="0.2">
      <c r="A229">
        <v>228</v>
      </c>
      <c r="B229">
        <f t="shared" si="24"/>
        <v>0.99999166353356606</v>
      </c>
      <c r="C229">
        <f t="shared" si="25"/>
        <v>0.43487802700690548</v>
      </c>
      <c r="D229">
        <f t="shared" si="26"/>
        <v>0.63840000000000319</v>
      </c>
      <c r="E229">
        <f t="shared" si="27"/>
        <v>0.47879999999999856</v>
      </c>
      <c r="J229">
        <f t="shared" si="28"/>
        <v>0.99903626992380823</v>
      </c>
      <c r="K229">
        <f t="shared" si="29"/>
        <v>0.18559084792949307</v>
      </c>
    </row>
    <row r="230" spans="1:11" x14ac:dyDescent="0.2">
      <c r="A230">
        <v>229</v>
      </c>
      <c r="B230">
        <f t="shared" ref="B230:B293" si="30">B229+B$2-B229*B$2</f>
        <v>0.99999208035688769</v>
      </c>
      <c r="C230">
        <f t="shared" si="25"/>
        <v>0.43629083193938822</v>
      </c>
      <c r="D230">
        <f t="shared" si="26"/>
        <v>0.64120000000000321</v>
      </c>
      <c r="E230">
        <f t="shared" si="27"/>
        <v>0.48089999999999855</v>
      </c>
      <c r="J230">
        <f t="shared" si="28"/>
        <v>0.99906518182609405</v>
      </c>
      <c r="K230">
        <f t="shared" si="29"/>
        <v>0.18632381616635654</v>
      </c>
    </row>
    <row r="231" spans="1:11" x14ac:dyDescent="0.2">
      <c r="A231">
        <v>230</v>
      </c>
      <c r="B231">
        <f t="shared" si="30"/>
        <v>0.9999924763390432</v>
      </c>
      <c r="C231">
        <f t="shared" si="25"/>
        <v>0.43770010485953975</v>
      </c>
      <c r="D231">
        <f t="shared" si="26"/>
        <v>0.64400000000000324</v>
      </c>
      <c r="E231">
        <f t="shared" si="27"/>
        <v>0.48299999999999854</v>
      </c>
      <c r="J231">
        <f t="shared" si="28"/>
        <v>0.99909322637131126</v>
      </c>
      <c r="K231">
        <f t="shared" si="29"/>
        <v>0.18705612473180683</v>
      </c>
    </row>
    <row r="232" spans="1:11" x14ac:dyDescent="0.2">
      <c r="A232">
        <v>231</v>
      </c>
      <c r="B232">
        <f t="shared" si="30"/>
        <v>0.99999285252209091</v>
      </c>
      <c r="C232">
        <f t="shared" si="25"/>
        <v>0.43910585459739088</v>
      </c>
      <c r="D232">
        <f t="shared" si="26"/>
        <v>0.64680000000000326</v>
      </c>
      <c r="E232">
        <f t="shared" si="27"/>
        <v>0.48509999999999853</v>
      </c>
      <c r="J232">
        <f t="shared" si="28"/>
        <v>0.999120429580172</v>
      </c>
      <c r="K232">
        <f t="shared" si="29"/>
        <v>0.1877877742195482</v>
      </c>
    </row>
    <row r="233" spans="1:11" x14ac:dyDescent="0.2">
      <c r="A233">
        <v>232</v>
      </c>
      <c r="B233">
        <f t="shared" si="30"/>
        <v>0.99999320989598639</v>
      </c>
      <c r="C233">
        <f t="shared" si="25"/>
        <v>0.44050808996089741</v>
      </c>
      <c r="D233">
        <f t="shared" si="26"/>
        <v>0.64960000000000329</v>
      </c>
      <c r="E233">
        <f t="shared" si="27"/>
        <v>0.48719999999999852</v>
      </c>
      <c r="J233">
        <f t="shared" si="28"/>
        <v>0.99914681669276673</v>
      </c>
      <c r="K233">
        <f t="shared" si="29"/>
        <v>0.18851876522275063</v>
      </c>
    </row>
    <row r="234" spans="1:11" x14ac:dyDescent="0.2">
      <c r="A234">
        <v>233</v>
      </c>
      <c r="B234">
        <f t="shared" si="30"/>
        <v>0.99999354940118701</v>
      </c>
      <c r="C234">
        <f t="shared" si="25"/>
        <v>0.44190681973599516</v>
      </c>
      <c r="D234">
        <f t="shared" si="26"/>
        <v>0.65240000000000331</v>
      </c>
      <c r="E234">
        <f t="shared" si="27"/>
        <v>0.48929999999999851</v>
      </c>
      <c r="J234">
        <f t="shared" si="28"/>
        <v>0.99917241219198361</v>
      </c>
      <c r="K234">
        <f t="shared" si="29"/>
        <v>0.18924909833405015</v>
      </c>
    </row>
    <row r="235" spans="1:11" x14ac:dyDescent="0.2">
      <c r="A235">
        <v>234</v>
      </c>
      <c r="B235">
        <f t="shared" si="30"/>
        <v>0.99999387193112754</v>
      </c>
      <c r="C235">
        <f t="shared" si="25"/>
        <v>0.44330205268665518</v>
      </c>
      <c r="D235">
        <f t="shared" si="26"/>
        <v>0.65520000000000334</v>
      </c>
      <c r="E235">
        <f t="shared" si="27"/>
        <v>0.4913999999999985</v>
      </c>
      <c r="J235">
        <f t="shared" si="28"/>
        <v>0.9991972398262241</v>
      </c>
      <c r="K235">
        <f t="shared" si="29"/>
        <v>0.18997877414554953</v>
      </c>
    </row>
    <row r="236" spans="1:11" x14ac:dyDescent="0.2">
      <c r="A236">
        <v>235</v>
      </c>
      <c r="B236">
        <f t="shared" si="30"/>
        <v>0.99999417833457105</v>
      </c>
      <c r="C236">
        <f t="shared" si="25"/>
        <v>0.44469379755493854</v>
      </c>
      <c r="D236">
        <f t="shared" si="26"/>
        <v>0.65800000000000336</v>
      </c>
      <c r="E236">
        <f t="shared" si="27"/>
        <v>0.4934999999999985</v>
      </c>
      <c r="J236">
        <f t="shared" si="28"/>
        <v>0.99922132263143737</v>
      </c>
      <c r="K236">
        <f t="shared" si="29"/>
        <v>0.19070779324881856</v>
      </c>
    </row>
    <row r="237" spans="1:11" x14ac:dyDescent="0.2">
      <c r="A237">
        <v>236</v>
      </c>
      <c r="B237">
        <f t="shared" si="30"/>
        <v>0.99999446941784242</v>
      </c>
      <c r="C237">
        <f t="shared" si="25"/>
        <v>0.44608206306105119</v>
      </c>
      <c r="D237">
        <f t="shared" si="26"/>
        <v>0.66080000000000338</v>
      </c>
      <c r="E237">
        <f t="shared" si="27"/>
        <v>0.49559999999999849</v>
      </c>
      <c r="J237">
        <f t="shared" si="28"/>
        <v>0.99924468295249413</v>
      </c>
      <c r="K237">
        <f t="shared" si="29"/>
        <v>0.19143615623489463</v>
      </c>
    </row>
    <row r="238" spans="1:11" x14ac:dyDescent="0.2">
      <c r="A238">
        <v>237</v>
      </c>
      <c r="B238">
        <f t="shared" si="30"/>
        <v>0.99999474594695037</v>
      </c>
      <c r="C238">
        <f t="shared" si="25"/>
        <v>0.44746685790339857</v>
      </c>
      <c r="D238">
        <f t="shared" si="26"/>
        <v>0.66360000000000341</v>
      </c>
      <c r="E238">
        <f t="shared" si="27"/>
        <v>0.49769999999999848</v>
      </c>
      <c r="J238">
        <f t="shared" si="28"/>
        <v>0.99926734246391935</v>
      </c>
      <c r="K238">
        <f t="shared" si="29"/>
        <v>0.19216386369428323</v>
      </c>
    </row>
    <row r="239" spans="1:11" x14ac:dyDescent="0.2">
      <c r="A239">
        <v>238</v>
      </c>
      <c r="B239">
        <f t="shared" si="30"/>
        <v>0.99999500864960278</v>
      </c>
      <c r="C239">
        <f t="shared" si="25"/>
        <v>0.44884819075864008</v>
      </c>
      <c r="D239">
        <f t="shared" si="26"/>
        <v>0.66640000000000343</v>
      </c>
      <c r="E239">
        <f t="shared" si="27"/>
        <v>0.49979999999999847</v>
      </c>
      <c r="J239">
        <f t="shared" si="28"/>
        <v>0.99928932219000177</v>
      </c>
      <c r="K239">
        <f t="shared" si="29"/>
        <v>0.19289091621695839</v>
      </c>
    </row>
    <row r="240" spans="1:11" x14ac:dyDescent="0.2">
      <c r="A240">
        <v>239</v>
      </c>
      <c r="B240">
        <f t="shared" si="30"/>
        <v>0.99999525821712265</v>
      </c>
      <c r="C240">
        <f t="shared" si="25"/>
        <v>0.4502260702817435</v>
      </c>
      <c r="D240">
        <f t="shared" si="26"/>
        <v>0.66920000000000346</v>
      </c>
      <c r="E240">
        <f t="shared" si="27"/>
        <v>0.50189999999999846</v>
      </c>
      <c r="J240">
        <f t="shared" si="28"/>
        <v>0.99931064252430168</v>
      </c>
      <c r="K240">
        <f t="shared" si="29"/>
        <v>0.19361731439236313</v>
      </c>
    </row>
    <row r="241" spans="1:11" x14ac:dyDescent="0.2">
      <c r="A241">
        <v>240</v>
      </c>
      <c r="B241">
        <f t="shared" si="30"/>
        <v>0.99999549530626641</v>
      </c>
      <c r="C241">
        <f t="shared" si="25"/>
        <v>0.45160050510603916</v>
      </c>
      <c r="D241">
        <f t="shared" si="26"/>
        <v>0.67200000000000348</v>
      </c>
      <c r="E241">
        <f t="shared" si="27"/>
        <v>0.50399999999999845</v>
      </c>
      <c r="J241">
        <f t="shared" si="28"/>
        <v>0.99933132324857266</v>
      </c>
      <c r="K241">
        <f t="shared" si="29"/>
        <v>0.19434305880941002</v>
      </c>
    </row>
    <row r="242" spans="1:11" x14ac:dyDescent="0.2">
      <c r="A242">
        <v>241</v>
      </c>
      <c r="B242">
        <f t="shared" si="30"/>
        <v>0.99999572054095309</v>
      </c>
      <c r="C242">
        <f t="shared" si="25"/>
        <v>0.45297150384327406</v>
      </c>
      <c r="D242">
        <f t="shared" si="26"/>
        <v>0.67480000000000351</v>
      </c>
      <c r="E242">
        <f t="shared" si="27"/>
        <v>0.50609999999999844</v>
      </c>
      <c r="J242">
        <f t="shared" si="28"/>
        <v>0.99935138355111541</v>
      </c>
      <c r="K242">
        <f t="shared" si="29"/>
        <v>0.19506815005648157</v>
      </c>
    </row>
    <row r="243" spans="1:11" x14ac:dyDescent="0.2">
      <c r="A243">
        <v>242</v>
      </c>
      <c r="B243">
        <f t="shared" si="30"/>
        <v>0.99999593451390545</v>
      </c>
      <c r="C243">
        <f t="shared" si="25"/>
        <v>0.45433907508366589</v>
      </c>
      <c r="D243">
        <f t="shared" si="26"/>
        <v>0.67760000000000353</v>
      </c>
      <c r="E243">
        <f t="shared" si="27"/>
        <v>0.50819999999999843</v>
      </c>
      <c r="J243">
        <f t="shared" si="28"/>
        <v>0.99937084204458193</v>
      </c>
      <c r="K243">
        <f t="shared" si="29"/>
        <v>0.19579258872143074</v>
      </c>
    </row>
    <row r="244" spans="1:11" x14ac:dyDescent="0.2">
      <c r="A244">
        <v>243</v>
      </c>
      <c r="B244">
        <f t="shared" si="30"/>
        <v>0.99999613778821006</v>
      </c>
      <c r="C244">
        <f t="shared" si="25"/>
        <v>0.4557032273959567</v>
      </c>
      <c r="D244">
        <f t="shared" si="26"/>
        <v>0.68040000000000356</v>
      </c>
      <c r="E244">
        <f t="shared" si="27"/>
        <v>0.51029999999999842</v>
      </c>
      <c r="J244">
        <f t="shared" si="28"/>
        <v>0.99938971678324451</v>
      </c>
      <c r="K244">
        <f t="shared" si="29"/>
        <v>0.19651637539158145</v>
      </c>
    </row>
    <row r="245" spans="1:11" x14ac:dyDescent="0.2">
      <c r="A245">
        <v>244</v>
      </c>
      <c r="B245">
        <f t="shared" si="30"/>
        <v>0.99999633089879958</v>
      </c>
      <c r="C245">
        <f t="shared" si="25"/>
        <v>0.45706396932746679</v>
      </c>
      <c r="D245">
        <f t="shared" si="26"/>
        <v>0.68320000000000358</v>
      </c>
      <c r="E245">
        <f t="shared" si="27"/>
        <v>0.51239999999999841</v>
      </c>
      <c r="J245">
        <f t="shared" si="28"/>
        <v>0.99940802527974704</v>
      </c>
      <c r="K245">
        <f t="shared" si="29"/>
        <v>0.19723951065372905</v>
      </c>
    </row>
    <row r="246" spans="1:11" x14ac:dyDescent="0.2">
      <c r="A246">
        <v>245</v>
      </c>
      <c r="B246">
        <f t="shared" si="30"/>
        <v>0.99999651435385961</v>
      </c>
      <c r="C246">
        <f t="shared" si="25"/>
        <v>0.4584213094041481</v>
      </c>
      <c r="D246">
        <f t="shared" si="26"/>
        <v>0.68600000000000361</v>
      </c>
      <c r="E246">
        <f t="shared" si="27"/>
        <v>0.5144999999999984</v>
      </c>
      <c r="J246">
        <f t="shared" si="28"/>
        <v>0.99942578452135467</v>
      </c>
      <c r="K246">
        <f t="shared" si="29"/>
        <v>0.1979619950941407</v>
      </c>
    </row>
    <row r="247" spans="1:11" x14ac:dyDescent="0.2">
      <c r="A247">
        <v>246</v>
      </c>
      <c r="B247">
        <f t="shared" si="30"/>
        <v>0.99999668863616664</v>
      </c>
      <c r="C247">
        <f t="shared" si="25"/>
        <v>0.45977525613063774</v>
      </c>
      <c r="D247">
        <f t="shared" si="26"/>
        <v>0.68880000000000363</v>
      </c>
      <c r="E247">
        <f t="shared" si="27"/>
        <v>0.51659999999999839</v>
      </c>
      <c r="J247">
        <f t="shared" si="28"/>
        <v>0.99944301098571398</v>
      </c>
      <c r="K247">
        <f t="shared" si="29"/>
        <v>0.19868382929855599</v>
      </c>
    </row>
    <row r="248" spans="1:11" x14ac:dyDescent="0.2">
      <c r="A248">
        <v>247</v>
      </c>
      <c r="B248">
        <f t="shared" si="30"/>
        <v>0.99999685420435835</v>
      </c>
      <c r="C248">
        <f t="shared" si="25"/>
        <v>0.46112581799031116</v>
      </c>
      <c r="D248">
        <f t="shared" si="26"/>
        <v>0.69160000000000366</v>
      </c>
      <c r="E248">
        <f t="shared" si="27"/>
        <v>0.51869999999999838</v>
      </c>
      <c r="J248">
        <f t="shared" si="28"/>
        <v>0.99945972065614264</v>
      </c>
      <c r="K248">
        <f t="shared" si="29"/>
        <v>0.19940501385218731</v>
      </c>
    </row>
    <row r="249" spans="1:11" x14ac:dyDescent="0.2">
      <c r="A249">
        <v>248</v>
      </c>
      <c r="B249">
        <f t="shared" si="30"/>
        <v>0.99999701149414033</v>
      </c>
      <c r="C249">
        <f t="shared" si="25"/>
        <v>0.46247300344533537</v>
      </c>
      <c r="D249">
        <f t="shared" si="26"/>
        <v>0.69440000000000368</v>
      </c>
      <c r="E249">
        <f t="shared" si="27"/>
        <v>0.52079999999999838</v>
      </c>
      <c r="J249">
        <f t="shared" si="28"/>
        <v>0.99947592903645843</v>
      </c>
      <c r="K249">
        <f t="shared" si="29"/>
        <v>0.20012554933972035</v>
      </c>
    </row>
    <row r="250" spans="1:11" x14ac:dyDescent="0.2">
      <c r="A250">
        <v>249</v>
      </c>
      <c r="B250">
        <f t="shared" si="30"/>
        <v>0.99999716091943336</v>
      </c>
      <c r="C250">
        <f t="shared" si="25"/>
        <v>0.46381682093672205</v>
      </c>
      <c r="D250">
        <f t="shared" si="26"/>
        <v>0.69720000000000371</v>
      </c>
      <c r="E250">
        <f t="shared" si="27"/>
        <v>0.52289999999999837</v>
      </c>
      <c r="J250">
        <f t="shared" si="28"/>
        <v>0.99949165116536465</v>
      </c>
      <c r="K250">
        <f t="shared" si="29"/>
        <v>0.20084543634531463</v>
      </c>
    </row>
    <row r="251" spans="1:11" x14ac:dyDescent="0.2">
      <c r="A251">
        <v>250</v>
      </c>
      <c r="B251">
        <f t="shared" si="30"/>
        <v>0.99999730287346178</v>
      </c>
      <c r="C251">
        <f t="shared" si="25"/>
        <v>0.46515727888438024</v>
      </c>
      <c r="D251">
        <f t="shared" si="26"/>
        <v>0.70000000000000373</v>
      </c>
      <c r="E251">
        <f t="shared" si="27"/>
        <v>0.52499999999999836</v>
      </c>
      <c r="J251">
        <f t="shared" si="28"/>
        <v>0.99950690163040379</v>
      </c>
      <c r="K251">
        <f t="shared" si="29"/>
        <v>0.20156467545260384</v>
      </c>
    </row>
    <row r="252" spans="1:11" x14ac:dyDescent="0.2">
      <c r="A252">
        <v>251</v>
      </c>
      <c r="B252">
        <f t="shared" si="30"/>
        <v>0.99999743772978866</v>
      </c>
      <c r="C252">
        <f t="shared" si="25"/>
        <v>0.46649438568716928</v>
      </c>
      <c r="D252">
        <f t="shared" si="26"/>
        <v>0.70280000000000376</v>
      </c>
      <c r="E252">
        <f t="shared" si="27"/>
        <v>0.52709999999999835</v>
      </c>
      <c r="J252">
        <f t="shared" si="28"/>
        <v>0.99952169458149154</v>
      </c>
      <c r="K252">
        <f t="shared" si="29"/>
        <v>0.2022832672446965</v>
      </c>
    </row>
    <row r="253" spans="1:11" x14ac:dyDescent="0.2">
      <c r="A253">
        <v>252</v>
      </c>
      <c r="B253">
        <f t="shared" si="30"/>
        <v>0.99999756584329924</v>
      </c>
      <c r="C253">
        <f t="shared" si="25"/>
        <v>0.46782814972295134</v>
      </c>
      <c r="D253">
        <f t="shared" si="26"/>
        <v>0.70560000000000378</v>
      </c>
      <c r="E253">
        <f t="shared" si="27"/>
        <v>0.52919999999999834</v>
      </c>
      <c r="J253">
        <f t="shared" si="28"/>
        <v>0.99953604374404681</v>
      </c>
      <c r="K253">
        <f t="shared" si="29"/>
        <v>0.20300121230417628</v>
      </c>
    </row>
    <row r="254" spans="1:11" x14ac:dyDescent="0.2">
      <c r="A254">
        <v>253</v>
      </c>
      <c r="B254">
        <f t="shared" si="30"/>
        <v>0.99999768755113416</v>
      </c>
      <c r="C254">
        <f t="shared" si="25"/>
        <v>0.46915857934864397</v>
      </c>
      <c r="D254">
        <f t="shared" si="26"/>
        <v>0.7084000000000038</v>
      </c>
      <c r="E254">
        <f t="shared" si="27"/>
        <v>0.53129999999999833</v>
      </c>
      <c r="J254">
        <f t="shared" si="28"/>
        <v>0.99954996243172545</v>
      </c>
      <c r="K254">
        <f t="shared" si="29"/>
        <v>0.20371851121310253</v>
      </c>
    </row>
    <row r="255" spans="1:11" x14ac:dyDescent="0.2">
      <c r="A255">
        <v>254</v>
      </c>
      <c r="B255">
        <f t="shared" si="30"/>
        <v>0.99999780317357734</v>
      </c>
      <c r="C255">
        <f t="shared" si="25"/>
        <v>0.47048568290027237</v>
      </c>
      <c r="D255">
        <f t="shared" si="26"/>
        <v>0.71120000000000383</v>
      </c>
      <c r="E255">
        <f t="shared" si="27"/>
        <v>0.53339999999999832</v>
      </c>
      <c r="J255">
        <f t="shared" si="28"/>
        <v>0.99956346355877368</v>
      </c>
      <c r="K255">
        <f t="shared" si="29"/>
        <v>0.20443516455301075</v>
      </c>
    </row>
    <row r="256" spans="1:11" x14ac:dyDescent="0.2">
      <c r="A256">
        <v>255</v>
      </c>
      <c r="B256">
        <f t="shared" si="30"/>
        <v>0.99999791301489838</v>
      </c>
      <c r="C256">
        <f t="shared" si="25"/>
        <v>0.47180946869302171</v>
      </c>
      <c r="D256">
        <f t="shared" si="26"/>
        <v>0.71400000000000385</v>
      </c>
      <c r="E256">
        <f t="shared" si="27"/>
        <v>0.53549999999999831</v>
      </c>
      <c r="J256">
        <f t="shared" si="28"/>
        <v>0.99957655965201042</v>
      </c>
      <c r="K256">
        <f t="shared" si="29"/>
        <v>0.20515117290491305</v>
      </c>
    </row>
    <row r="257" spans="1:11" x14ac:dyDescent="0.2">
      <c r="A257">
        <v>256</v>
      </c>
      <c r="B257">
        <f t="shared" si="30"/>
        <v>0.9999980173641535</v>
      </c>
      <c r="C257">
        <f t="shared" si="25"/>
        <v>0.47312994502128913</v>
      </c>
      <c r="D257">
        <f t="shared" si="26"/>
        <v>0.71680000000000388</v>
      </c>
      <c r="E257">
        <f t="shared" si="27"/>
        <v>0.5375999999999983</v>
      </c>
      <c r="J257">
        <f t="shared" si="28"/>
        <v>0.99958926286244998</v>
      </c>
      <c r="K257">
        <f t="shared" si="29"/>
        <v>0.20586653684929865</v>
      </c>
    </row>
    <row r="258" spans="1:11" x14ac:dyDescent="0.2">
      <c r="A258">
        <v>257</v>
      </c>
      <c r="B258">
        <f t="shared" si="30"/>
        <v>0.99999811649594572</v>
      </c>
      <c r="C258">
        <f t="shared" si="25"/>
        <v>0.47444712015873591</v>
      </c>
      <c r="D258">
        <f t="shared" si="26"/>
        <v>0.7196000000000039</v>
      </c>
      <c r="E258">
        <f t="shared" si="27"/>
        <v>0.53969999999999829</v>
      </c>
      <c r="J258">
        <f t="shared" si="28"/>
        <v>0.99960158497657636</v>
      </c>
      <c r="K258">
        <f t="shared" si="29"/>
        <v>0.2065812569661343</v>
      </c>
    </row>
    <row r="259" spans="1:11" x14ac:dyDescent="0.2">
      <c r="A259">
        <v>258</v>
      </c>
      <c r="B259">
        <f t="shared" si="30"/>
        <v>0.99999821067114847</v>
      </c>
      <c r="C259">
        <f t="shared" si="25"/>
        <v>0.47576100235833907</v>
      </c>
      <c r="D259">
        <f t="shared" si="26"/>
        <v>0.72240000000000393</v>
      </c>
      <c r="E259">
        <f t="shared" si="27"/>
        <v>0.54179999999999828</v>
      </c>
      <c r="J259">
        <f t="shared" si="28"/>
        <v>0.99961353742727899</v>
      </c>
      <c r="K259">
        <f t="shared" si="29"/>
        <v>0.20729533383486479</v>
      </c>
    </row>
    <row r="260" spans="1:11" x14ac:dyDescent="0.2">
      <c r="A260">
        <v>259</v>
      </c>
      <c r="B260">
        <f t="shared" si="30"/>
        <v>0.99999830013759106</v>
      </c>
      <c r="C260">
        <f t="shared" ref="C260:C323" si="31">C259+C$2-C259*C$2</f>
        <v>0.47707159985244324</v>
      </c>
      <c r="D260">
        <f t="shared" ref="D260:D323" si="32">D259+D$2</f>
        <v>0.72520000000000395</v>
      </c>
      <c r="E260">
        <f t="shared" ref="E260:E323" si="33">E259+E$2</f>
        <v>0.54389999999999827</v>
      </c>
      <c r="J260">
        <f t="shared" ref="J260:J301" si="34">J259+J$2-J259*J$2</f>
        <v>0.99962513130446062</v>
      </c>
      <c r="K260">
        <f t="shared" ref="K260:K323" si="35">K259+K$2-K259*K$2</f>
        <v>0.20800876803441343</v>
      </c>
    </row>
    <row r="261" spans="1:11" x14ac:dyDescent="0.2">
      <c r="A261">
        <v>260</v>
      </c>
      <c r="B261">
        <f t="shared" si="30"/>
        <v>0.99999838513071149</v>
      </c>
      <c r="C261">
        <f t="shared" si="31"/>
        <v>0.47837892085281214</v>
      </c>
      <c r="D261">
        <f t="shared" si="32"/>
        <v>0.72800000000000398</v>
      </c>
      <c r="E261">
        <f t="shared" si="33"/>
        <v>0.54599999999999826</v>
      </c>
      <c r="J261">
        <f t="shared" si="34"/>
        <v>0.99963637736532684</v>
      </c>
      <c r="K261">
        <f t="shared" si="35"/>
        <v>0.20872156014318247</v>
      </c>
    </row>
    <row r="262" spans="1:11" x14ac:dyDescent="0.2">
      <c r="A262">
        <v>261</v>
      </c>
      <c r="B262">
        <f t="shared" si="30"/>
        <v>0.99999846587417596</v>
      </c>
      <c r="C262">
        <f t="shared" si="31"/>
        <v>0.47968297355068013</v>
      </c>
      <c r="D262">
        <f t="shared" si="32"/>
        <v>0.730800000000004</v>
      </c>
      <c r="E262">
        <f t="shared" si="33"/>
        <v>0.54809999999999826</v>
      </c>
      <c r="J262">
        <f t="shared" si="34"/>
        <v>0.99964728604436692</v>
      </c>
      <c r="K262">
        <f t="shared" si="35"/>
        <v>0.20943371073905362</v>
      </c>
    </row>
    <row r="263" spans="1:11" x14ac:dyDescent="0.2">
      <c r="A263">
        <v>262</v>
      </c>
      <c r="B263">
        <f t="shared" si="30"/>
        <v>0.99999854258046705</v>
      </c>
      <c r="C263">
        <f t="shared" si="31"/>
        <v>0.48098376611680344</v>
      </c>
      <c r="D263">
        <f t="shared" si="32"/>
        <v>0.73360000000000403</v>
      </c>
      <c r="E263">
        <f t="shared" si="33"/>
        <v>0.55019999999999825</v>
      </c>
      <c r="J263">
        <f t="shared" si="34"/>
        <v>0.99965786746303587</v>
      </c>
      <c r="K263">
        <f t="shared" si="35"/>
        <v>0.21014522039938849</v>
      </c>
    </row>
    <row r="264" spans="1:11" x14ac:dyDescent="0.2">
      <c r="A264">
        <v>263</v>
      </c>
      <c r="B264">
        <f t="shared" si="30"/>
        <v>0.99999861545144364</v>
      </c>
      <c r="C264">
        <f t="shared" si="31"/>
        <v>0.48228130670151143</v>
      </c>
      <c r="D264">
        <f t="shared" si="32"/>
        <v>0.73640000000000405</v>
      </c>
      <c r="E264">
        <f t="shared" si="33"/>
        <v>0.55229999999999824</v>
      </c>
      <c r="J264">
        <f t="shared" si="34"/>
        <v>0.99966813143914479</v>
      </c>
      <c r="K264">
        <f t="shared" si="35"/>
        <v>0.21085608970102904</v>
      </c>
    </row>
    <row r="265" spans="1:11" x14ac:dyDescent="0.2">
      <c r="A265">
        <v>264</v>
      </c>
      <c r="B265">
        <f t="shared" si="30"/>
        <v>0.99999868467887143</v>
      </c>
      <c r="C265">
        <f t="shared" si="31"/>
        <v>0.48357560343475764</v>
      </c>
      <c r="D265">
        <f t="shared" si="32"/>
        <v>0.73920000000000408</v>
      </c>
      <c r="E265">
        <f t="shared" si="33"/>
        <v>0.55439999999999823</v>
      </c>
      <c r="J265">
        <f t="shared" si="34"/>
        <v>0.99967808749597031</v>
      </c>
      <c r="K265">
        <f t="shared" si="35"/>
        <v>0.21156631922029812</v>
      </c>
    </row>
    <row r="266" spans="1:11" x14ac:dyDescent="0.2">
      <c r="A266">
        <v>265</v>
      </c>
      <c r="B266">
        <f t="shared" si="30"/>
        <v>0.99999875044492781</v>
      </c>
      <c r="C266">
        <f t="shared" si="31"/>
        <v>0.48486666442617077</v>
      </c>
      <c r="D266">
        <f t="shared" si="32"/>
        <v>0.7420000000000041</v>
      </c>
      <c r="E266">
        <f t="shared" si="33"/>
        <v>0.55649999999999822</v>
      </c>
      <c r="J266">
        <f t="shared" si="34"/>
        <v>0.99968774487109124</v>
      </c>
      <c r="K266">
        <f t="shared" si="35"/>
        <v>0.21227590953299985</v>
      </c>
    </row>
    <row r="267" spans="1:11" x14ac:dyDescent="0.2">
      <c r="A267">
        <v>266</v>
      </c>
      <c r="B267">
        <f t="shared" si="30"/>
        <v>0.99999881292268133</v>
      </c>
      <c r="C267">
        <f t="shared" si="31"/>
        <v>0.48615449776510533</v>
      </c>
      <c r="D267">
        <f t="shared" si="32"/>
        <v>0.74480000000000413</v>
      </c>
      <c r="E267">
        <f t="shared" si="33"/>
        <v>0.55859999999999821</v>
      </c>
      <c r="J267">
        <f t="shared" si="34"/>
        <v>0.99969711252495852</v>
      </c>
      <c r="K267">
        <f t="shared" si="35"/>
        <v>0.21298486121442017</v>
      </c>
    </row>
    <row r="268" spans="1:11" x14ac:dyDescent="0.2">
      <c r="A268">
        <v>267</v>
      </c>
      <c r="B268">
        <f t="shared" si="30"/>
        <v>0.99999887227654727</v>
      </c>
      <c r="C268">
        <f t="shared" si="31"/>
        <v>0.48743911152069258</v>
      </c>
      <c r="D268">
        <f t="shared" si="32"/>
        <v>0.74760000000000415</v>
      </c>
      <c r="E268">
        <f t="shared" si="33"/>
        <v>0.5606999999999982</v>
      </c>
      <c r="J268">
        <f t="shared" si="34"/>
        <v>0.99970619914920977</v>
      </c>
      <c r="K268">
        <f t="shared" si="35"/>
        <v>0.2136931748393272</v>
      </c>
    </row>
    <row r="269" spans="1:11" x14ac:dyDescent="0.2">
      <c r="A269">
        <v>268</v>
      </c>
      <c r="B269">
        <f t="shared" si="30"/>
        <v>0.99999892866271978</v>
      </c>
      <c r="C269">
        <f t="shared" si="31"/>
        <v>0.48872051374189085</v>
      </c>
      <c r="D269">
        <f t="shared" si="32"/>
        <v>0.75040000000000417</v>
      </c>
      <c r="E269">
        <f t="shared" si="33"/>
        <v>0.56279999999999819</v>
      </c>
      <c r="J269">
        <f t="shared" si="34"/>
        <v>0.99971501317473355</v>
      </c>
      <c r="K269">
        <f t="shared" si="35"/>
        <v>0.21440085098197181</v>
      </c>
    </row>
    <row r="270" spans="1:11" x14ac:dyDescent="0.2">
      <c r="A270">
        <v>269</v>
      </c>
      <c r="B270">
        <f t="shared" si="30"/>
        <v>0.99999898222958383</v>
      </c>
      <c r="C270">
        <f t="shared" si="31"/>
        <v>0.48999871245753612</v>
      </c>
      <c r="D270">
        <f t="shared" si="32"/>
        <v>0.7532000000000042</v>
      </c>
      <c r="E270">
        <f t="shared" si="33"/>
        <v>0.56489999999999818</v>
      </c>
      <c r="J270">
        <f t="shared" si="34"/>
        <v>0.99972356277949148</v>
      </c>
      <c r="K270">
        <f t="shared" si="35"/>
        <v>0.21510789021608806</v>
      </c>
    </row>
    <row r="271" spans="1:11" x14ac:dyDescent="0.2">
      <c r="A271">
        <v>270</v>
      </c>
      <c r="B271">
        <f t="shared" si="30"/>
        <v>0.99999903311810467</v>
      </c>
      <c r="C271">
        <f t="shared" si="31"/>
        <v>0.49127371567639228</v>
      </c>
      <c r="D271">
        <f t="shared" si="32"/>
        <v>0.75600000000000422</v>
      </c>
      <c r="E271">
        <f t="shared" si="33"/>
        <v>0.56699999999999817</v>
      </c>
      <c r="J271">
        <f t="shared" si="34"/>
        <v>0.99973185589610669</v>
      </c>
      <c r="K271">
        <f t="shared" si="35"/>
        <v>0.21581429311489359</v>
      </c>
    </row>
    <row r="272" spans="1:11" x14ac:dyDescent="0.2">
      <c r="A272">
        <v>271</v>
      </c>
      <c r="B272">
        <f t="shared" si="30"/>
        <v>0.9999990814621994</v>
      </c>
      <c r="C272">
        <f t="shared" si="31"/>
        <v>0.49254553138720131</v>
      </c>
      <c r="D272">
        <f t="shared" si="32"/>
        <v>0.75880000000000425</v>
      </c>
      <c r="E272">
        <f t="shared" si="33"/>
        <v>0.56909999999999816</v>
      </c>
      <c r="J272">
        <f t="shared" si="34"/>
        <v>0.99973990021922343</v>
      </c>
      <c r="K272">
        <f t="shared" si="35"/>
        <v>0.21652006025109019</v>
      </c>
    </row>
    <row r="273" spans="1:11" x14ac:dyDescent="0.2">
      <c r="A273">
        <v>272</v>
      </c>
      <c r="B273">
        <f t="shared" si="30"/>
        <v>0.99999912738908936</v>
      </c>
      <c r="C273">
        <f t="shared" si="31"/>
        <v>0.49381416755873331</v>
      </c>
      <c r="D273">
        <f t="shared" si="32"/>
        <v>0.76160000000000427</v>
      </c>
      <c r="E273">
        <f t="shared" si="33"/>
        <v>0.57119999999999815</v>
      </c>
      <c r="J273">
        <f t="shared" si="34"/>
        <v>0.99974770321264661</v>
      </c>
      <c r="K273">
        <f t="shared" si="35"/>
        <v>0.21722519219686423</v>
      </c>
    </row>
    <row r="274" spans="1:11" x14ac:dyDescent="0.2">
      <c r="A274">
        <v>273</v>
      </c>
      <c r="B274">
        <f t="shared" si="30"/>
        <v>0.99999917101963498</v>
      </c>
      <c r="C274">
        <f t="shared" si="31"/>
        <v>0.49507963213983647</v>
      </c>
      <c r="D274">
        <f t="shared" si="32"/>
        <v>0.7644000000000043</v>
      </c>
      <c r="E274">
        <f t="shared" si="33"/>
        <v>0.57329999999999814</v>
      </c>
      <c r="J274">
        <f t="shared" si="34"/>
        <v>0.99975527211626714</v>
      </c>
      <c r="K274">
        <f t="shared" si="35"/>
        <v>0.21792968952388705</v>
      </c>
    </row>
    <row r="275" spans="1:11" x14ac:dyDescent="0.2">
      <c r="A275">
        <v>274</v>
      </c>
      <c r="B275">
        <f t="shared" si="30"/>
        <v>0.99999921246865331</v>
      </c>
      <c r="C275">
        <f t="shared" si="31"/>
        <v>0.49634193305948687</v>
      </c>
      <c r="D275">
        <f t="shared" si="32"/>
        <v>0.76720000000000432</v>
      </c>
      <c r="E275">
        <f t="shared" si="33"/>
        <v>0.57539999999999814</v>
      </c>
      <c r="J275">
        <f t="shared" si="34"/>
        <v>0.99976261395277899</v>
      </c>
      <c r="K275">
        <f t="shared" si="35"/>
        <v>0.21863355280331556</v>
      </c>
    </row>
    <row r="276" spans="1:11" x14ac:dyDescent="0.2">
      <c r="A276">
        <v>275</v>
      </c>
      <c r="B276">
        <f t="shared" si="30"/>
        <v>0.99999925184522054</v>
      </c>
      <c r="C276">
        <f t="shared" si="31"/>
        <v>0.49760107822683813</v>
      </c>
      <c r="D276">
        <f t="shared" si="32"/>
        <v>0.77000000000000435</v>
      </c>
      <c r="E276">
        <f t="shared" si="33"/>
        <v>0.57749999999999813</v>
      </c>
      <c r="J276">
        <f t="shared" si="34"/>
        <v>0.99976973553419557</v>
      </c>
      <c r="K276">
        <f t="shared" si="35"/>
        <v>0.21933678260579259</v>
      </c>
    </row>
    <row r="277" spans="1:11" x14ac:dyDescent="0.2">
      <c r="A277">
        <v>276</v>
      </c>
      <c r="B277">
        <f t="shared" si="30"/>
        <v>0.99999928925295956</v>
      </c>
      <c r="C277">
        <f t="shared" si="31"/>
        <v>0.49885707553127107</v>
      </c>
      <c r="D277">
        <f t="shared" si="32"/>
        <v>0.77280000000000437</v>
      </c>
      <c r="E277">
        <f t="shared" si="33"/>
        <v>0.57959999999999812</v>
      </c>
      <c r="J277">
        <f t="shared" si="34"/>
        <v>0.99977664346816963</v>
      </c>
      <c r="K277">
        <f t="shared" si="35"/>
        <v>0.22003937950144739</v>
      </c>
    </row>
    <row r="278" spans="1:11" x14ac:dyDescent="0.2">
      <c r="A278">
        <v>277</v>
      </c>
      <c r="B278">
        <f t="shared" si="30"/>
        <v>0.99999932479031151</v>
      </c>
      <c r="C278">
        <f t="shared" si="31"/>
        <v>0.50010993284244287</v>
      </c>
      <c r="D278">
        <f t="shared" si="32"/>
        <v>0.7756000000000044</v>
      </c>
      <c r="E278">
        <f t="shared" si="33"/>
        <v>0.58169999999999811</v>
      </c>
      <c r="J278">
        <f t="shared" si="34"/>
        <v>0.99978334416412462</v>
      </c>
      <c r="K278">
        <f t="shared" si="35"/>
        <v>0.22074134405989609</v>
      </c>
    </row>
    <row r="279" spans="1:11" x14ac:dyDescent="0.2">
      <c r="A279">
        <v>278</v>
      </c>
      <c r="B279">
        <f t="shared" si="30"/>
        <v>0.9999993585507958</v>
      </c>
      <c r="C279">
        <f t="shared" si="31"/>
        <v>0.50135965801033666</v>
      </c>
      <c r="D279">
        <f t="shared" si="32"/>
        <v>0.77840000000000442</v>
      </c>
      <c r="E279">
        <f t="shared" si="33"/>
        <v>0.5837999999999981</v>
      </c>
      <c r="J279">
        <f t="shared" si="34"/>
        <v>0.99978984383920089</v>
      </c>
      <c r="K279">
        <f t="shared" si="35"/>
        <v>0.22144267685024219</v>
      </c>
    </row>
    <row r="280" spans="1:11" x14ac:dyDescent="0.2">
      <c r="A280">
        <v>279</v>
      </c>
      <c r="B280">
        <f t="shared" si="30"/>
        <v>0.99999939062325605</v>
      </c>
      <c r="C280">
        <f t="shared" si="31"/>
        <v>0.50260625886531074</v>
      </c>
      <c r="D280">
        <f t="shared" si="32"/>
        <v>0.78120000000000445</v>
      </c>
      <c r="E280">
        <f t="shared" si="33"/>
        <v>0.58589999999999809</v>
      </c>
      <c r="J280">
        <f t="shared" si="34"/>
        <v>0.99979614852402476</v>
      </c>
      <c r="K280">
        <f t="shared" si="35"/>
        <v>0.22214337844107698</v>
      </c>
    </row>
    <row r="281" spans="1:11" x14ac:dyDescent="0.2">
      <c r="A281">
        <v>280</v>
      </c>
      <c r="B281">
        <f t="shared" si="30"/>
        <v>0.99999942109209328</v>
      </c>
      <c r="C281">
        <f t="shared" si="31"/>
        <v>0.50384974321814746</v>
      </c>
      <c r="D281">
        <f t="shared" si="32"/>
        <v>0.78400000000000447</v>
      </c>
      <c r="E281">
        <f t="shared" si="33"/>
        <v>0.58799999999999808</v>
      </c>
      <c r="J281">
        <f t="shared" si="34"/>
        <v>0.99980226406830408</v>
      </c>
      <c r="K281">
        <f t="shared" si="35"/>
        <v>0.22284344940048004</v>
      </c>
    </row>
    <row r="282" spans="1:11" x14ac:dyDescent="0.2">
      <c r="A282">
        <v>281</v>
      </c>
      <c r="B282">
        <f t="shared" si="30"/>
        <v>0.99999945003748869</v>
      </c>
      <c r="C282">
        <f t="shared" si="31"/>
        <v>0.50509011886010202</v>
      </c>
      <c r="D282">
        <f t="shared" si="32"/>
        <v>0.7868000000000045</v>
      </c>
      <c r="E282">
        <f t="shared" si="33"/>
        <v>0.59009999999999807</v>
      </c>
      <c r="J282">
        <f t="shared" si="34"/>
        <v>0.99980819614625482</v>
      </c>
      <c r="K282">
        <f t="shared" si="35"/>
        <v>0.22354289029601962</v>
      </c>
    </row>
    <row r="283" spans="1:11" x14ac:dyDescent="0.2">
      <c r="A283">
        <v>282</v>
      </c>
      <c r="B283">
        <f t="shared" si="30"/>
        <v>0.99999947753561425</v>
      </c>
      <c r="C283">
        <f t="shared" si="31"/>
        <v>0.50632739356295176</v>
      </c>
      <c r="D283">
        <f t="shared" si="32"/>
        <v>0.78960000000000452</v>
      </c>
      <c r="E283">
        <f t="shared" si="33"/>
        <v>0.59219999999999806</v>
      </c>
      <c r="J283">
        <f t="shared" si="34"/>
        <v>0.99981395026186726</v>
      </c>
      <c r="K283">
        <f t="shared" si="35"/>
        <v>0.22424170169475321</v>
      </c>
    </row>
    <row r="284" spans="1:11" x14ac:dyDescent="0.2">
      <c r="A284">
        <v>283</v>
      </c>
      <c r="B284">
        <f t="shared" si="30"/>
        <v>0.99999950365883361</v>
      </c>
      <c r="C284">
        <f t="shared" si="31"/>
        <v>0.50756157507904431</v>
      </c>
      <c r="D284">
        <f t="shared" si="32"/>
        <v>0.79240000000000455</v>
      </c>
      <c r="E284">
        <f t="shared" si="33"/>
        <v>0.59429999999999805</v>
      </c>
      <c r="J284">
        <f t="shared" si="34"/>
        <v>0.99981953175401128</v>
      </c>
      <c r="K284">
        <f t="shared" si="35"/>
        <v>0.22493988416322794</v>
      </c>
    </row>
    <row r="285" spans="1:11" x14ac:dyDescent="0.2">
      <c r="A285">
        <v>284</v>
      </c>
      <c r="B285">
        <f t="shared" si="30"/>
        <v>0.99999952847589202</v>
      </c>
      <c r="C285">
        <f t="shared" si="31"/>
        <v>0.50879267114134663</v>
      </c>
      <c r="D285">
        <f t="shared" si="32"/>
        <v>0.79520000000000457</v>
      </c>
      <c r="E285">
        <f t="shared" si="33"/>
        <v>0.59639999999999804</v>
      </c>
      <c r="J285">
        <f t="shared" si="34"/>
        <v>0.99982494580139092</v>
      </c>
      <c r="K285">
        <f t="shared" si="35"/>
        <v>0.22563743826748103</v>
      </c>
    </row>
    <row r="286" spans="1:11" x14ac:dyDescent="0.2">
      <c r="A286">
        <v>285</v>
      </c>
      <c r="B286">
        <f t="shared" si="30"/>
        <v>0.99999955205209745</v>
      </c>
      <c r="C286">
        <f t="shared" si="31"/>
        <v>0.51002068946349322</v>
      </c>
      <c r="D286">
        <f t="shared" si="32"/>
        <v>0.79800000000000459</v>
      </c>
      <c r="E286">
        <f t="shared" si="33"/>
        <v>0.59849999999999803</v>
      </c>
      <c r="J286">
        <f t="shared" si="34"/>
        <v>0.99983019742734913</v>
      </c>
      <c r="K286">
        <f t="shared" si="35"/>
        <v>0.22633436457304032</v>
      </c>
    </row>
    <row r="287" spans="1:11" x14ac:dyDescent="0.2">
      <c r="A287">
        <v>286</v>
      </c>
      <c r="B287">
        <f t="shared" si="30"/>
        <v>0.99999957444949261</v>
      </c>
      <c r="C287">
        <f t="shared" si="31"/>
        <v>0.51124563773983445</v>
      </c>
      <c r="D287">
        <f t="shared" si="32"/>
        <v>0.80080000000000462</v>
      </c>
      <c r="E287">
        <f t="shared" si="33"/>
        <v>0.60059999999999802</v>
      </c>
      <c r="J287">
        <f t="shared" si="34"/>
        <v>0.99983529150452866</v>
      </c>
      <c r="K287">
        <f t="shared" si="35"/>
        <v>0.22703066364492461</v>
      </c>
    </row>
    <row r="288" spans="1:11" x14ac:dyDescent="0.2">
      <c r="A288">
        <v>287</v>
      </c>
      <c r="B288">
        <f t="shared" si="30"/>
        <v>0.99999959572701791</v>
      </c>
      <c r="C288">
        <f t="shared" si="31"/>
        <v>0.51246752364548476</v>
      </c>
      <c r="D288">
        <f t="shared" si="32"/>
        <v>0.80360000000000464</v>
      </c>
      <c r="E288">
        <f t="shared" si="33"/>
        <v>0.60269999999999802</v>
      </c>
      <c r="J288">
        <f t="shared" si="34"/>
        <v>0.99984023275939271</v>
      </c>
      <c r="K288">
        <f t="shared" si="35"/>
        <v>0.2277263360476442</v>
      </c>
    </row>
    <row r="289" spans="1:11" x14ac:dyDescent="0.2">
      <c r="A289">
        <v>288</v>
      </c>
      <c r="B289">
        <f t="shared" si="30"/>
        <v>0.999999615940667</v>
      </c>
      <c r="C289">
        <f t="shared" si="31"/>
        <v>0.51368635483637104</v>
      </c>
      <c r="D289">
        <f t="shared" si="32"/>
        <v>0.80640000000000467</v>
      </c>
      <c r="E289">
        <f t="shared" si="33"/>
        <v>0.60479999999999801</v>
      </c>
      <c r="J289">
        <f t="shared" si="34"/>
        <v>0.99984502577661094</v>
      </c>
      <c r="K289">
        <f t="shared" si="35"/>
        <v>0.22842138234520132</v>
      </c>
    </row>
    <row r="290" spans="1:11" x14ac:dyDescent="0.2">
      <c r="A290">
        <v>289</v>
      </c>
      <c r="B290">
        <f t="shared" si="30"/>
        <v>0.99999963514363366</v>
      </c>
      <c r="C290">
        <f t="shared" si="31"/>
        <v>0.51490213894928005</v>
      </c>
      <c r="D290">
        <f t="shared" si="32"/>
        <v>0.80920000000000469</v>
      </c>
      <c r="E290">
        <f t="shared" si="33"/>
        <v>0.606899999999998</v>
      </c>
      <c r="J290">
        <f t="shared" si="34"/>
        <v>0.99984967500331268</v>
      </c>
      <c r="K290">
        <f t="shared" si="35"/>
        <v>0.22911580310109064</v>
      </c>
    </row>
    <row r="291" spans="1:11" x14ac:dyDescent="0.2">
      <c r="A291">
        <v>290</v>
      </c>
      <c r="B291">
        <f t="shared" si="30"/>
        <v>0.99999965338645191</v>
      </c>
      <c r="C291">
        <f t="shared" si="31"/>
        <v>0.51611488360190683</v>
      </c>
      <c r="D291">
        <f t="shared" si="32"/>
        <v>0.81200000000000472</v>
      </c>
      <c r="E291">
        <f t="shared" si="33"/>
        <v>0.60899999999999799</v>
      </c>
      <c r="J291">
        <f t="shared" si="34"/>
        <v>0.99985418475321319</v>
      </c>
      <c r="K291">
        <f t="shared" si="35"/>
        <v>0.22980959887829969</v>
      </c>
    </row>
    <row r="292" spans="1:11" x14ac:dyDescent="0.2">
      <c r="A292">
        <v>291</v>
      </c>
      <c r="B292">
        <f t="shared" si="30"/>
        <v>0.99999967071712936</v>
      </c>
      <c r="C292">
        <f t="shared" si="31"/>
        <v>0.51732459639290196</v>
      </c>
      <c r="D292">
        <f t="shared" si="32"/>
        <v>0.81480000000000474</v>
      </c>
      <c r="E292">
        <f t="shared" si="33"/>
        <v>0.61109999999999798</v>
      </c>
      <c r="J292">
        <f t="shared" si="34"/>
        <v>0.99985855921061684</v>
      </c>
      <c r="K292">
        <f t="shared" si="35"/>
        <v>0.23050277023930923</v>
      </c>
    </row>
    <row r="293" spans="1:11" x14ac:dyDescent="0.2">
      <c r="A293">
        <v>292</v>
      </c>
      <c r="B293">
        <f t="shared" si="30"/>
        <v>0.99999968718127286</v>
      </c>
      <c r="C293">
        <f t="shared" si="31"/>
        <v>0.51853128490191969</v>
      </c>
      <c r="D293">
        <f t="shared" si="32"/>
        <v>0.81760000000000477</v>
      </c>
      <c r="E293">
        <f t="shared" si="33"/>
        <v>0.61319999999999797</v>
      </c>
      <c r="J293">
        <f t="shared" si="34"/>
        <v>0.99986280243429837</v>
      </c>
      <c r="K293">
        <f t="shared" si="35"/>
        <v>0.23119531774609386</v>
      </c>
    </row>
    <row r="294" spans="1:11" x14ac:dyDescent="0.2">
      <c r="A294">
        <v>293</v>
      </c>
      <c r="B294">
        <f t="shared" ref="B294:C357" si="36">B293+B$2-B293*B$2</f>
        <v>0.99999970282220929</v>
      </c>
      <c r="C294">
        <f t="shared" si="31"/>
        <v>0.51973495668966485</v>
      </c>
      <c r="D294">
        <f t="shared" si="32"/>
        <v>0.82040000000000479</v>
      </c>
      <c r="E294">
        <f t="shared" si="33"/>
        <v>0.61529999999999796</v>
      </c>
      <c r="J294">
        <f t="shared" si="34"/>
        <v>0.9998669183612694</v>
      </c>
      <c r="K294">
        <f t="shared" si="35"/>
        <v>0.23188724196012239</v>
      </c>
    </row>
    <row r="295" spans="1:11" x14ac:dyDescent="0.2">
      <c r="A295">
        <v>294</v>
      </c>
      <c r="B295">
        <f t="shared" si="36"/>
        <v>0.99999971768109874</v>
      </c>
      <c r="C295">
        <f t="shared" si="31"/>
        <v>0.52093561929794063</v>
      </c>
      <c r="D295">
        <f t="shared" si="32"/>
        <v>0.82320000000000482</v>
      </c>
      <c r="E295">
        <f t="shared" si="33"/>
        <v>0.61739999999999795</v>
      </c>
      <c r="J295">
        <f t="shared" si="34"/>
        <v>0.99987091081043133</v>
      </c>
      <c r="K295">
        <f t="shared" si="35"/>
        <v>0.23257854344235829</v>
      </c>
    </row>
    <row r="296" spans="1:11" x14ac:dyDescent="0.2">
      <c r="A296">
        <v>295</v>
      </c>
      <c r="B296">
        <f t="shared" si="36"/>
        <v>0.99999973179704371</v>
      </c>
      <c r="C296">
        <f t="shared" si="31"/>
        <v>0.52213328024969574</v>
      </c>
      <c r="D296">
        <f t="shared" si="32"/>
        <v>0.82600000000000484</v>
      </c>
      <c r="E296">
        <f t="shared" si="33"/>
        <v>0.61949999999999794</v>
      </c>
      <c r="J296">
        <f t="shared" si="34"/>
        <v>0.99987478348611847</v>
      </c>
      <c r="K296">
        <f t="shared" si="35"/>
        <v>0.23326922275326017</v>
      </c>
    </row>
    <row r="297" spans="1:11" x14ac:dyDescent="0.2">
      <c r="A297">
        <v>296</v>
      </c>
      <c r="B297">
        <f t="shared" si="36"/>
        <v>0.99999974520719159</v>
      </c>
      <c r="C297">
        <f t="shared" si="31"/>
        <v>0.52332794704907148</v>
      </c>
      <c r="D297">
        <f t="shared" si="32"/>
        <v>0.82880000000000487</v>
      </c>
      <c r="E297">
        <f t="shared" si="33"/>
        <v>0.62159999999999793</v>
      </c>
      <c r="J297">
        <f t="shared" si="34"/>
        <v>0.99987853998153486</v>
      </c>
      <c r="K297">
        <f t="shared" si="35"/>
        <v>0.23395928045278225</v>
      </c>
    </row>
    <row r="298" spans="1:11" x14ac:dyDescent="0.2">
      <c r="A298">
        <v>297</v>
      </c>
      <c r="B298">
        <f t="shared" si="36"/>
        <v>0.99999975794683205</v>
      </c>
      <c r="C298">
        <f t="shared" si="31"/>
        <v>0.52451962718144873</v>
      </c>
      <c r="D298">
        <f t="shared" si="32"/>
        <v>0.83160000000000489</v>
      </c>
      <c r="E298">
        <f t="shared" si="33"/>
        <v>0.62369999999999792</v>
      </c>
      <c r="J298">
        <f t="shared" si="34"/>
        <v>0.99988218378208882</v>
      </c>
      <c r="K298">
        <f t="shared" si="35"/>
        <v>0.23464871710037474</v>
      </c>
    </row>
    <row r="299" spans="1:11" x14ac:dyDescent="0.2">
      <c r="A299">
        <v>298</v>
      </c>
      <c r="B299">
        <f t="shared" si="36"/>
        <v>0.99999977004949048</v>
      </c>
      <c r="C299">
        <f t="shared" si="31"/>
        <v>0.5257083281134951</v>
      </c>
      <c r="D299">
        <f t="shared" si="32"/>
        <v>0.83440000000000492</v>
      </c>
      <c r="E299">
        <f t="shared" si="33"/>
        <v>0.62579999999999791</v>
      </c>
      <c r="J299">
        <f t="shared" si="34"/>
        <v>0.99988571826862616</v>
      </c>
      <c r="K299">
        <f t="shared" si="35"/>
        <v>0.23533753325498441</v>
      </c>
    </row>
    <row r="300" spans="1:11" x14ac:dyDescent="0.2">
      <c r="A300">
        <v>299</v>
      </c>
      <c r="B300">
        <f t="shared" si="36"/>
        <v>0.99999978154701596</v>
      </c>
      <c r="C300">
        <f t="shared" si="31"/>
        <v>0.52689405729321126</v>
      </c>
      <c r="D300">
        <f t="shared" si="32"/>
        <v>0.83720000000000494</v>
      </c>
      <c r="E300">
        <f t="shared" si="33"/>
        <v>0.6278999999999979</v>
      </c>
      <c r="J300">
        <f t="shared" si="34"/>
        <v>0.99988914672056728</v>
      </c>
      <c r="K300">
        <f t="shared" si="35"/>
        <v>0.23602572947505493</v>
      </c>
    </row>
    <row r="301" spans="1:11" x14ac:dyDescent="0.2">
      <c r="A301">
        <v>300</v>
      </c>
      <c r="B301">
        <f t="shared" si="36"/>
        <v>0.99999979246966508</v>
      </c>
      <c r="C301">
        <f t="shared" si="31"/>
        <v>0.5280768221499782</v>
      </c>
      <c r="D301">
        <f t="shared" si="32"/>
        <v>0.84000000000000496</v>
      </c>
      <c r="E301">
        <f t="shared" si="33"/>
        <v>0.6299999999999979</v>
      </c>
      <c r="J301">
        <f t="shared" si="34"/>
        <v>0.99989247231895029</v>
      </c>
      <c r="K301">
        <f t="shared" si="35"/>
        <v>0.23671330631852738</v>
      </c>
    </row>
    <row r="302" spans="1:11" x14ac:dyDescent="0.2">
      <c r="A302">
        <v>301</v>
      </c>
      <c r="B302">
        <f t="shared" si="36"/>
        <v>0.99999980284618184</v>
      </c>
      <c r="C302">
        <f t="shared" si="31"/>
        <v>0.52925663009460322</v>
      </c>
      <c r="D302">
        <f t="shared" si="32"/>
        <v>0.84280000000000499</v>
      </c>
      <c r="E302">
        <f t="shared" si="33"/>
        <v>0.63209999999999789</v>
      </c>
      <c r="J302">
        <f>J301+J$2-J301*J$2</f>
        <v>0.99989569814938173</v>
      </c>
      <c r="K302">
        <f t="shared" si="35"/>
        <v>0.23740026434284073</v>
      </c>
    </row>
    <row r="303" spans="1:11" x14ac:dyDescent="0.2">
      <c r="A303">
        <v>302</v>
      </c>
      <c r="B303">
        <f t="shared" si="36"/>
        <v>0.99999981270387284</v>
      </c>
      <c r="C303">
        <f t="shared" si="31"/>
        <v>0.53043348851936667</v>
      </c>
      <c r="D303">
        <f t="shared" si="32"/>
        <v>0.84560000000000501</v>
      </c>
      <c r="E303">
        <f t="shared" si="33"/>
        <v>0.63419999999999788</v>
      </c>
      <c r="J303">
        <f t="shared" ref="J303:J366" si="37">J302+J$2-J302*J$2</f>
        <v>0.9998988272049002</v>
      </c>
      <c r="K303">
        <f t="shared" si="35"/>
        <v>0.23808660410493218</v>
      </c>
    </row>
    <row r="304" spans="1:11" x14ac:dyDescent="0.2">
      <c r="A304">
        <v>303</v>
      </c>
      <c r="B304">
        <f t="shared" si="36"/>
        <v>0.9999998220686791</v>
      </c>
      <c r="C304">
        <f t="shared" si="31"/>
        <v>0.53160740479806823</v>
      </c>
      <c r="D304">
        <f t="shared" si="32"/>
        <v>0.84840000000000504</v>
      </c>
      <c r="E304">
        <f t="shared" si="33"/>
        <v>0.63629999999999787</v>
      </c>
      <c r="J304">
        <f t="shared" si="37"/>
        <v>0.99990186238875312</v>
      </c>
      <c r="K304">
        <f t="shared" si="35"/>
        <v>0.23877232616123775</v>
      </c>
    </row>
    <row r="305" spans="1:15" x14ac:dyDescent="0.2">
      <c r="A305">
        <v>304</v>
      </c>
      <c r="B305">
        <f t="shared" si="36"/>
        <v>0.99999983096524503</v>
      </c>
      <c r="C305">
        <f t="shared" si="31"/>
        <v>0.53277838628607299</v>
      </c>
      <c r="D305">
        <f t="shared" si="32"/>
        <v>0.85120000000000506</v>
      </c>
      <c r="E305">
        <f t="shared" si="33"/>
        <v>0.63839999999999786</v>
      </c>
      <c r="J305">
        <f t="shared" si="37"/>
        <v>0.99990480651709046</v>
      </c>
      <c r="K305">
        <f t="shared" si="35"/>
        <v>0.23945743106769266</v>
      </c>
    </row>
    <row r="306" spans="1:15" x14ac:dyDescent="0.2">
      <c r="A306">
        <v>305</v>
      </c>
      <c r="B306">
        <f t="shared" si="36"/>
        <v>0.99999983941698267</v>
      </c>
      <c r="C306">
        <f t="shared" si="31"/>
        <v>0.53394644032035776</v>
      </c>
      <c r="D306">
        <f t="shared" si="32"/>
        <v>0.85400000000000509</v>
      </c>
      <c r="E306">
        <f t="shared" si="33"/>
        <v>0.64049999999999785</v>
      </c>
      <c r="J306">
        <f t="shared" si="37"/>
        <v>0.99990766232157768</v>
      </c>
      <c r="K306">
        <f t="shared" si="35"/>
        <v>0.24014191937973176</v>
      </c>
    </row>
    <row r="307" spans="1:15" x14ac:dyDescent="0.2">
      <c r="A307">
        <v>306</v>
      </c>
      <c r="B307">
        <f t="shared" si="36"/>
        <v>0.99999984744613357</v>
      </c>
      <c r="C307">
        <f t="shared" si="31"/>
        <v>0.5351115742195568</v>
      </c>
      <c r="D307">
        <f t="shared" si="32"/>
        <v>0.85680000000000511</v>
      </c>
      <c r="E307">
        <f t="shared" si="33"/>
        <v>0.64259999999999784</v>
      </c>
      <c r="J307">
        <f t="shared" si="37"/>
        <v>0.99991043245193034</v>
      </c>
      <c r="K307">
        <f t="shared" si="35"/>
        <v>0.24082579165229001</v>
      </c>
    </row>
    <row r="308" spans="1:15" x14ac:dyDescent="0.2">
      <c r="A308">
        <v>307</v>
      </c>
      <c r="B308">
        <f t="shared" si="36"/>
        <v>0.99999985507382694</v>
      </c>
      <c r="C308">
        <f t="shared" si="31"/>
        <v>0.53627379528400787</v>
      </c>
      <c r="D308">
        <f t="shared" si="32"/>
        <v>0.85960000000000514</v>
      </c>
      <c r="E308">
        <f t="shared" si="33"/>
        <v>0.64469999999999783</v>
      </c>
      <c r="J308">
        <f t="shared" si="37"/>
        <v>0.99991311947837247</v>
      </c>
      <c r="K308">
        <f t="shared" si="35"/>
        <v>0.24150904843980298</v>
      </c>
    </row>
    <row r="309" spans="1:15" x14ac:dyDescent="0.2">
      <c r="A309">
        <v>308</v>
      </c>
      <c r="B309">
        <f t="shared" si="36"/>
        <v>0.9999998623201356</v>
      </c>
      <c r="C309">
        <f t="shared" si="31"/>
        <v>0.53743311079579781</v>
      </c>
      <c r="D309">
        <f t="shared" si="32"/>
        <v>0.86240000000000516</v>
      </c>
      <c r="E309">
        <f t="shared" si="33"/>
        <v>0.64679999999999782</v>
      </c>
      <c r="J309">
        <f t="shared" si="37"/>
        <v>0.99991572589402122</v>
      </c>
      <c r="K309">
        <f t="shared" si="35"/>
        <v>0.24219169029620716</v>
      </c>
    </row>
    <row r="310" spans="1:15" x14ac:dyDescent="0.2">
      <c r="A310">
        <v>309</v>
      </c>
      <c r="B310">
        <f t="shared" si="36"/>
        <v>0.99999986920412887</v>
      </c>
      <c r="C310">
        <f t="shared" si="31"/>
        <v>0.53858952801880822</v>
      </c>
      <c r="D310">
        <f t="shared" si="32"/>
        <v>0.86520000000000519</v>
      </c>
      <c r="E310">
        <f t="shared" si="33"/>
        <v>0.64889999999999781</v>
      </c>
      <c r="J310">
        <f t="shared" si="37"/>
        <v>0.99991825411720059</v>
      </c>
      <c r="K310">
        <f t="shared" si="35"/>
        <v>0.24287371777494057</v>
      </c>
      <c r="L310" s="122"/>
      <c r="M310" s="122"/>
      <c r="N310" s="122"/>
      <c r="O310" s="122"/>
    </row>
    <row r="311" spans="1:15" x14ac:dyDescent="0.2">
      <c r="A311">
        <v>310</v>
      </c>
      <c r="B311">
        <f t="shared" si="36"/>
        <v>0.99999987574392235</v>
      </c>
      <c r="C311">
        <f t="shared" si="31"/>
        <v>0.53974305419876112</v>
      </c>
      <c r="D311">
        <f t="shared" si="32"/>
        <v>0.86800000000000521</v>
      </c>
      <c r="E311">
        <f t="shared" si="33"/>
        <v>0.6509999999999978</v>
      </c>
      <c r="J311">
        <f t="shared" si="37"/>
        <v>0.99992070649368447</v>
      </c>
      <c r="K311">
        <f t="shared" si="35"/>
        <v>0.24355513142894314</v>
      </c>
      <c r="N311" s="122"/>
      <c r="O311" s="122"/>
    </row>
    <row r="312" spans="1:15" x14ac:dyDescent="0.2">
      <c r="A312">
        <v>311</v>
      </c>
      <c r="B312">
        <f t="shared" si="36"/>
        <v>0.99999988195672629</v>
      </c>
      <c r="C312">
        <f t="shared" si="31"/>
        <v>0.54089369656326414</v>
      </c>
      <c r="D312">
        <f t="shared" si="32"/>
        <v>0.87080000000000524</v>
      </c>
      <c r="E312">
        <f t="shared" si="33"/>
        <v>0.65309999999999779</v>
      </c>
      <c r="J312">
        <f t="shared" si="37"/>
        <v>0.99992308529887386</v>
      </c>
      <c r="K312">
        <f t="shared" si="35"/>
        <v>0.24423593181065711</v>
      </c>
      <c r="N312" s="122"/>
      <c r="O312" s="122"/>
    </row>
    <row r="313" spans="1:15" x14ac:dyDescent="0.2">
      <c r="A313">
        <v>312</v>
      </c>
      <c r="B313">
        <f t="shared" si="36"/>
        <v>0.99999988785888994</v>
      </c>
      <c r="C313">
        <f t="shared" si="31"/>
        <v>0.5420414623218559</v>
      </c>
      <c r="D313">
        <f t="shared" si="32"/>
        <v>0.87360000000000526</v>
      </c>
      <c r="E313">
        <f t="shared" si="33"/>
        <v>0.65519999999999778</v>
      </c>
      <c r="J313">
        <f t="shared" si="37"/>
        <v>0.99992539273990766</v>
      </c>
      <c r="K313">
        <f t="shared" si="35"/>
        <v>0.24491611947202754</v>
      </c>
      <c r="N313" s="122"/>
      <c r="O313" s="122"/>
    </row>
    <row r="314" spans="1:15" x14ac:dyDescent="0.2">
      <c r="A314">
        <v>313</v>
      </c>
      <c r="B314">
        <f t="shared" si="36"/>
        <v>0.99999989346594531</v>
      </c>
      <c r="C314">
        <f t="shared" si="31"/>
        <v>0.54318635866605125</v>
      </c>
      <c r="D314">
        <f t="shared" si="32"/>
        <v>0.87640000000000529</v>
      </c>
      <c r="E314">
        <f t="shared" si="33"/>
        <v>0.65729999999999777</v>
      </c>
      <c r="J314">
        <f t="shared" si="37"/>
        <v>0.99992763095771042</v>
      </c>
      <c r="K314">
        <f t="shared" si="35"/>
        <v>0.24559569496450273</v>
      </c>
      <c r="N314" s="122"/>
      <c r="O314" s="122"/>
    </row>
    <row r="315" spans="1:15" x14ac:dyDescent="0.2">
      <c r="A315">
        <v>314</v>
      </c>
      <c r="B315">
        <f t="shared" si="36"/>
        <v>0.99999989879264806</v>
      </c>
      <c r="C315">
        <f t="shared" si="31"/>
        <v>0.54432839276938605</v>
      </c>
      <c r="D315">
        <f t="shared" si="32"/>
        <v>0.87920000000000531</v>
      </c>
      <c r="E315">
        <f t="shared" si="33"/>
        <v>0.65939999999999777</v>
      </c>
      <c r="J315">
        <f t="shared" si="37"/>
        <v>0.99992980202897908</v>
      </c>
      <c r="K315">
        <f t="shared" si="35"/>
        <v>0.24627465883903468</v>
      </c>
      <c r="N315" s="122"/>
      <c r="O315" s="122"/>
    </row>
    <row r="316" spans="1:15" x14ac:dyDescent="0.2">
      <c r="A316">
        <v>315</v>
      </c>
      <c r="B316">
        <f t="shared" si="36"/>
        <v>0.99999990385301563</v>
      </c>
      <c r="C316">
        <f t="shared" si="31"/>
        <v>0.54546757178746252</v>
      </c>
      <c r="D316">
        <f t="shared" si="32"/>
        <v>0.88200000000000534</v>
      </c>
      <c r="E316">
        <f t="shared" si="33"/>
        <v>0.66149999999999776</v>
      </c>
      <c r="J316">
        <f t="shared" si="37"/>
        <v>0.99993190796810971</v>
      </c>
      <c r="K316">
        <f t="shared" si="35"/>
        <v>0.24695301164607955</v>
      </c>
      <c r="N316" s="122"/>
      <c r="O316" s="122"/>
    </row>
    <row r="317" spans="1:15" x14ac:dyDescent="0.2">
      <c r="A317">
        <v>316</v>
      </c>
      <c r="B317">
        <f t="shared" si="36"/>
        <v>0.99999990866036492</v>
      </c>
      <c r="C317">
        <f t="shared" si="31"/>
        <v>0.54660390285799376</v>
      </c>
      <c r="D317">
        <f t="shared" si="32"/>
        <v>0.88480000000000536</v>
      </c>
      <c r="E317">
        <f t="shared" si="33"/>
        <v>0.66359999999999775</v>
      </c>
      <c r="J317">
        <f t="shared" si="37"/>
        <v>0.99993395072906643</v>
      </c>
      <c r="K317">
        <f t="shared" si="35"/>
        <v>0.24763075393559808</v>
      </c>
      <c r="N317" s="122"/>
      <c r="O317" s="122"/>
    </row>
    <row r="318" spans="1:15" x14ac:dyDescent="0.2">
      <c r="A318">
        <v>317</v>
      </c>
      <c r="B318">
        <f t="shared" si="36"/>
        <v>0.9999999132273466</v>
      </c>
      <c r="C318">
        <f t="shared" si="31"/>
        <v>0.54773739310084868</v>
      </c>
      <c r="D318">
        <f t="shared" si="32"/>
        <v>0.88760000000000538</v>
      </c>
      <c r="E318">
        <f t="shared" si="33"/>
        <v>0.66569999999999774</v>
      </c>
      <c r="J318">
        <f t="shared" si="37"/>
        <v>0.99993593220719434</v>
      </c>
      <c r="K318">
        <f t="shared" si="35"/>
        <v>0.24830788625705605</v>
      </c>
      <c r="N318" s="122"/>
      <c r="O318" s="122"/>
    </row>
    <row r="319" spans="1:15" x14ac:dyDescent="0.2">
      <c r="A319">
        <v>318</v>
      </c>
      <c r="B319">
        <f t="shared" si="36"/>
        <v>0.99999991756597917</v>
      </c>
      <c r="C319">
        <f t="shared" si="31"/>
        <v>0.54886804961809654</v>
      </c>
      <c r="D319">
        <f t="shared" si="32"/>
        <v>0.89040000000000541</v>
      </c>
      <c r="E319">
        <f t="shared" si="33"/>
        <v>0.66779999999999773</v>
      </c>
      <c r="J319">
        <f t="shared" si="37"/>
        <v>0.99993785424097859</v>
      </c>
      <c r="K319">
        <f t="shared" si="35"/>
        <v>0.24898440915942471</v>
      </c>
      <c r="N319" s="122"/>
      <c r="O319" s="122"/>
    </row>
    <row r="320" spans="1:15" x14ac:dyDescent="0.2">
      <c r="A320">
        <v>319</v>
      </c>
      <c r="B320">
        <f t="shared" si="36"/>
        <v>0.99999992168768015</v>
      </c>
      <c r="C320">
        <f t="shared" si="31"/>
        <v>0.54999587949405127</v>
      </c>
      <c r="D320">
        <f t="shared" si="32"/>
        <v>0.89320000000000543</v>
      </c>
      <c r="E320">
        <f t="shared" si="33"/>
        <v>0.66989999999999772</v>
      </c>
      <c r="J320">
        <f t="shared" si="37"/>
        <v>0.9999397186137492</v>
      </c>
      <c r="K320">
        <f t="shared" si="35"/>
        <v>0.24966032319118125</v>
      </c>
      <c r="N320" s="122"/>
      <c r="O320" s="122"/>
    </row>
    <row r="321" spans="1:15" x14ac:dyDescent="0.2">
      <c r="A321">
        <v>320</v>
      </c>
      <c r="B321">
        <f t="shared" si="36"/>
        <v>0.99999992560329609</v>
      </c>
      <c r="C321">
        <f t="shared" si="31"/>
        <v>0.55112088979531604</v>
      </c>
      <c r="D321">
        <f t="shared" si="32"/>
        <v>0.89600000000000546</v>
      </c>
      <c r="E321">
        <f t="shared" si="33"/>
        <v>0.67199999999999771</v>
      </c>
      <c r="J321">
        <f t="shared" si="37"/>
        <v>0.99994152705533668</v>
      </c>
      <c r="K321">
        <f t="shared" si="35"/>
        <v>0.25033562890030919</v>
      </c>
      <c r="N321" s="122"/>
      <c r="O321" s="122"/>
    </row>
    <row r="322" spans="1:15" x14ac:dyDescent="0.2">
      <c r="A322">
        <v>321</v>
      </c>
      <c r="B322">
        <f t="shared" si="36"/>
        <v>0.99999992932313131</v>
      </c>
      <c r="C322">
        <f t="shared" si="31"/>
        <v>0.55224308757082774</v>
      </c>
      <c r="D322">
        <f t="shared" si="32"/>
        <v>0.89880000000000548</v>
      </c>
      <c r="E322">
        <f t="shared" si="33"/>
        <v>0.6740999999999977</v>
      </c>
      <c r="J322">
        <f t="shared" si="37"/>
        <v>0.9999432812436766</v>
      </c>
      <c r="K322">
        <f t="shared" si="35"/>
        <v>0.25101032683429891</v>
      </c>
      <c r="N322" s="122"/>
      <c r="O322" s="122"/>
    </row>
    <row r="323" spans="1:15" x14ac:dyDescent="0.2">
      <c r="A323">
        <v>322</v>
      </c>
      <c r="B323">
        <f t="shared" si="36"/>
        <v>0.99999993285697464</v>
      </c>
      <c r="C323">
        <f t="shared" si="31"/>
        <v>0.55336247985190057</v>
      </c>
      <c r="D323">
        <f t="shared" si="32"/>
        <v>0.90160000000000551</v>
      </c>
      <c r="E323">
        <f t="shared" si="33"/>
        <v>0.67619999999999769</v>
      </c>
      <c r="J323">
        <f t="shared" si="37"/>
        <v>0.99994498280636634</v>
      </c>
      <c r="K323">
        <f t="shared" si="35"/>
        <v>0.25168441754014803</v>
      </c>
      <c r="N323" s="122"/>
      <c r="O323" s="122"/>
    </row>
    <row r="324" spans="1:15" x14ac:dyDescent="0.2">
      <c r="A324">
        <v>323</v>
      </c>
      <c r="B324">
        <f t="shared" si="36"/>
        <v>0.99999993621412597</v>
      </c>
      <c r="C324">
        <f t="shared" si="36"/>
        <v>0.55447907365227078</v>
      </c>
      <c r="D324">
        <f t="shared" ref="D324:D358" si="38">D323+D$2</f>
        <v>0.90440000000000553</v>
      </c>
      <c r="E324">
        <f t="shared" ref="E324:E358" si="39">E323+E$2</f>
        <v>0.67829999999999768</v>
      </c>
      <c r="J324">
        <f t="shared" si="37"/>
        <v>0.99994663332217526</v>
      </c>
      <c r="K324">
        <f t="shared" ref="K324:K380" si="40">K323+K$2-K323*K$2</f>
        <v>0.25235790156436189</v>
      </c>
      <c r="N324" s="122"/>
      <c r="O324" s="122"/>
    </row>
    <row r="325" spans="1:15" x14ac:dyDescent="0.2">
      <c r="A325">
        <v>324</v>
      </c>
      <c r="B325">
        <f t="shared" si="36"/>
        <v>0.99999993940341958</v>
      </c>
      <c r="C325">
        <f t="shared" si="36"/>
        <v>0.55559287596814</v>
      </c>
      <c r="D325">
        <f t="shared" si="38"/>
        <v>0.90720000000000556</v>
      </c>
      <c r="E325">
        <f t="shared" si="39"/>
        <v>0.68039999999999767</v>
      </c>
      <c r="J325">
        <f t="shared" si="37"/>
        <v>0.9999482343225099</v>
      </c>
      <c r="K325">
        <f t="shared" si="40"/>
        <v>0.25303077945295399</v>
      </c>
      <c r="N325" s="122"/>
      <c r="O325" s="122"/>
    </row>
    <row r="326" spans="1:15" x14ac:dyDescent="0.2">
      <c r="A326">
        <v>325</v>
      </c>
      <c r="B326">
        <f t="shared" si="36"/>
        <v>0.99999994243324863</v>
      </c>
      <c r="C326">
        <f t="shared" si="36"/>
        <v>0.55670389377821961</v>
      </c>
      <c r="D326">
        <f t="shared" si="38"/>
        <v>0.91000000000000558</v>
      </c>
      <c r="E326">
        <f t="shared" si="39"/>
        <v>0.68249999999999766</v>
      </c>
      <c r="J326">
        <f t="shared" si="37"/>
        <v>0.99994978729283468</v>
      </c>
      <c r="K326">
        <f t="shared" si="40"/>
        <v>0.25370305175144636</v>
      </c>
      <c r="N326" s="122"/>
      <c r="O326" s="122"/>
    </row>
    <row r="327" spans="1:15" x14ac:dyDescent="0.2">
      <c r="A327">
        <v>326</v>
      </c>
      <c r="B327">
        <f t="shared" si="36"/>
        <v>0.9999999453115862</v>
      </c>
      <c r="C327">
        <f t="shared" si="36"/>
        <v>0.55781213404377405</v>
      </c>
      <c r="D327">
        <f t="shared" si="38"/>
        <v>0.91280000000000561</v>
      </c>
      <c r="E327">
        <f t="shared" si="39"/>
        <v>0.68459999999999765</v>
      </c>
      <c r="J327">
        <f t="shared" si="37"/>
        <v>0.99995129367404967</v>
      </c>
      <c r="K327">
        <f t="shared" si="40"/>
        <v>0.25437471900487008</v>
      </c>
      <c r="L327" s="122"/>
      <c r="M327" s="122"/>
      <c r="N327" s="122"/>
      <c r="O327" s="122"/>
    </row>
    <row r="328" spans="1:15" x14ac:dyDescent="0.2">
      <c r="A328">
        <v>327</v>
      </c>
      <c r="B328">
        <f t="shared" si="36"/>
        <v>0.99999994804600689</v>
      </c>
      <c r="C328">
        <f t="shared" si="36"/>
        <v>0.55891760370866461</v>
      </c>
      <c r="D328">
        <f t="shared" si="38"/>
        <v>0.91560000000000563</v>
      </c>
      <c r="E328">
        <f t="shared" si="39"/>
        <v>0.68669999999999765</v>
      </c>
      <c r="J328">
        <f t="shared" si="37"/>
        <v>0.99995275486382806</v>
      </c>
      <c r="K328">
        <f t="shared" si="40"/>
        <v>0.25504578175776571</v>
      </c>
      <c r="L328" s="122"/>
      <c r="M328" s="122"/>
      <c r="N328" s="122"/>
      <c r="O328" s="122"/>
    </row>
    <row r="329" spans="1:15" x14ac:dyDescent="0.2">
      <c r="A329">
        <v>328</v>
      </c>
      <c r="B329">
        <f t="shared" si="36"/>
        <v>0.99999995064370661</v>
      </c>
      <c r="C329">
        <f t="shared" si="36"/>
        <v>0.56002030969939287</v>
      </c>
      <c r="D329">
        <f t="shared" si="38"/>
        <v>0.91840000000000566</v>
      </c>
      <c r="E329">
        <f t="shared" si="39"/>
        <v>0.68879999999999764</v>
      </c>
      <c r="J329">
        <f t="shared" si="37"/>
        <v>0.99995417221791327</v>
      </c>
      <c r="K329">
        <f t="shared" si="40"/>
        <v>0.25571624055418374</v>
      </c>
      <c r="L329" s="122"/>
      <c r="M329" s="122"/>
      <c r="N329" s="122"/>
      <c r="O329" s="122"/>
    </row>
    <row r="330" spans="1:15" x14ac:dyDescent="0.2">
      <c r="A330">
        <v>329</v>
      </c>
      <c r="B330">
        <f t="shared" si="36"/>
        <v>0.99999995311152123</v>
      </c>
      <c r="C330">
        <f t="shared" si="36"/>
        <v>0.56112025892514439</v>
      </c>
      <c r="D330">
        <f t="shared" si="38"/>
        <v>0.92120000000000568</v>
      </c>
      <c r="E330">
        <f t="shared" si="39"/>
        <v>0.69089999999999763</v>
      </c>
      <c r="J330">
        <f t="shared" si="37"/>
        <v>0.9999555470513759</v>
      </c>
      <c r="K330">
        <f t="shared" si="40"/>
        <v>0.25638609593768497</v>
      </c>
      <c r="L330" s="122"/>
      <c r="M330" s="122"/>
      <c r="N330" s="122"/>
      <c r="O330" s="122"/>
    </row>
    <row r="331" spans="1:15" x14ac:dyDescent="0.2">
      <c r="A331">
        <v>330</v>
      </c>
      <c r="B331">
        <f t="shared" si="36"/>
        <v>0.99999995545594511</v>
      </c>
      <c r="C331">
        <f t="shared" si="36"/>
        <v>0.56221745827783143</v>
      </c>
      <c r="D331">
        <f t="shared" si="38"/>
        <v>0.92400000000000571</v>
      </c>
      <c r="E331">
        <f t="shared" si="39"/>
        <v>0.69299999999999762</v>
      </c>
      <c r="J331">
        <f t="shared" si="37"/>
        <v>0.99995688063983468</v>
      </c>
      <c r="K331">
        <f t="shared" si="40"/>
        <v>0.25705534845134104</v>
      </c>
      <c r="L331" s="122"/>
      <c r="M331" s="122"/>
      <c r="N331" s="122"/>
      <c r="O331" s="122"/>
    </row>
    <row r="332" spans="1:15" x14ac:dyDescent="0.2">
      <c r="A332">
        <v>331</v>
      </c>
      <c r="B332">
        <f t="shared" si="36"/>
        <v>0.99999995768314787</v>
      </c>
      <c r="C332">
        <f t="shared" si="36"/>
        <v>0.56331191463213681</v>
      </c>
      <c r="D332">
        <f t="shared" si="38"/>
        <v>0.92680000000000573</v>
      </c>
      <c r="E332">
        <f t="shared" si="39"/>
        <v>0.69509999999999761</v>
      </c>
      <c r="J332">
        <f t="shared" si="37"/>
        <v>0.99995817422063971</v>
      </c>
      <c r="K332">
        <f t="shared" si="40"/>
        <v>0.25772399863773482</v>
      </c>
      <c r="L332" s="122"/>
      <c r="M332" s="122"/>
      <c r="N332" s="122"/>
      <c r="O332" s="122"/>
    </row>
    <row r="333" spans="1:15" x14ac:dyDescent="0.2">
      <c r="A333">
        <v>332</v>
      </c>
      <c r="B333">
        <f t="shared" si="36"/>
        <v>0.99999995979899037</v>
      </c>
      <c r="C333">
        <f t="shared" si="36"/>
        <v>0.56440363484555645</v>
      </c>
      <c r="D333">
        <f t="shared" si="38"/>
        <v>0.92960000000000576</v>
      </c>
      <c r="E333">
        <f t="shared" si="39"/>
        <v>0.6971999999999976</v>
      </c>
      <c r="J333">
        <f t="shared" si="37"/>
        <v>0.99995942899402046</v>
      </c>
      <c r="K333">
        <f t="shared" si="40"/>
        <v>0.25839204703896085</v>
      </c>
      <c r="L333" s="122"/>
      <c r="M333" s="122"/>
      <c r="N333" s="122"/>
      <c r="O333" s="122"/>
    </row>
    <row r="334" spans="1:15" x14ac:dyDescent="0.2">
      <c r="A334">
        <v>333</v>
      </c>
      <c r="B334">
        <f t="shared" si="36"/>
        <v>0.99999996180904094</v>
      </c>
      <c r="C334">
        <f t="shared" si="36"/>
        <v>0.5654926257584425</v>
      </c>
      <c r="D334">
        <f t="shared" si="38"/>
        <v>0.93240000000000578</v>
      </c>
      <c r="E334">
        <f t="shared" si="39"/>
        <v>0.69929999999999759</v>
      </c>
      <c r="J334">
        <f t="shared" si="37"/>
        <v>0.99996064612419977</v>
      </c>
      <c r="K334">
        <f t="shared" si="40"/>
        <v>0.25905949419662577</v>
      </c>
      <c r="L334" s="122"/>
      <c r="M334" s="122"/>
      <c r="N334" s="122"/>
      <c r="O334" s="122"/>
    </row>
    <row r="335" spans="1:15" x14ac:dyDescent="0.2">
      <c r="A335">
        <v>334</v>
      </c>
      <c r="B335">
        <f t="shared" si="36"/>
        <v>0.9999999637185889</v>
      </c>
      <c r="C335">
        <f t="shared" si="36"/>
        <v>0.56657889419404639</v>
      </c>
      <c r="D335">
        <f t="shared" si="38"/>
        <v>0.9352000000000058</v>
      </c>
      <c r="E335">
        <f t="shared" si="39"/>
        <v>0.70139999999999758</v>
      </c>
      <c r="J335">
        <f t="shared" si="37"/>
        <v>0.99996182674047374</v>
      </c>
      <c r="K335">
        <f t="shared" si="40"/>
        <v>0.2597263406518488</v>
      </c>
      <c r="L335" s="122"/>
      <c r="M335" s="122"/>
      <c r="N335" s="122"/>
      <c r="O335" s="122"/>
    </row>
    <row r="336" spans="1:15" x14ac:dyDescent="0.2">
      <c r="A336">
        <v>335</v>
      </c>
      <c r="B336">
        <f t="shared" si="36"/>
        <v>0.99999996553265935</v>
      </c>
      <c r="C336">
        <f t="shared" si="36"/>
        <v>0.56766244695856127</v>
      </c>
      <c r="D336">
        <f t="shared" si="38"/>
        <v>0.93800000000000583</v>
      </c>
      <c r="E336">
        <f t="shared" si="39"/>
        <v>0.70349999999999757</v>
      </c>
      <c r="J336">
        <f t="shared" si="37"/>
        <v>0.99996297193825956</v>
      </c>
      <c r="K336">
        <f t="shared" si="40"/>
        <v>0.26039258694526213</v>
      </c>
      <c r="L336" s="122"/>
      <c r="M336" s="122"/>
      <c r="N336" s="122"/>
      <c r="O336" s="122"/>
    </row>
    <row r="337" spans="1:11" x14ac:dyDescent="0.2">
      <c r="A337">
        <v>336</v>
      </c>
      <c r="B337">
        <f t="shared" si="36"/>
        <v>0.99999996725602636</v>
      </c>
      <c r="C337">
        <f t="shared" si="36"/>
        <v>0.56874329084116482</v>
      </c>
      <c r="D337">
        <f t="shared" si="38"/>
        <v>0.94080000000000585</v>
      </c>
      <c r="E337">
        <f t="shared" si="39"/>
        <v>0.70559999999999756</v>
      </c>
      <c r="J337">
        <f t="shared" si="37"/>
        <v>0.99996408278011173</v>
      </c>
      <c r="K337">
        <f t="shared" si="40"/>
        <v>0.26105823361701141</v>
      </c>
    </row>
    <row r="338" spans="1:11" x14ac:dyDescent="0.2">
      <c r="A338">
        <v>337</v>
      </c>
      <c r="B338">
        <f t="shared" si="36"/>
        <v>0.99999996889322496</v>
      </c>
      <c r="C338">
        <f t="shared" si="36"/>
        <v>0.56982143261406182</v>
      </c>
      <c r="D338">
        <f t="shared" si="38"/>
        <v>0.94360000000000588</v>
      </c>
      <c r="E338">
        <f t="shared" si="39"/>
        <v>0.70769999999999755</v>
      </c>
      <c r="J338">
        <f t="shared" si="37"/>
        <v>0.99996516029670846</v>
      </c>
      <c r="K338">
        <f t="shared" si="40"/>
        <v>0.26172328120675614</v>
      </c>
    </row>
    <row r="339" spans="1:11" x14ac:dyDescent="0.2">
      <c r="A339">
        <v>338</v>
      </c>
      <c r="B339">
        <f t="shared" si="36"/>
        <v>0.99999997044856359</v>
      </c>
      <c r="C339">
        <f t="shared" si="36"/>
        <v>0.57089687903252662</v>
      </c>
      <c r="D339">
        <f t="shared" si="38"/>
        <v>0.9464000000000059</v>
      </c>
      <c r="E339">
        <f t="shared" si="39"/>
        <v>0.70979999999999754</v>
      </c>
      <c r="J339">
        <f t="shared" si="37"/>
        <v>0.99996620548780712</v>
      </c>
      <c r="K339">
        <f t="shared" si="40"/>
        <v>0.26238773025367007</v>
      </c>
    </row>
    <row r="340" spans="1:11" x14ac:dyDescent="0.2">
      <c r="A340">
        <v>339</v>
      </c>
      <c r="B340">
        <f t="shared" si="36"/>
        <v>0.99999997192613543</v>
      </c>
      <c r="C340">
        <f t="shared" si="36"/>
        <v>0.57196963683494528</v>
      </c>
      <c r="D340">
        <f t="shared" si="38"/>
        <v>0.94920000000000593</v>
      </c>
      <c r="E340">
        <f t="shared" si="39"/>
        <v>0.71189999999999753</v>
      </c>
      <c r="J340">
        <f t="shared" si="37"/>
        <v>0.9999672193231729</v>
      </c>
      <c r="K340">
        <f t="shared" si="40"/>
        <v>0.26305158129644179</v>
      </c>
    </row>
    <row r="341" spans="1:11" x14ac:dyDescent="0.2">
      <c r="A341">
        <v>340</v>
      </c>
      <c r="B341">
        <f t="shared" si="36"/>
        <v>0.99999997332982871</v>
      </c>
      <c r="C341">
        <f t="shared" si="36"/>
        <v>0.57303971274285792</v>
      </c>
      <c r="D341">
        <f t="shared" si="38"/>
        <v>0.95200000000000595</v>
      </c>
      <c r="E341">
        <f t="shared" si="39"/>
        <v>0.71399999999999753</v>
      </c>
      <c r="J341">
        <f t="shared" si="37"/>
        <v>0.99996820274347764</v>
      </c>
      <c r="K341">
        <f t="shared" si="40"/>
        <v>0.26371483487327502</v>
      </c>
    </row>
    <row r="342" spans="1:11" x14ac:dyDescent="0.2">
      <c r="A342">
        <v>341</v>
      </c>
      <c r="B342">
        <f t="shared" si="36"/>
        <v>0.99999997466333723</v>
      </c>
      <c r="C342">
        <f t="shared" si="36"/>
        <v>0.57410711346100074</v>
      </c>
      <c r="D342">
        <f t="shared" si="38"/>
        <v>0.95480000000000598</v>
      </c>
      <c r="E342">
        <f t="shared" si="39"/>
        <v>0.71609999999999752</v>
      </c>
      <c r="J342">
        <f t="shared" si="37"/>
        <v>0.99996915666117325</v>
      </c>
      <c r="K342">
        <f t="shared" si="40"/>
        <v>0.26437749152188911</v>
      </c>
    </row>
    <row r="343" spans="1:11" x14ac:dyDescent="0.2">
      <c r="A343">
        <v>342</v>
      </c>
      <c r="B343">
        <f t="shared" si="36"/>
        <v>0.99999997593017043</v>
      </c>
      <c r="C343">
        <f t="shared" si="36"/>
        <v>0.57517184567734814</v>
      </c>
      <c r="D343">
        <f t="shared" si="38"/>
        <v>0.957600000000006</v>
      </c>
      <c r="E343">
        <f t="shared" si="39"/>
        <v>0.71819999999999751</v>
      </c>
      <c r="J343">
        <f t="shared" si="37"/>
        <v>0.99997008196133808</v>
      </c>
      <c r="K343">
        <f t="shared" si="40"/>
        <v>0.26503955177951943</v>
      </c>
    </row>
    <row r="344" spans="1:11" x14ac:dyDescent="0.2">
      <c r="A344">
        <v>343</v>
      </c>
      <c r="B344">
        <f t="shared" si="36"/>
        <v>0.99999997713366184</v>
      </c>
      <c r="C344">
        <f t="shared" si="36"/>
        <v>0.57623391606315466</v>
      </c>
      <c r="D344">
        <f t="shared" si="38"/>
        <v>0.96040000000000603</v>
      </c>
      <c r="E344">
        <f t="shared" si="39"/>
        <v>0.7202999999999975</v>
      </c>
      <c r="J344">
        <f t="shared" si="37"/>
        <v>0.9999709795024978</v>
      </c>
      <c r="K344">
        <f t="shared" si="40"/>
        <v>0.26570101618291786</v>
      </c>
    </row>
    <row r="345" spans="1:11" x14ac:dyDescent="0.2">
      <c r="A345">
        <v>344</v>
      </c>
      <c r="B345">
        <f t="shared" si="36"/>
        <v>0.99999997827697884</v>
      </c>
      <c r="C345">
        <f t="shared" si="36"/>
        <v>0.57729333127299676</v>
      </c>
      <c r="D345">
        <f t="shared" si="38"/>
        <v>0.96320000000000605</v>
      </c>
      <c r="E345">
        <f t="shared" si="39"/>
        <v>0.72239999999999749</v>
      </c>
      <c r="J345">
        <f t="shared" si="37"/>
        <v>0.99997185011742284</v>
      </c>
      <c r="K345">
        <f t="shared" si="40"/>
        <v>0.26636188526835325</v>
      </c>
    </row>
    <row r="346" spans="1:11" x14ac:dyDescent="0.2">
      <c r="A346">
        <v>345</v>
      </c>
      <c r="B346">
        <f t="shared" si="36"/>
        <v>0.9999999793631299</v>
      </c>
      <c r="C346">
        <f t="shared" si="36"/>
        <v>0.57835009794481418</v>
      </c>
      <c r="D346">
        <f t="shared" si="38"/>
        <v>0.96600000000000608</v>
      </c>
      <c r="E346">
        <f t="shared" si="39"/>
        <v>0.72449999999999748</v>
      </c>
      <c r="J346">
        <f t="shared" si="37"/>
        <v>0.99997269461390015</v>
      </c>
      <c r="K346">
        <f t="shared" si="40"/>
        <v>0.26702215957161174</v>
      </c>
    </row>
    <row r="347" spans="1:11" x14ac:dyDescent="0.2">
      <c r="A347">
        <v>346</v>
      </c>
      <c r="B347">
        <f t="shared" si="36"/>
        <v>0.99999998039497329</v>
      </c>
      <c r="C347">
        <f t="shared" si="36"/>
        <v>0.57940422269995207</v>
      </c>
      <c r="D347">
        <f t="shared" si="38"/>
        <v>0.9688000000000061</v>
      </c>
      <c r="E347">
        <f t="shared" si="39"/>
        <v>0.72659999999999747</v>
      </c>
      <c r="J347">
        <f t="shared" si="37"/>
        <v>0.99997351377548305</v>
      </c>
      <c r="K347">
        <f t="shared" si="40"/>
        <v>0.2676818396279973</v>
      </c>
    </row>
    <row r="348" spans="1:11" x14ac:dyDescent="0.2">
      <c r="A348">
        <v>347</v>
      </c>
      <c r="B348">
        <f t="shared" si="36"/>
        <v>0.99999998137522472</v>
      </c>
      <c r="C348">
        <f t="shared" si="36"/>
        <v>0.58045571214320213</v>
      </c>
      <c r="D348">
        <f t="shared" si="38"/>
        <v>0.97160000000000613</v>
      </c>
      <c r="E348">
        <f t="shared" si="39"/>
        <v>0.72869999999999746</v>
      </c>
      <c r="J348">
        <f t="shared" si="37"/>
        <v>0.99997430836221857</v>
      </c>
      <c r="K348">
        <f t="shared" si="40"/>
        <v>0.26834092597233211</v>
      </c>
    </row>
    <row r="349" spans="1:11" x14ac:dyDescent="0.2">
      <c r="A349">
        <v>348</v>
      </c>
      <c r="B349">
        <f t="shared" si="36"/>
        <v>0.99999998230646359</v>
      </c>
      <c r="C349">
        <f t="shared" si="36"/>
        <v>0.58150457286284407</v>
      </c>
      <c r="D349">
        <f t="shared" si="38"/>
        <v>0.97440000000000615</v>
      </c>
      <c r="E349">
        <f t="shared" si="39"/>
        <v>0.73079999999999745</v>
      </c>
      <c r="J349">
        <f t="shared" si="37"/>
        <v>0.99997507911135208</v>
      </c>
      <c r="K349">
        <f t="shared" si="40"/>
        <v>0.26899941913895703</v>
      </c>
    </row>
    <row r="350" spans="1:11" x14ac:dyDescent="0.2">
      <c r="A350">
        <v>349</v>
      </c>
      <c r="B350">
        <f t="shared" si="36"/>
        <v>0.99999998319114047</v>
      </c>
      <c r="C350">
        <f t="shared" si="36"/>
        <v>0.58255081143068688</v>
      </c>
      <c r="D350">
        <f t="shared" si="38"/>
        <v>0.97720000000000617</v>
      </c>
      <c r="E350">
        <f t="shared" si="39"/>
        <v>0.73289999999999744</v>
      </c>
      <c r="J350">
        <f t="shared" si="37"/>
        <v>0.99997582673801144</v>
      </c>
      <c r="K350">
        <f t="shared" si="40"/>
        <v>0.26965731966173195</v>
      </c>
    </row>
    <row r="351" spans="1:11" x14ac:dyDescent="0.2">
      <c r="A351">
        <v>350</v>
      </c>
      <c r="B351">
        <f t="shared" si="36"/>
        <v>0.99999998403158341</v>
      </c>
      <c r="C351">
        <f t="shared" si="36"/>
        <v>0.58359443440211012</v>
      </c>
      <c r="D351">
        <f t="shared" si="38"/>
        <v>0.9800000000000062</v>
      </c>
      <c r="E351">
        <f t="shared" si="39"/>
        <v>0.73499999999999743</v>
      </c>
      <c r="J351">
        <f t="shared" si="37"/>
        <v>0.99997655193587109</v>
      </c>
      <c r="K351">
        <f t="shared" si="40"/>
        <v>0.27031462807403639</v>
      </c>
    </row>
    <row r="352" spans="1:11" x14ac:dyDescent="0.2">
      <c r="A352">
        <v>351</v>
      </c>
      <c r="B352">
        <f t="shared" si="36"/>
        <v>0.9999999848300043</v>
      </c>
      <c r="C352">
        <f t="shared" si="36"/>
        <v>0.58463544831610481</v>
      </c>
      <c r="D352">
        <f t="shared" si="38"/>
        <v>0.98280000000000622</v>
      </c>
      <c r="E352">
        <f t="shared" si="39"/>
        <v>0.73709999999999742</v>
      </c>
      <c r="J352">
        <f t="shared" si="37"/>
        <v>0.99997725537779492</v>
      </c>
      <c r="K352">
        <f t="shared" si="40"/>
        <v>0.27097134490876978</v>
      </c>
    </row>
    <row r="353" spans="1:11" x14ac:dyDescent="0.2">
      <c r="A353">
        <v>352</v>
      </c>
      <c r="B353">
        <f t="shared" si="36"/>
        <v>0.99999998558850411</v>
      </c>
      <c r="C353">
        <f t="shared" si="36"/>
        <v>0.58567385969531449</v>
      </c>
      <c r="D353">
        <f t="shared" si="38"/>
        <v>0.98560000000000625</v>
      </c>
      <c r="E353">
        <f t="shared" si="39"/>
        <v>0.73919999999999741</v>
      </c>
      <c r="J353">
        <f t="shared" si="37"/>
        <v>0.99997793771646104</v>
      </c>
      <c r="K353">
        <f t="shared" si="40"/>
        <v>0.27162747069835191</v>
      </c>
    </row>
    <row r="354" spans="1:11" x14ac:dyDescent="0.2">
      <c r="A354">
        <v>353</v>
      </c>
      <c r="B354">
        <f t="shared" si="36"/>
        <v>0.99999998630907883</v>
      </c>
      <c r="C354">
        <f t="shared" si="36"/>
        <v>0.58670967504607618</v>
      </c>
      <c r="D354">
        <f t="shared" si="38"/>
        <v>0.98840000000000627</v>
      </c>
      <c r="E354">
        <f t="shared" si="39"/>
        <v>0.74129999999999741</v>
      </c>
      <c r="J354">
        <f t="shared" si="37"/>
        <v>0.99997859958496726</v>
      </c>
      <c r="K354">
        <f t="shared" si="40"/>
        <v>0.27228300597472344</v>
      </c>
    </row>
    <row r="355" spans="1:11" x14ac:dyDescent="0.2">
      <c r="A355">
        <v>354</v>
      </c>
      <c r="B355">
        <f t="shared" si="36"/>
        <v>0.9999999869936248</v>
      </c>
      <c r="C355">
        <f t="shared" si="36"/>
        <v>0.58774290085846093</v>
      </c>
      <c r="D355">
        <f t="shared" si="38"/>
        <v>0.9912000000000063</v>
      </c>
      <c r="E355">
        <f t="shared" si="39"/>
        <v>0.7433999999999974</v>
      </c>
      <c r="J355">
        <f t="shared" si="37"/>
        <v>0.99997924159741824</v>
      </c>
      <c r="K355">
        <f t="shared" si="40"/>
        <v>0.27293795126934622</v>
      </c>
    </row>
    <row r="356" spans="1:11" x14ac:dyDescent="0.2">
      <c r="A356">
        <v>355</v>
      </c>
      <c r="B356">
        <f t="shared" si="36"/>
        <v>0.99999998764394349</v>
      </c>
      <c r="C356">
        <f t="shared" si="36"/>
        <v>0.58877354360631473</v>
      </c>
      <c r="D356">
        <f t="shared" si="38"/>
        <v>0.99400000000000632</v>
      </c>
      <c r="E356">
        <f t="shared" si="39"/>
        <v>0.74549999999999739</v>
      </c>
      <c r="J356">
        <f t="shared" si="37"/>
        <v>0.99997986434949571</v>
      </c>
      <c r="K356">
        <f t="shared" si="40"/>
        <v>0.27359230711320381</v>
      </c>
    </row>
    <row r="357" spans="1:11" x14ac:dyDescent="0.2">
      <c r="A357">
        <v>356</v>
      </c>
      <c r="B357">
        <f t="shared" si="36"/>
        <v>0.9999999882617463</v>
      </c>
      <c r="C357">
        <f t="shared" si="36"/>
        <v>0.58980160974729889</v>
      </c>
      <c r="D357">
        <f t="shared" si="38"/>
        <v>0.99680000000000635</v>
      </c>
      <c r="E357">
        <f t="shared" si="39"/>
        <v>0.74759999999999738</v>
      </c>
      <c r="J357">
        <f t="shared" si="37"/>
        <v>0.99998046841901089</v>
      </c>
      <c r="K357">
        <f t="shared" si="40"/>
        <v>0.27424607403680196</v>
      </c>
    </row>
    <row r="358" spans="1:11" x14ac:dyDescent="0.2">
      <c r="A358">
        <v>357</v>
      </c>
      <c r="B358">
        <f t="shared" ref="B358:C401" si="41">B357+B$2-B357*B$2</f>
        <v>0.99999998884865904</v>
      </c>
      <c r="C358">
        <f t="shared" si="41"/>
        <v>0.59082710572293062</v>
      </c>
      <c r="D358">
        <f t="shared" si="38"/>
        <v>0.99960000000000637</v>
      </c>
      <c r="E358">
        <f t="shared" si="39"/>
        <v>0.74969999999999737</v>
      </c>
      <c r="J358">
        <f t="shared" si="37"/>
        <v>0.99998105436644047</v>
      </c>
      <c r="K358">
        <f t="shared" si="40"/>
        <v>0.27489925257016884</v>
      </c>
    </row>
    <row r="359" spans="1:11" x14ac:dyDescent="0.2">
      <c r="A359">
        <v>358</v>
      </c>
      <c r="B359">
        <f t="shared" si="41"/>
        <v>0.99999998940622614</v>
      </c>
      <c r="C359">
        <f t="shared" si="41"/>
        <v>0.59185003795862323</v>
      </c>
      <c r="J359">
        <f t="shared" si="37"/>
        <v>0.99998162273544733</v>
      </c>
      <c r="K359">
        <f t="shared" si="40"/>
        <v>0.2755518432428557</v>
      </c>
    </row>
    <row r="360" spans="1:11" x14ac:dyDescent="0.2">
      <c r="A360">
        <v>359</v>
      </c>
      <c r="B360">
        <f t="shared" si="41"/>
        <v>0.99999998993591488</v>
      </c>
      <c r="C360">
        <f t="shared" si="41"/>
        <v>0.59287041286372666</v>
      </c>
      <c r="J360">
        <f t="shared" si="37"/>
        <v>0.99998217405338385</v>
      </c>
      <c r="K360">
        <f t="shared" si="40"/>
        <v>0.27620384658393715</v>
      </c>
    </row>
    <row r="361" spans="1:11" x14ac:dyDescent="0.2">
      <c r="A361">
        <v>360</v>
      </c>
      <c r="B361">
        <f t="shared" si="41"/>
        <v>0.99999999043911914</v>
      </c>
      <c r="C361">
        <f t="shared" si="41"/>
        <v>0.59388823683156733</v>
      </c>
      <c r="J361">
        <f t="shared" si="37"/>
        <v>0.99998270883178242</v>
      </c>
      <c r="K361">
        <f t="shared" si="40"/>
        <v>0.27685526312201164</v>
      </c>
    </row>
    <row r="362" spans="1:11" x14ac:dyDescent="0.2">
      <c r="A362">
        <v>361</v>
      </c>
      <c r="B362">
        <f t="shared" si="41"/>
        <v>0.99999999091716307</v>
      </c>
      <c r="C362">
        <f t="shared" si="41"/>
        <v>0.59490351623948834</v>
      </c>
      <c r="J362">
        <f t="shared" si="37"/>
        <v>0.99998322756682889</v>
      </c>
      <c r="K362">
        <f t="shared" si="40"/>
        <v>0.27750609338520182</v>
      </c>
    </row>
    <row r="363" spans="1:11" x14ac:dyDescent="0.2">
      <c r="A363">
        <v>362</v>
      </c>
      <c r="B363">
        <f t="shared" si="41"/>
        <v>0.99999999137130491</v>
      </c>
      <c r="C363">
        <f t="shared" si="41"/>
        <v>0.59591625744888954</v>
      </c>
      <c r="J363">
        <f t="shared" si="37"/>
        <v>0.99998373073982394</v>
      </c>
      <c r="K363">
        <f t="shared" si="40"/>
        <v>0.27815633790115518</v>
      </c>
    </row>
    <row r="364" spans="1:11" x14ac:dyDescent="0.2">
      <c r="A364">
        <v>363</v>
      </c>
      <c r="B364">
        <f t="shared" si="41"/>
        <v>0.99999999180273969</v>
      </c>
      <c r="C364">
        <f t="shared" si="41"/>
        <v>0.59692646680526729</v>
      </c>
      <c r="J364">
        <f t="shared" si="37"/>
        <v>0.99998421881762911</v>
      </c>
      <c r="K364">
        <f t="shared" si="40"/>
        <v>0.27880599719704413</v>
      </c>
    </row>
    <row r="365" spans="1:11" x14ac:dyDescent="0.2">
      <c r="A365">
        <v>364</v>
      </c>
      <c r="B365">
        <f t="shared" si="41"/>
        <v>0.99999999221260261</v>
      </c>
      <c r="C365">
        <f t="shared" si="41"/>
        <v>0.59793415063825406</v>
      </c>
      <c r="J365">
        <f t="shared" si="37"/>
        <v>0.99998469225310027</v>
      </c>
      <c r="K365">
        <f t="shared" si="40"/>
        <v>0.2794550717995668</v>
      </c>
    </row>
    <row r="366" spans="1:11" x14ac:dyDescent="0.2">
      <c r="A366">
        <v>365</v>
      </c>
      <c r="B366">
        <f t="shared" si="41"/>
        <v>0.99999999260197248</v>
      </c>
      <c r="C366">
        <f t="shared" si="41"/>
        <v>0.59893931526165833</v>
      </c>
      <c r="J366">
        <f t="shared" si="37"/>
        <v>0.99998515148550715</v>
      </c>
      <c r="K366">
        <f t="shared" si="40"/>
        <v>0.2801035622349472</v>
      </c>
    </row>
    <row r="367" spans="1:11" x14ac:dyDescent="0.2">
      <c r="A367">
        <v>366</v>
      </c>
      <c r="B367">
        <f t="shared" si="41"/>
        <v>0.99999999297187392</v>
      </c>
      <c r="C367">
        <f t="shared" si="41"/>
        <v>0.5999419669735041</v>
      </c>
      <c r="J367">
        <f t="shared" ref="J367:J380" si="42">J366+J$2-J366*J$2</f>
        <v>0.99998559694094191</v>
      </c>
      <c r="K367">
        <f t="shared" si="40"/>
        <v>0.28075146902893577</v>
      </c>
    </row>
    <row r="368" spans="1:11" x14ac:dyDescent="0.2">
      <c r="A368">
        <v>367</v>
      </c>
      <c r="B368">
        <f t="shared" si="41"/>
        <v>0.99999999332328027</v>
      </c>
      <c r="C368">
        <f t="shared" si="41"/>
        <v>0.60094211205607029</v>
      </c>
      <c r="J368">
        <f t="shared" si="42"/>
        <v>0.99998602903271372</v>
      </c>
      <c r="K368">
        <f t="shared" si="40"/>
        <v>0.28139879270680973</v>
      </c>
    </row>
    <row r="369" spans="1:11" x14ac:dyDescent="0.2">
      <c r="A369">
        <v>368</v>
      </c>
      <c r="B369">
        <f t="shared" si="41"/>
        <v>0.99999999365711623</v>
      </c>
      <c r="C369">
        <f t="shared" si="41"/>
        <v>0.60193975677593003</v>
      </c>
      <c r="J369">
        <f t="shared" si="42"/>
        <v>0.99998644816173221</v>
      </c>
      <c r="K369">
        <f t="shared" si="40"/>
        <v>0.2820455337933736</v>
      </c>
    </row>
    <row r="370" spans="1:11" x14ac:dyDescent="0.2">
      <c r="A370">
        <v>369</v>
      </c>
      <c r="B370">
        <f t="shared" si="41"/>
        <v>0.99999999397426043</v>
      </c>
      <c r="C370">
        <f t="shared" si="41"/>
        <v>0.60293490738399014</v>
      </c>
      <c r="J370">
        <f t="shared" si="42"/>
        <v>0.99998685471688031</v>
      </c>
      <c r="K370">
        <f t="shared" si="40"/>
        <v>0.28269169281295958</v>
      </c>
    </row>
    <row r="371" spans="1:11" x14ac:dyDescent="0.2">
      <c r="A371">
        <v>370</v>
      </c>
      <c r="B371">
        <f t="shared" si="41"/>
        <v>0.99999999427554731</v>
      </c>
      <c r="C371">
        <f t="shared" si="41"/>
        <v>0.60392757011553011</v>
      </c>
      <c r="J371">
        <f t="shared" si="42"/>
        <v>0.99998724907537384</v>
      </c>
      <c r="K371">
        <f t="shared" si="40"/>
        <v>0.28333727028942796</v>
      </c>
    </row>
    <row r="372" spans="1:11" x14ac:dyDescent="0.2">
      <c r="A372">
        <v>371</v>
      </c>
      <c r="B372">
        <f t="shared" si="41"/>
        <v>0.99999999456177002</v>
      </c>
      <c r="C372">
        <f t="shared" si="41"/>
        <v>0.60491775119024127</v>
      </c>
      <c r="J372">
        <f t="shared" si="42"/>
        <v>0.99998763160311266</v>
      </c>
      <c r="K372">
        <f t="shared" si="40"/>
        <v>0.2839822667461675</v>
      </c>
    </row>
    <row r="373" spans="1:11" x14ac:dyDescent="0.2">
      <c r="A373">
        <v>372</v>
      </c>
      <c r="B373">
        <f t="shared" si="41"/>
        <v>0.9999999948336814</v>
      </c>
      <c r="C373">
        <f t="shared" si="41"/>
        <v>0.6059054568122656</v>
      </c>
      <c r="J373">
        <f t="shared" si="42"/>
        <v>0.9999880026550193</v>
      </c>
      <c r="K373">
        <f t="shared" si="40"/>
        <v>0.28462668270609598</v>
      </c>
    </row>
    <row r="374" spans="1:11" x14ac:dyDescent="0.2">
      <c r="A374">
        <v>373</v>
      </c>
      <c r="B374">
        <f t="shared" si="41"/>
        <v>0.99999999509199722</v>
      </c>
      <c r="C374">
        <f t="shared" si="41"/>
        <v>0.60689069317023492</v>
      </c>
      <c r="J374">
        <f t="shared" si="42"/>
        <v>0.99998836257536861</v>
      </c>
      <c r="K374">
        <f t="shared" si="40"/>
        <v>0.28527051869166048</v>
      </c>
    </row>
    <row r="375" spans="1:11" x14ac:dyDescent="0.2">
      <c r="A375">
        <v>374</v>
      </c>
      <c r="B375">
        <f t="shared" si="41"/>
        <v>0.99999999533739725</v>
      </c>
      <c r="C375">
        <f t="shared" si="41"/>
        <v>0.60787346643730933</v>
      </c>
      <c r="J375">
        <f t="shared" si="42"/>
        <v>0.99998871169810744</v>
      </c>
      <c r="K375">
        <f t="shared" si="40"/>
        <v>0.28591377522483802</v>
      </c>
    </row>
    <row r="376" spans="1:11" x14ac:dyDescent="0.2">
      <c r="A376">
        <v>375</v>
      </c>
      <c r="B376">
        <f t="shared" si="41"/>
        <v>0.99999999557052743</v>
      </c>
      <c r="C376">
        <f t="shared" si="41"/>
        <v>0.60885378277121605</v>
      </c>
      <c r="J376">
        <f t="shared" si="42"/>
        <v>0.99998905034716423</v>
      </c>
      <c r="K376">
        <f t="shared" si="40"/>
        <v>0.28655645282713565</v>
      </c>
    </row>
    <row r="377" spans="1:11" x14ac:dyDescent="0.2">
      <c r="A377">
        <v>376</v>
      </c>
      <c r="B377">
        <f t="shared" si="41"/>
        <v>0.99999999579200116</v>
      </c>
      <c r="C377">
        <f t="shared" si="41"/>
        <v>0.60983164831428793</v>
      </c>
      <c r="J377">
        <f t="shared" si="42"/>
        <v>0.99998937883674932</v>
      </c>
      <c r="K377">
        <f t="shared" si="40"/>
        <v>0.28719855201959127</v>
      </c>
    </row>
    <row r="378" spans="1:11" x14ac:dyDescent="0.2">
      <c r="A378">
        <v>377</v>
      </c>
      <c r="B378">
        <f t="shared" si="41"/>
        <v>0.99999999600240119</v>
      </c>
      <c r="C378">
        <f t="shared" si="41"/>
        <v>0.61080706919350214</v>
      </c>
      <c r="J378">
        <f t="shared" si="42"/>
        <v>0.9999896974716469</v>
      </c>
      <c r="K378">
        <f t="shared" si="40"/>
        <v>0.28784007332277367</v>
      </c>
    </row>
    <row r="379" spans="1:11" x14ac:dyDescent="0.2">
      <c r="A379">
        <v>378</v>
      </c>
      <c r="B379">
        <f t="shared" si="41"/>
        <v>0.99999999620228108</v>
      </c>
      <c r="C379">
        <f t="shared" si="41"/>
        <v>0.61178005152051829</v>
      </c>
      <c r="J379">
        <f t="shared" si="42"/>
        <v>0.99999000654749748</v>
      </c>
      <c r="K379">
        <f t="shared" si="40"/>
        <v>0.28848101725678321</v>
      </c>
    </row>
    <row r="380" spans="1:11" x14ac:dyDescent="0.2">
      <c r="A380">
        <v>379</v>
      </c>
      <c r="B380">
        <f t="shared" si="41"/>
        <v>0.99999999639216697</v>
      </c>
      <c r="C380">
        <f t="shared" si="41"/>
        <v>0.61275060139171689</v>
      </c>
      <c r="J380">
        <f t="shared" si="42"/>
        <v>0.99999030635107244</v>
      </c>
      <c r="K380">
        <f t="shared" si="40"/>
        <v>0.28912138434125212</v>
      </c>
    </row>
    <row r="381" spans="1:11" x14ac:dyDescent="0.2">
      <c r="A381">
        <v>380</v>
      </c>
      <c r="B381">
        <f t="shared" si="41"/>
        <v>0.99999999657255856</v>
      </c>
      <c r="C381">
        <f t="shared" si="41"/>
        <v>0.61371872488823753</v>
      </c>
      <c r="J381">
        <f t="shared" ref="J381:J444" si="43">J380+J$2-J380*J$2</f>
        <v>0.99999059716054028</v>
      </c>
      <c r="K381">
        <f t="shared" ref="K381:K444" si="44">K380+K$2-K380*K$2</f>
        <v>0.28976117509534499</v>
      </c>
    </row>
    <row r="382" spans="1:11" x14ac:dyDescent="0.2">
      <c r="A382">
        <v>381</v>
      </c>
      <c r="B382">
        <f t="shared" si="41"/>
        <v>0.9999999967439307</v>
      </c>
      <c r="C382">
        <f t="shared" si="41"/>
        <v>0.61468442807601686</v>
      </c>
      <c r="J382">
        <f t="shared" si="43"/>
        <v>0.99999087924572405</v>
      </c>
      <c r="K382">
        <f t="shared" si="44"/>
        <v>0.29040039003775919</v>
      </c>
    </row>
    <row r="383" spans="1:11" x14ac:dyDescent="0.2">
      <c r="A383">
        <v>382</v>
      </c>
      <c r="B383">
        <f t="shared" si="41"/>
        <v>0.99999999690673413</v>
      </c>
      <c r="C383">
        <f t="shared" si="41"/>
        <v>0.61564771700582677</v>
      </c>
      <c r="J383">
        <f t="shared" si="43"/>
        <v>0.99999115286835227</v>
      </c>
      <c r="K383">
        <f t="shared" si="44"/>
        <v>0.29103902968672524</v>
      </c>
    </row>
    <row r="384" spans="1:11" x14ac:dyDescent="0.2">
      <c r="A384">
        <v>383</v>
      </c>
      <c r="B384">
        <f t="shared" si="41"/>
        <v>0.99999999706139753</v>
      </c>
      <c r="C384">
        <f t="shared" si="41"/>
        <v>0.61660859771331211</v>
      </c>
      <c r="J384">
        <f t="shared" si="43"/>
        <v>0.99999141828230176</v>
      </c>
      <c r="K384">
        <f t="shared" si="44"/>
        <v>0.29167709456000718</v>
      </c>
    </row>
    <row r="385" spans="1:11" x14ac:dyDescent="0.2">
      <c r="A385">
        <v>384</v>
      </c>
      <c r="B385">
        <f t="shared" si="41"/>
        <v>0.99999999720832766</v>
      </c>
      <c r="C385">
        <f t="shared" si="41"/>
        <v>0.61756707621902873</v>
      </c>
      <c r="J385">
        <f t="shared" si="43"/>
        <v>0.99999167573383274</v>
      </c>
      <c r="K385">
        <f t="shared" si="44"/>
        <v>0.29231458517490316</v>
      </c>
    </row>
    <row r="386" spans="1:11" x14ac:dyDescent="0.2">
      <c r="A386">
        <v>385</v>
      </c>
      <c r="B386">
        <f t="shared" si="41"/>
        <v>0.99999999734791123</v>
      </c>
      <c r="C386">
        <f t="shared" si="41"/>
        <v>0.61852315852848105</v>
      </c>
      <c r="J386">
        <f t="shared" si="43"/>
        <v>0.99999192546181781</v>
      </c>
      <c r="K386">
        <f t="shared" si="44"/>
        <v>0.29295150204824577</v>
      </c>
    </row>
    <row r="387" spans="1:11" x14ac:dyDescent="0.2">
      <c r="A387">
        <v>386</v>
      </c>
      <c r="B387">
        <f t="shared" si="41"/>
        <v>0.99999999748051571</v>
      </c>
      <c r="C387">
        <f t="shared" si="41"/>
        <v>0.61947685063215985</v>
      </c>
      <c r="J387">
        <f t="shared" si="43"/>
        <v>0.99999216769796317</v>
      </c>
      <c r="K387">
        <f t="shared" si="44"/>
        <v>0.29358784569640234</v>
      </c>
    </row>
    <row r="388" spans="1:11" x14ac:dyDescent="0.2">
      <c r="A388">
        <v>387</v>
      </c>
      <c r="B388">
        <f t="shared" si="41"/>
        <v>0.99999999760648983</v>
      </c>
      <c r="C388">
        <f t="shared" si="41"/>
        <v>0.62042815850557942</v>
      </c>
      <c r="J388">
        <f t="shared" si="43"/>
        <v>0.99999240266702416</v>
      </c>
      <c r="K388">
        <f t="shared" si="44"/>
        <v>0.29422361663527558</v>
      </c>
    </row>
    <row r="389" spans="1:11" x14ac:dyDescent="0.2">
      <c r="A389">
        <v>388</v>
      </c>
      <c r="B389">
        <f t="shared" si="41"/>
        <v>0.99999999772616532</v>
      </c>
      <c r="C389">
        <f t="shared" si="41"/>
        <v>0.62137708810931547</v>
      </c>
      <c r="J389">
        <f t="shared" si="43"/>
        <v>0.99999263058701349</v>
      </c>
      <c r="K389">
        <f t="shared" si="44"/>
        <v>0.29485881538030384</v>
      </c>
    </row>
    <row r="390" spans="1:11" x14ac:dyDescent="0.2">
      <c r="A390">
        <v>389</v>
      </c>
      <c r="B390">
        <f t="shared" si="41"/>
        <v>0.99999999783985705</v>
      </c>
      <c r="C390">
        <f t="shared" si="41"/>
        <v>0.62232364538904217</v>
      </c>
      <c r="J390">
        <f t="shared" si="43"/>
        <v>0.9999928516694031</v>
      </c>
      <c r="K390">
        <f t="shared" si="44"/>
        <v>0.29549344244646158</v>
      </c>
    </row>
    <row r="391" spans="1:11" x14ac:dyDescent="0.2">
      <c r="A391">
        <v>390</v>
      </c>
      <c r="B391">
        <f t="shared" si="41"/>
        <v>0.99999999794786421</v>
      </c>
      <c r="C391">
        <f t="shared" si="41"/>
        <v>0.62326783627556948</v>
      </c>
      <c r="J391">
        <f t="shared" si="43"/>
        <v>0.99999306611932093</v>
      </c>
      <c r="K391">
        <f t="shared" si="44"/>
        <v>0.2961274983482598</v>
      </c>
    </row>
    <row r="392" spans="1:11" x14ac:dyDescent="0.2">
      <c r="A392">
        <v>391</v>
      </c>
      <c r="B392">
        <f t="shared" si="41"/>
        <v>0.99999999805047102</v>
      </c>
      <c r="C392">
        <f t="shared" si="41"/>
        <v>0.62420966668488054</v>
      </c>
      <c r="J392">
        <f t="shared" si="43"/>
        <v>0.99999327413574124</v>
      </c>
      <c r="K392">
        <f t="shared" si="44"/>
        <v>0.2967609835997464</v>
      </c>
    </row>
    <row r="393" spans="1:11" x14ac:dyDescent="0.2">
      <c r="A393">
        <v>392</v>
      </c>
      <c r="B393">
        <f t="shared" si="41"/>
        <v>0.99999999814794749</v>
      </c>
      <c r="C393">
        <f t="shared" si="41"/>
        <v>0.62514914251816833</v>
      </c>
      <c r="J393">
        <f t="shared" si="43"/>
        <v>0.99999347591166887</v>
      </c>
      <c r="K393">
        <f t="shared" si="44"/>
        <v>0.29739389871450661</v>
      </c>
    </row>
    <row r="394" spans="1:11" x14ac:dyDescent="0.2">
      <c r="A394">
        <v>393</v>
      </c>
      <c r="B394">
        <f t="shared" si="41"/>
        <v>0.99999999824055019</v>
      </c>
      <c r="C394">
        <f t="shared" si="41"/>
        <v>0.62608626966187286</v>
      </c>
      <c r="J394">
        <f t="shared" si="43"/>
        <v>0.99999367163431885</v>
      </c>
      <c r="K394">
        <f t="shared" si="44"/>
        <v>0.29802624420566359</v>
      </c>
    </row>
    <row r="395" spans="1:11" x14ac:dyDescent="0.2">
      <c r="A395">
        <v>394</v>
      </c>
      <c r="B395">
        <f t="shared" si="41"/>
        <v>0.9999999983285226</v>
      </c>
      <c r="C395">
        <f t="shared" si="41"/>
        <v>0.62702105398771812</v>
      </c>
      <c r="J395">
        <f t="shared" si="43"/>
        <v>0.99999386148528924</v>
      </c>
      <c r="K395">
        <f t="shared" si="44"/>
        <v>0.29865802058587848</v>
      </c>
    </row>
    <row r="396" spans="1:11" x14ac:dyDescent="0.2">
      <c r="A396">
        <v>395</v>
      </c>
      <c r="B396">
        <f t="shared" si="41"/>
        <v>0.99999999841209652</v>
      </c>
      <c r="C396">
        <f t="shared" si="41"/>
        <v>0.62795350135274874</v>
      </c>
      <c r="J396">
        <f t="shared" si="43"/>
        <v>0.99999404564073058</v>
      </c>
      <c r="K396">
        <f t="shared" si="44"/>
        <v>0.29928922836735122</v>
      </c>
    </row>
    <row r="397" spans="1:11" x14ac:dyDescent="0.2">
      <c r="A397">
        <v>396</v>
      </c>
      <c r="B397">
        <f t="shared" si="41"/>
        <v>0.99999999849149157</v>
      </c>
      <c r="C397">
        <f t="shared" si="41"/>
        <v>0.62888361759936684</v>
      </c>
      <c r="J397">
        <f t="shared" si="43"/>
        <v>0.99999422427150864</v>
      </c>
      <c r="K397">
        <f t="shared" si="44"/>
        <v>0.29991986806182064</v>
      </c>
    </row>
    <row r="398" spans="1:11" x14ac:dyDescent="0.2">
      <c r="A398">
        <v>397</v>
      </c>
      <c r="B398">
        <f t="shared" si="41"/>
        <v>0.99999999856691701</v>
      </c>
      <c r="C398">
        <f t="shared" si="41"/>
        <v>0.62981140855536832</v>
      </c>
      <c r="J398">
        <f t="shared" si="43"/>
        <v>0.99999439754336328</v>
      </c>
      <c r="K398">
        <f t="shared" si="44"/>
        <v>0.30054994018056502</v>
      </c>
    </row>
    <row r="399" spans="1:11" x14ac:dyDescent="0.2">
      <c r="A399">
        <v>398</v>
      </c>
      <c r="B399">
        <f t="shared" si="41"/>
        <v>0.99999999863857125</v>
      </c>
      <c r="C399">
        <f t="shared" si="41"/>
        <v>0.63073688003397987</v>
      </c>
      <c r="J399">
        <f t="shared" si="43"/>
        <v>0.99999456561706235</v>
      </c>
      <c r="K399">
        <f t="shared" si="44"/>
        <v>0.30117944523440254</v>
      </c>
    </row>
    <row r="400" spans="1:11" x14ac:dyDescent="0.2">
      <c r="A400">
        <v>399</v>
      </c>
      <c r="B400">
        <f t="shared" si="41"/>
        <v>0.99999999870664269</v>
      </c>
      <c r="C400">
        <f t="shared" si="41"/>
        <v>0.63166003783389491</v>
      </c>
      <c r="J400">
        <f t="shared" si="43"/>
        <v>0.99999472864855055</v>
      </c>
      <c r="K400">
        <f t="shared" si="44"/>
        <v>0.30180838373369157</v>
      </c>
    </row>
    <row r="401" spans="1:11" x14ac:dyDescent="0.2">
      <c r="A401">
        <v>400</v>
      </c>
      <c r="B401">
        <f t="shared" si="41"/>
        <v>0.99999999877131052</v>
      </c>
      <c r="C401">
        <f t="shared" si="41"/>
        <v>0.63258088773931009</v>
      </c>
      <c r="J401">
        <f t="shared" si="43"/>
        <v>0.99999488678909398</v>
      </c>
      <c r="K401">
        <f t="shared" si="44"/>
        <v>0.30243675618833127</v>
      </c>
    </row>
    <row r="402" spans="1:11" x14ac:dyDescent="0.2">
      <c r="A402">
        <v>401</v>
      </c>
      <c r="J402">
        <f t="shared" si="43"/>
        <v>0.99999504018542118</v>
      </c>
      <c r="K402">
        <f t="shared" si="44"/>
        <v>0.30306456310776181</v>
      </c>
    </row>
    <row r="403" spans="1:11" x14ac:dyDescent="0.2">
      <c r="A403">
        <v>402</v>
      </c>
      <c r="J403">
        <f t="shared" si="43"/>
        <v>0.99999518897985862</v>
      </c>
      <c r="K403">
        <f t="shared" si="44"/>
        <v>0.30369180500096482</v>
      </c>
    </row>
    <row r="404" spans="1:11" x14ac:dyDescent="0.2">
      <c r="A404">
        <v>403</v>
      </c>
      <c r="J404">
        <f t="shared" si="43"/>
        <v>0.99999533331046286</v>
      </c>
      <c r="K404">
        <f t="shared" si="44"/>
        <v>0.30431848237646397</v>
      </c>
    </row>
    <row r="405" spans="1:11" x14ac:dyDescent="0.2">
      <c r="A405">
        <v>404</v>
      </c>
      <c r="J405">
        <f t="shared" si="43"/>
        <v>0.99999547331114891</v>
      </c>
      <c r="K405">
        <f t="shared" si="44"/>
        <v>0.30494459574232519</v>
      </c>
    </row>
    <row r="406" spans="1:11" x14ac:dyDescent="0.2">
      <c r="A406">
        <v>405</v>
      </c>
      <c r="J406">
        <f t="shared" si="43"/>
        <v>0.99999560911181451</v>
      </c>
      <c r="K406">
        <f t="shared" si="44"/>
        <v>0.30557014560615708</v>
      </c>
    </row>
    <row r="407" spans="1:11" x14ac:dyDescent="0.2">
      <c r="A407">
        <v>406</v>
      </c>
      <c r="J407">
        <f t="shared" si="43"/>
        <v>0.9999957408384601</v>
      </c>
      <c r="K407">
        <f t="shared" si="44"/>
        <v>0.30619513247511154</v>
      </c>
    </row>
    <row r="408" spans="1:11" x14ac:dyDescent="0.2">
      <c r="A408">
        <v>407</v>
      </c>
      <c r="J408">
        <f t="shared" si="43"/>
        <v>0.99999586861330636</v>
      </c>
      <c r="K408">
        <f t="shared" si="44"/>
        <v>0.30681955685588397</v>
      </c>
    </row>
    <row r="409" spans="1:11" x14ac:dyDescent="0.2">
      <c r="A409">
        <v>408</v>
      </c>
      <c r="J409">
        <f t="shared" si="43"/>
        <v>0.99999599255490723</v>
      </c>
      <c r="K409">
        <f t="shared" si="44"/>
        <v>0.30744341925471369</v>
      </c>
    </row>
    <row r="410" spans="1:11" x14ac:dyDescent="0.2">
      <c r="A410">
        <v>409</v>
      </c>
      <c r="J410">
        <f t="shared" si="43"/>
        <v>0.99999611277825995</v>
      </c>
      <c r="K410">
        <f t="shared" si="44"/>
        <v>0.30806672017738446</v>
      </c>
    </row>
    <row r="411" spans="1:11" x14ac:dyDescent="0.2">
      <c r="A411">
        <v>410</v>
      </c>
      <c r="J411">
        <f t="shared" si="43"/>
        <v>0.99999622939491217</v>
      </c>
      <c r="K411">
        <f t="shared" si="44"/>
        <v>0.30868946012922482</v>
      </c>
    </row>
    <row r="412" spans="1:11" x14ac:dyDescent="0.2">
      <c r="A412">
        <v>411</v>
      </c>
      <c r="J412">
        <f t="shared" si="43"/>
        <v>0.99999634251306468</v>
      </c>
      <c r="K412">
        <f t="shared" si="44"/>
        <v>0.30931163961510855</v>
      </c>
    </row>
    <row r="413" spans="1:11" x14ac:dyDescent="0.2">
      <c r="A413">
        <v>412</v>
      </c>
      <c r="J413">
        <f t="shared" si="43"/>
        <v>0.99999645223767275</v>
      </c>
      <c r="K413">
        <f t="shared" si="44"/>
        <v>0.30993325913945496</v>
      </c>
    </row>
    <row r="414" spans="1:11" x14ac:dyDescent="0.2">
      <c r="A414">
        <v>413</v>
      </c>
      <c r="J414">
        <f t="shared" si="43"/>
        <v>0.9999965586705426</v>
      </c>
      <c r="K414">
        <f t="shared" si="44"/>
        <v>0.31055431920622945</v>
      </c>
    </row>
    <row r="415" spans="1:11" x14ac:dyDescent="0.2">
      <c r="A415">
        <v>414</v>
      </c>
      <c r="J415">
        <f t="shared" si="43"/>
        <v>0.99999666191042635</v>
      </c>
      <c r="K415">
        <f t="shared" si="44"/>
        <v>0.31117482031894383</v>
      </c>
    </row>
    <row r="416" spans="1:11" x14ac:dyDescent="0.2">
      <c r="A416">
        <v>415</v>
      </c>
      <c r="J416">
        <f t="shared" si="43"/>
        <v>0.99999676205311361</v>
      </c>
      <c r="K416">
        <f t="shared" si="44"/>
        <v>0.31179476298065678</v>
      </c>
    </row>
    <row r="417" spans="1:11" x14ac:dyDescent="0.2">
      <c r="A417">
        <v>416</v>
      </c>
      <c r="J417">
        <f t="shared" si="43"/>
        <v>0.99999685919152026</v>
      </c>
      <c r="K417">
        <f t="shared" si="44"/>
        <v>0.31241414769397419</v>
      </c>
    </row>
    <row r="418" spans="1:11" x14ac:dyDescent="0.2">
      <c r="A418">
        <v>417</v>
      </c>
      <c r="J418">
        <f t="shared" si="43"/>
        <v>0.99999695341577466</v>
      </c>
      <c r="K418">
        <f t="shared" si="44"/>
        <v>0.31303297496104965</v>
      </c>
    </row>
    <row r="419" spans="1:11" x14ac:dyDescent="0.2">
      <c r="A419">
        <v>418</v>
      </c>
      <c r="J419">
        <f t="shared" si="43"/>
        <v>0.99999704481330143</v>
      </c>
      <c r="K419">
        <f t="shared" si="44"/>
        <v>0.31365124528358473</v>
      </c>
    </row>
    <row r="420" spans="1:11" x14ac:dyDescent="0.2">
      <c r="A420">
        <v>419</v>
      </c>
      <c r="J420">
        <f t="shared" si="43"/>
        <v>0.99999713346890229</v>
      </c>
      <c r="K420">
        <f t="shared" si="44"/>
        <v>0.31426895916282954</v>
      </c>
    </row>
    <row r="421" spans="1:11" x14ac:dyDescent="0.2">
      <c r="A421">
        <v>420</v>
      </c>
      <c r="J421">
        <f t="shared" si="43"/>
        <v>0.99999721946483511</v>
      </c>
      <c r="K421">
        <f t="shared" si="44"/>
        <v>0.31488611709958303</v>
      </c>
    </row>
    <row r="422" spans="1:11" x14ac:dyDescent="0.2">
      <c r="A422">
        <v>421</v>
      </c>
      <c r="J422">
        <f t="shared" si="43"/>
        <v>0.99999730288088995</v>
      </c>
      <c r="K422">
        <f t="shared" si="44"/>
        <v>0.3155027195941934</v>
      </c>
    </row>
    <row r="423" spans="1:11" x14ac:dyDescent="0.2">
      <c r="A423">
        <v>422</v>
      </c>
      <c r="J423">
        <f t="shared" si="43"/>
        <v>0.99999738379446323</v>
      </c>
      <c r="K423">
        <f t="shared" si="44"/>
        <v>0.31611876714655862</v>
      </c>
    </row>
    <row r="424" spans="1:11" x14ac:dyDescent="0.2">
      <c r="A424">
        <v>423</v>
      </c>
      <c r="J424">
        <f t="shared" si="43"/>
        <v>0.99999746228062925</v>
      </c>
      <c r="K424">
        <f t="shared" si="44"/>
        <v>0.31673426025612672</v>
      </c>
    </row>
    <row r="425" spans="1:11" x14ac:dyDescent="0.2">
      <c r="A425">
        <v>424</v>
      </c>
      <c r="J425">
        <f t="shared" si="43"/>
        <v>0.99999753841221029</v>
      </c>
      <c r="K425">
        <f t="shared" si="44"/>
        <v>0.31734919942189621</v>
      </c>
    </row>
    <row r="426" spans="1:11" x14ac:dyDescent="0.2">
      <c r="A426">
        <v>425</v>
      </c>
      <c r="J426">
        <f t="shared" si="43"/>
        <v>0.99999761225984385</v>
      </c>
      <c r="K426">
        <f t="shared" si="44"/>
        <v>0.31796358514241652</v>
      </c>
    </row>
    <row r="427" spans="1:11" x14ac:dyDescent="0.2">
      <c r="A427">
        <v>426</v>
      </c>
      <c r="J427">
        <f t="shared" si="43"/>
        <v>0.99999768389204846</v>
      </c>
      <c r="K427">
        <f t="shared" si="44"/>
        <v>0.31857741791578836</v>
      </c>
    </row>
    <row r="428" spans="1:11" x14ac:dyDescent="0.2">
      <c r="A428">
        <v>427</v>
      </c>
      <c r="J428">
        <f t="shared" si="43"/>
        <v>0.99999775337528696</v>
      </c>
      <c r="K428">
        <f t="shared" si="44"/>
        <v>0.31919069823966417</v>
      </c>
    </row>
    <row r="429" spans="1:11" x14ac:dyDescent="0.2">
      <c r="A429">
        <v>428</v>
      </c>
      <c r="J429">
        <f t="shared" si="43"/>
        <v>0.99999782077402821</v>
      </c>
      <c r="K429">
        <f t="shared" si="44"/>
        <v>0.3198034266112485</v>
      </c>
    </row>
    <row r="430" spans="1:11" x14ac:dyDescent="0.2">
      <c r="A430">
        <v>429</v>
      </c>
      <c r="J430">
        <f t="shared" si="43"/>
        <v>0.99999788615080731</v>
      </c>
      <c r="K430">
        <f t="shared" si="44"/>
        <v>0.32041560352729836</v>
      </c>
    </row>
    <row r="431" spans="1:11" x14ac:dyDescent="0.2">
      <c r="A431">
        <v>430</v>
      </c>
      <c r="J431">
        <f t="shared" si="43"/>
        <v>0.99999794956628296</v>
      </c>
      <c r="K431">
        <f t="shared" si="44"/>
        <v>0.32102722948412382</v>
      </c>
    </row>
    <row r="432" spans="1:11" x14ac:dyDescent="0.2">
      <c r="A432">
        <v>431</v>
      </c>
      <c r="J432">
        <f t="shared" si="43"/>
        <v>0.99999801107929454</v>
      </c>
      <c r="K432">
        <f t="shared" si="44"/>
        <v>0.32163830497758811</v>
      </c>
    </row>
    <row r="433" spans="1:11" x14ac:dyDescent="0.2">
      <c r="A433">
        <v>432</v>
      </c>
      <c r="J433">
        <f t="shared" si="43"/>
        <v>0.99999807074691571</v>
      </c>
      <c r="K433">
        <f t="shared" si="44"/>
        <v>0.32224883050310826</v>
      </c>
    </row>
    <row r="434" spans="1:11" x14ac:dyDescent="0.2">
      <c r="A434">
        <v>433</v>
      </c>
      <c r="J434">
        <f t="shared" si="43"/>
        <v>0.99999812862450821</v>
      </c>
      <c r="K434">
        <f t="shared" si="44"/>
        <v>0.32285880655565546</v>
      </c>
    </row>
    <row r="435" spans="1:11" x14ac:dyDescent="0.2">
      <c r="A435">
        <v>434</v>
      </c>
      <c r="J435">
        <f t="shared" si="43"/>
        <v>0.99999818476577285</v>
      </c>
      <c r="K435">
        <f t="shared" si="44"/>
        <v>0.32346823362975541</v>
      </c>
    </row>
    <row r="436" spans="1:11" x14ac:dyDescent="0.2">
      <c r="A436">
        <v>435</v>
      </c>
      <c r="J436">
        <f t="shared" si="43"/>
        <v>0.99999823922279973</v>
      </c>
      <c r="K436">
        <f t="shared" si="44"/>
        <v>0.32407711221948865</v>
      </c>
    </row>
    <row r="437" spans="1:11" x14ac:dyDescent="0.2">
      <c r="A437">
        <v>436</v>
      </c>
      <c r="J437">
        <f t="shared" si="43"/>
        <v>0.99999829204611579</v>
      </c>
      <c r="K437">
        <f t="shared" si="44"/>
        <v>0.3246854428184911</v>
      </c>
    </row>
    <row r="438" spans="1:11" x14ac:dyDescent="0.2">
      <c r="A438">
        <v>437</v>
      </c>
      <c r="J438">
        <f t="shared" si="43"/>
        <v>0.99999834328473225</v>
      </c>
      <c r="K438">
        <f t="shared" si="44"/>
        <v>0.32529322591995447</v>
      </c>
    </row>
    <row r="439" spans="1:11" x14ac:dyDescent="0.2">
      <c r="A439">
        <v>438</v>
      </c>
      <c r="J439">
        <f t="shared" si="43"/>
        <v>0.9999983929861902</v>
      </c>
      <c r="K439">
        <f t="shared" si="44"/>
        <v>0.32590046201662654</v>
      </c>
    </row>
    <row r="440" spans="1:11" x14ac:dyDescent="0.2">
      <c r="A440">
        <v>439</v>
      </c>
      <c r="J440">
        <f t="shared" si="43"/>
        <v>0.99999844119660453</v>
      </c>
      <c r="K440">
        <f t="shared" si="44"/>
        <v>0.32650715160081156</v>
      </c>
    </row>
    <row r="441" spans="1:11" x14ac:dyDescent="0.2">
      <c r="A441">
        <v>440</v>
      </c>
      <c r="J441">
        <f t="shared" si="43"/>
        <v>0.99999848796070645</v>
      </c>
      <c r="K441">
        <f t="shared" si="44"/>
        <v>0.32711329516437082</v>
      </c>
    </row>
    <row r="442" spans="1:11" x14ac:dyDescent="0.2">
      <c r="A442">
        <v>441</v>
      </c>
      <c r="J442">
        <f t="shared" si="43"/>
        <v>0.99999853332188526</v>
      </c>
      <c r="K442">
        <f t="shared" si="44"/>
        <v>0.32771889319872288</v>
      </c>
    </row>
    <row r="443" spans="1:11" x14ac:dyDescent="0.2">
      <c r="A443">
        <v>442</v>
      </c>
      <c r="J443">
        <f t="shared" si="43"/>
        <v>0.99999857732222874</v>
      </c>
      <c r="K443">
        <f t="shared" si="44"/>
        <v>0.32832394619484406</v>
      </c>
    </row>
    <row r="444" spans="1:11" x14ac:dyDescent="0.2">
      <c r="A444">
        <v>443</v>
      </c>
      <c r="J444">
        <f t="shared" si="43"/>
        <v>0.99999862000256179</v>
      </c>
      <c r="K444">
        <f t="shared" si="44"/>
        <v>0.3289284546432687</v>
      </c>
    </row>
    <row r="445" spans="1:11" x14ac:dyDescent="0.2">
      <c r="A445">
        <v>444</v>
      </c>
      <c r="J445">
        <f t="shared" ref="J445:J455" si="45">J444+J$2-J444*J$2</f>
        <v>0.99999866140248483</v>
      </c>
      <c r="K445">
        <f t="shared" ref="K445:K455" si="46">K444+K$2-K444*K$2</f>
        <v>0.32953241903408975</v>
      </c>
    </row>
    <row r="446" spans="1:11" x14ac:dyDescent="0.2">
      <c r="A446">
        <v>445</v>
      </c>
      <c r="J446">
        <f t="shared" si="45"/>
        <v>0.99999870156041015</v>
      </c>
      <c r="K446">
        <f t="shared" si="46"/>
        <v>0.3301358398569591</v>
      </c>
    </row>
    <row r="447" spans="1:11" x14ac:dyDescent="0.2">
      <c r="A447">
        <v>446</v>
      </c>
      <c r="J447">
        <f t="shared" si="45"/>
        <v>0.99999874051359783</v>
      </c>
      <c r="K447">
        <f t="shared" si="46"/>
        <v>0.33073871760108786</v>
      </c>
    </row>
    <row r="448" spans="1:11" x14ac:dyDescent="0.2">
      <c r="A448">
        <v>447</v>
      </c>
      <c r="J448">
        <f t="shared" si="45"/>
        <v>0.99999877829818984</v>
      </c>
      <c r="K448">
        <f t="shared" si="46"/>
        <v>0.33134105275524689</v>
      </c>
    </row>
    <row r="449" spans="1:11" x14ac:dyDescent="0.2">
      <c r="A449">
        <v>448</v>
      </c>
      <c r="J449">
        <f t="shared" si="45"/>
        <v>0.99999881494924414</v>
      </c>
      <c r="K449">
        <f t="shared" si="46"/>
        <v>0.33194284580776717</v>
      </c>
    </row>
    <row r="450" spans="1:11" x14ac:dyDescent="0.2">
      <c r="A450">
        <v>449</v>
      </c>
      <c r="J450">
        <f t="shared" si="45"/>
        <v>0.99999885050076676</v>
      </c>
      <c r="K450">
        <f t="shared" si="46"/>
        <v>0.33254409724654022</v>
      </c>
    </row>
    <row r="451" spans="1:11" x14ac:dyDescent="0.2">
      <c r="A451">
        <v>450</v>
      </c>
      <c r="J451">
        <f t="shared" si="45"/>
        <v>0.99999888498574363</v>
      </c>
      <c r="K451">
        <f t="shared" si="46"/>
        <v>0.33314480755901832</v>
      </c>
    </row>
    <row r="452" spans="1:11" x14ac:dyDescent="0.2">
      <c r="A452">
        <v>451</v>
      </c>
      <c r="J452">
        <f t="shared" si="45"/>
        <v>0.99999891843617128</v>
      </c>
      <c r="K452">
        <f t="shared" si="46"/>
        <v>0.33374497723221519</v>
      </c>
    </row>
    <row r="453" spans="1:11" x14ac:dyDescent="0.2">
      <c r="A453">
        <v>452</v>
      </c>
      <c r="J453">
        <f t="shared" si="45"/>
        <v>0.99999895088308621</v>
      </c>
      <c r="K453">
        <f t="shared" si="46"/>
        <v>0.33434460675270622</v>
      </c>
    </row>
    <row r="454" spans="1:11" x14ac:dyDescent="0.2">
      <c r="A454">
        <v>453</v>
      </c>
      <c r="J454">
        <f t="shared" si="45"/>
        <v>0.99999898235659368</v>
      </c>
      <c r="K454">
        <f t="shared" si="46"/>
        <v>0.33494369660662882</v>
      </c>
    </row>
    <row r="455" spans="1:11" x14ac:dyDescent="0.2">
      <c r="A455">
        <v>454</v>
      </c>
      <c r="J455">
        <f t="shared" si="45"/>
        <v>0.99999901288589577</v>
      </c>
      <c r="K455">
        <f t="shared" si="46"/>
        <v>0.33554224727968285</v>
      </c>
    </row>
  </sheetData>
  <mergeCells count="4">
    <mergeCell ref="D1:E1"/>
    <mergeCell ref="B1:C1"/>
    <mergeCell ref="F1:G1"/>
    <mergeCell ref="J1:K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51"/>
  <sheetViews>
    <sheetView topLeftCell="B22" workbookViewId="0">
      <selection activeCell="D42" sqref="D42"/>
    </sheetView>
  </sheetViews>
  <sheetFormatPr defaultRowHeight="12.75" x14ac:dyDescent="0.2"/>
  <cols>
    <col min="1" max="1" width="69.140625" style="82" customWidth="1"/>
    <col min="2" max="2" width="71" style="82" customWidth="1"/>
    <col min="3" max="3" width="26.85546875" style="82" customWidth="1"/>
    <col min="4" max="4" width="57.140625" style="82" customWidth="1"/>
    <col min="5" max="5" width="2.85546875" style="87" customWidth="1"/>
    <col min="6" max="6" width="72.85546875" style="82" customWidth="1"/>
    <col min="7" max="7" width="29.85546875" style="82" customWidth="1"/>
    <col min="8" max="8" width="40.140625" style="82" customWidth="1"/>
    <col min="9" max="16384" width="9.140625" style="82"/>
  </cols>
  <sheetData>
    <row r="1" spans="1:8" ht="25.5" x14ac:dyDescent="0.2">
      <c r="A1" s="41" t="s">
        <v>163</v>
      </c>
      <c r="B1" s="41" t="s">
        <v>164</v>
      </c>
      <c r="C1" s="71" t="s">
        <v>247</v>
      </c>
      <c r="D1" s="72" t="s">
        <v>232</v>
      </c>
      <c r="E1" s="78"/>
      <c r="F1" s="41" t="s">
        <v>165</v>
      </c>
      <c r="G1" s="66" t="s">
        <v>242</v>
      </c>
      <c r="H1" s="103" t="s">
        <v>232</v>
      </c>
    </row>
    <row r="2" spans="1:8" ht="38.25" x14ac:dyDescent="0.2">
      <c r="A2" s="83" t="s">
        <v>175</v>
      </c>
      <c r="B2" s="84" t="s">
        <v>166</v>
      </c>
      <c r="C2" s="127" t="s">
        <v>248</v>
      </c>
      <c r="D2" s="84" t="s">
        <v>233</v>
      </c>
      <c r="E2" s="142"/>
      <c r="F2" s="187" t="s">
        <v>160</v>
      </c>
      <c r="G2" s="177" t="s">
        <v>210</v>
      </c>
      <c r="H2" s="188" t="s">
        <v>238</v>
      </c>
    </row>
    <row r="3" spans="1:8" s="87" customFormat="1" x14ac:dyDescent="0.2">
      <c r="A3" s="85" t="s">
        <v>249</v>
      </c>
      <c r="B3" s="86" t="s">
        <v>125</v>
      </c>
      <c r="C3" s="128" t="s">
        <v>214</v>
      </c>
      <c r="D3" s="86" t="s">
        <v>234</v>
      </c>
      <c r="E3" s="80"/>
      <c r="F3" s="98" t="s">
        <v>128</v>
      </c>
      <c r="G3" s="178" t="s">
        <v>211</v>
      </c>
      <c r="H3" s="146" t="s">
        <v>1469</v>
      </c>
    </row>
    <row r="4" spans="1:8" ht="29.25" customHeight="1" x14ac:dyDescent="0.2">
      <c r="A4" s="88" t="s">
        <v>167</v>
      </c>
      <c r="B4" s="74" t="s">
        <v>94</v>
      </c>
      <c r="C4" s="128" t="s">
        <v>250</v>
      </c>
      <c r="D4" s="74" t="s">
        <v>235</v>
      </c>
      <c r="E4" s="80"/>
      <c r="F4" s="99" t="s">
        <v>129</v>
      </c>
      <c r="G4" s="177" t="s">
        <v>212</v>
      </c>
      <c r="H4" s="75" t="s">
        <v>243</v>
      </c>
    </row>
    <row r="5" spans="1:8" ht="30" customHeight="1" x14ac:dyDescent="0.2">
      <c r="A5" s="88" t="s">
        <v>176</v>
      </c>
      <c r="B5" s="74" t="s">
        <v>95</v>
      </c>
      <c r="C5" s="128" t="s">
        <v>212</v>
      </c>
      <c r="D5" s="73" t="s">
        <v>235</v>
      </c>
      <c r="E5" s="79"/>
      <c r="F5" s="99" t="s">
        <v>130</v>
      </c>
      <c r="G5" s="177" t="s">
        <v>212</v>
      </c>
      <c r="H5" s="75" t="s">
        <v>243</v>
      </c>
    </row>
    <row r="6" spans="1:8" ht="15.75" customHeight="1" x14ac:dyDescent="0.2">
      <c r="A6" s="88" t="s">
        <v>177</v>
      </c>
      <c r="B6" s="74" t="s">
        <v>96</v>
      </c>
      <c r="C6" s="128" t="s">
        <v>207</v>
      </c>
      <c r="D6" s="73" t="s">
        <v>236</v>
      </c>
      <c r="E6" s="79"/>
      <c r="F6" s="100" t="s">
        <v>131</v>
      </c>
      <c r="G6" s="177" t="s">
        <v>210</v>
      </c>
      <c r="H6" s="89" t="s">
        <v>234</v>
      </c>
    </row>
    <row r="7" spans="1:8" ht="16.5" customHeight="1" x14ac:dyDescent="0.2">
      <c r="A7" s="88" t="s">
        <v>178</v>
      </c>
      <c r="B7" s="74" t="s">
        <v>97</v>
      </c>
      <c r="C7" s="128" t="s">
        <v>212</v>
      </c>
      <c r="D7" s="73" t="s">
        <v>236</v>
      </c>
      <c r="E7" s="79"/>
      <c r="F7" s="100" t="s">
        <v>132</v>
      </c>
      <c r="G7" s="177" t="s">
        <v>210</v>
      </c>
      <c r="H7" s="89" t="s">
        <v>234</v>
      </c>
    </row>
    <row r="8" spans="1:8" x14ac:dyDescent="0.2">
      <c r="A8" s="88" t="s">
        <v>179</v>
      </c>
      <c r="B8" s="74" t="s">
        <v>98</v>
      </c>
      <c r="C8" s="128" t="s">
        <v>210</v>
      </c>
      <c r="D8" s="74" t="s">
        <v>237</v>
      </c>
      <c r="E8" s="80"/>
      <c r="F8" s="98" t="s">
        <v>133</v>
      </c>
      <c r="G8" s="177" t="s">
        <v>208</v>
      </c>
      <c r="H8" s="92" t="s">
        <v>1469</v>
      </c>
    </row>
    <row r="9" spans="1:8" s="87" customFormat="1" x14ac:dyDescent="0.2">
      <c r="A9" s="90" t="s">
        <v>180</v>
      </c>
      <c r="B9" s="181" t="s">
        <v>99</v>
      </c>
      <c r="C9" s="129" t="s">
        <v>208</v>
      </c>
      <c r="D9" s="144" t="s">
        <v>1469</v>
      </c>
      <c r="E9" s="80"/>
      <c r="F9" s="98" t="s">
        <v>134</v>
      </c>
      <c r="G9" s="178" t="s">
        <v>210</v>
      </c>
      <c r="H9" s="92" t="s">
        <v>1469</v>
      </c>
    </row>
    <row r="10" spans="1:8" s="87" customFormat="1" x14ac:dyDescent="0.2">
      <c r="A10" s="90" t="s">
        <v>181</v>
      </c>
      <c r="B10" s="181" t="s">
        <v>100</v>
      </c>
      <c r="C10" s="129" t="s">
        <v>210</v>
      </c>
      <c r="D10" s="145" t="s">
        <v>1469</v>
      </c>
      <c r="E10" s="80"/>
      <c r="F10" s="100" t="s">
        <v>135</v>
      </c>
      <c r="G10" s="178" t="s">
        <v>214</v>
      </c>
      <c r="H10" s="89" t="s">
        <v>234</v>
      </c>
    </row>
    <row r="11" spans="1:8" x14ac:dyDescent="0.2">
      <c r="A11" s="81" t="s">
        <v>182</v>
      </c>
      <c r="B11" s="86" t="s">
        <v>101</v>
      </c>
      <c r="C11" s="129" t="s">
        <v>210</v>
      </c>
      <c r="D11" s="91" t="s">
        <v>234</v>
      </c>
      <c r="E11" s="80"/>
      <c r="F11" s="100" t="s">
        <v>136</v>
      </c>
      <c r="G11" s="177" t="s">
        <v>212</v>
      </c>
      <c r="H11" s="89" t="s">
        <v>234</v>
      </c>
    </row>
    <row r="12" spans="1:8" x14ac:dyDescent="0.2">
      <c r="A12" s="81" t="s">
        <v>183</v>
      </c>
      <c r="B12" s="86" t="s">
        <v>102</v>
      </c>
      <c r="C12" s="129" t="s">
        <v>214</v>
      </c>
      <c r="D12" s="91" t="s">
        <v>234</v>
      </c>
      <c r="E12" s="80"/>
      <c r="F12" s="100" t="s">
        <v>137</v>
      </c>
      <c r="G12" s="177" t="s">
        <v>214</v>
      </c>
      <c r="H12" s="89" t="s">
        <v>234</v>
      </c>
    </row>
    <row r="13" spans="1:8" x14ac:dyDescent="0.2">
      <c r="A13" s="90" t="s">
        <v>184</v>
      </c>
      <c r="B13" s="181" t="s">
        <v>103</v>
      </c>
      <c r="C13" s="129" t="s">
        <v>208</v>
      </c>
      <c r="D13" s="145" t="s">
        <v>1469</v>
      </c>
      <c r="E13" s="80"/>
      <c r="F13" s="99" t="s">
        <v>138</v>
      </c>
      <c r="G13" s="177" t="s">
        <v>210</v>
      </c>
      <c r="H13" s="75" t="s">
        <v>1476</v>
      </c>
    </row>
    <row r="14" spans="1:8" ht="38.25" x14ac:dyDescent="0.2">
      <c r="A14" s="88" t="s">
        <v>185</v>
      </c>
      <c r="B14" s="74" t="s">
        <v>104</v>
      </c>
      <c r="C14" s="130" t="s">
        <v>251</v>
      </c>
      <c r="D14" s="171" t="s">
        <v>239</v>
      </c>
      <c r="E14" s="80"/>
      <c r="F14" s="99" t="s">
        <v>139</v>
      </c>
      <c r="G14" s="177" t="s">
        <v>210</v>
      </c>
      <c r="H14" s="75" t="s">
        <v>1476</v>
      </c>
    </row>
    <row r="15" spans="1:8" ht="25.5" x14ac:dyDescent="0.2">
      <c r="A15" s="88" t="s">
        <v>186</v>
      </c>
      <c r="B15" s="74" t="s">
        <v>105</v>
      </c>
      <c r="C15" s="130" t="s">
        <v>252</v>
      </c>
      <c r="D15" s="77" t="s">
        <v>239</v>
      </c>
      <c r="E15" s="80"/>
      <c r="F15" s="99" t="s">
        <v>140</v>
      </c>
      <c r="G15" s="177" t="s">
        <v>210</v>
      </c>
      <c r="H15" s="75" t="s">
        <v>1476</v>
      </c>
    </row>
    <row r="16" spans="1:8" ht="38.25" x14ac:dyDescent="0.2">
      <c r="A16" s="88" t="s">
        <v>187</v>
      </c>
      <c r="B16" s="74" t="s">
        <v>106</v>
      </c>
      <c r="C16" s="130" t="s">
        <v>251</v>
      </c>
      <c r="D16" s="77" t="s">
        <v>239</v>
      </c>
      <c r="E16" s="80"/>
      <c r="F16" s="99" t="s">
        <v>141</v>
      </c>
      <c r="G16" s="177" t="s">
        <v>210</v>
      </c>
      <c r="H16" s="75" t="s">
        <v>1476</v>
      </c>
    </row>
    <row r="17" spans="1:8" x14ac:dyDescent="0.2">
      <c r="A17" s="93" t="s">
        <v>188</v>
      </c>
      <c r="B17" s="182" t="s">
        <v>107</v>
      </c>
      <c r="C17" s="130" t="s">
        <v>209</v>
      </c>
      <c r="D17" s="143" t="s">
        <v>238</v>
      </c>
      <c r="E17" s="80"/>
      <c r="F17" s="99" t="s">
        <v>142</v>
      </c>
      <c r="G17" s="177" t="s">
        <v>210</v>
      </c>
      <c r="H17" s="75" t="s">
        <v>1476</v>
      </c>
    </row>
    <row r="18" spans="1:8" ht="25.5" x14ac:dyDescent="0.2">
      <c r="A18" s="88" t="s">
        <v>189</v>
      </c>
      <c r="B18" s="74" t="s">
        <v>108</v>
      </c>
      <c r="C18" s="130" t="s">
        <v>253</v>
      </c>
      <c r="D18" s="77" t="s">
        <v>240</v>
      </c>
      <c r="E18" s="80"/>
      <c r="F18" s="99" t="s">
        <v>143</v>
      </c>
      <c r="G18" s="177" t="s">
        <v>210</v>
      </c>
      <c r="H18" s="75" t="s">
        <v>1476</v>
      </c>
    </row>
    <row r="19" spans="1:8" x14ac:dyDescent="0.2">
      <c r="A19" s="93" t="s">
        <v>168</v>
      </c>
      <c r="B19" s="182" t="s">
        <v>109</v>
      </c>
      <c r="C19" s="130" t="s">
        <v>209</v>
      </c>
      <c r="D19" s="94" t="s">
        <v>238</v>
      </c>
      <c r="E19" s="80"/>
      <c r="F19" s="98" t="s">
        <v>144</v>
      </c>
      <c r="G19" s="177" t="s">
        <v>210</v>
      </c>
      <c r="H19" s="92" t="s">
        <v>1469</v>
      </c>
    </row>
    <row r="20" spans="1:8" s="87" customFormat="1" ht="102" x14ac:dyDescent="0.2">
      <c r="A20" s="88" t="s">
        <v>169</v>
      </c>
      <c r="B20" s="74" t="s">
        <v>110</v>
      </c>
      <c r="C20" s="179" t="s">
        <v>254</v>
      </c>
      <c r="D20" s="171" t="s">
        <v>239</v>
      </c>
      <c r="E20" s="80"/>
      <c r="F20" s="101" t="s">
        <v>145</v>
      </c>
      <c r="G20" s="178" t="s">
        <v>210</v>
      </c>
      <c r="H20" s="95" t="s">
        <v>238</v>
      </c>
    </row>
    <row r="21" spans="1:8" ht="25.5" x14ac:dyDescent="0.2">
      <c r="A21" s="90" t="s">
        <v>170</v>
      </c>
      <c r="B21" s="181" t="s">
        <v>111</v>
      </c>
      <c r="C21" s="129" t="s">
        <v>211</v>
      </c>
      <c r="D21" s="145" t="s">
        <v>1469</v>
      </c>
      <c r="E21" s="80"/>
      <c r="F21" s="99" t="s">
        <v>146</v>
      </c>
      <c r="G21" s="177" t="s">
        <v>210</v>
      </c>
      <c r="H21" s="75" t="s">
        <v>1501</v>
      </c>
    </row>
    <row r="22" spans="1:8" ht="25.5" x14ac:dyDescent="0.2">
      <c r="A22" s="88" t="s">
        <v>171</v>
      </c>
      <c r="B22" s="74" t="s">
        <v>112</v>
      </c>
      <c r="C22" s="130" t="s">
        <v>211</v>
      </c>
      <c r="D22" s="77" t="s">
        <v>241</v>
      </c>
      <c r="E22" s="80"/>
      <c r="F22" s="100" t="s">
        <v>147</v>
      </c>
      <c r="G22" s="177" t="s">
        <v>214</v>
      </c>
      <c r="H22" s="89" t="s">
        <v>234</v>
      </c>
    </row>
    <row r="23" spans="1:8" ht="51" x14ac:dyDescent="0.2">
      <c r="A23" s="88" t="s">
        <v>172</v>
      </c>
      <c r="B23" s="74" t="s">
        <v>113</v>
      </c>
      <c r="C23" s="130" t="s">
        <v>255</v>
      </c>
      <c r="D23" s="77" t="s">
        <v>240</v>
      </c>
      <c r="E23" s="80"/>
      <c r="F23" s="99" t="s">
        <v>148</v>
      </c>
      <c r="G23" s="177" t="s">
        <v>210</v>
      </c>
      <c r="H23" s="75" t="s">
        <v>244</v>
      </c>
    </row>
    <row r="24" spans="1:8" x14ac:dyDescent="0.2">
      <c r="A24" s="88" t="s">
        <v>173</v>
      </c>
      <c r="B24" s="74" t="s">
        <v>114</v>
      </c>
      <c r="C24" s="129" t="s">
        <v>210</v>
      </c>
      <c r="D24" s="77" t="s">
        <v>235</v>
      </c>
      <c r="E24" s="80"/>
      <c r="F24" s="99" t="s">
        <v>149</v>
      </c>
      <c r="G24" s="177" t="s">
        <v>210</v>
      </c>
      <c r="H24" s="75" t="s">
        <v>245</v>
      </c>
    </row>
    <row r="25" spans="1:8" ht="51" x14ac:dyDescent="0.2">
      <c r="A25" s="88" t="s">
        <v>190</v>
      </c>
      <c r="B25" s="74" t="s">
        <v>115</v>
      </c>
      <c r="C25" s="129" t="s">
        <v>256</v>
      </c>
      <c r="D25" s="77" t="s">
        <v>235</v>
      </c>
      <c r="E25" s="80"/>
      <c r="F25" s="99" t="s">
        <v>150</v>
      </c>
      <c r="G25" s="177" t="s">
        <v>210</v>
      </c>
      <c r="H25" s="75" t="s">
        <v>246</v>
      </c>
    </row>
    <row r="26" spans="1:8" ht="51" x14ac:dyDescent="0.2">
      <c r="A26" s="93" t="s">
        <v>191</v>
      </c>
      <c r="B26" s="182" t="s">
        <v>126</v>
      </c>
      <c r="C26" s="176" t="s">
        <v>257</v>
      </c>
      <c r="D26" s="143" t="s">
        <v>238</v>
      </c>
      <c r="E26" s="80"/>
      <c r="F26" s="99" t="s">
        <v>151</v>
      </c>
      <c r="G26" s="177" t="s">
        <v>210</v>
      </c>
      <c r="H26" s="75" t="s">
        <v>1476</v>
      </c>
    </row>
    <row r="27" spans="1:8" ht="25.5" x14ac:dyDescent="0.2">
      <c r="A27" s="93" t="s">
        <v>192</v>
      </c>
      <c r="B27" s="182" t="s">
        <v>116</v>
      </c>
      <c r="C27" s="176" t="s">
        <v>258</v>
      </c>
      <c r="D27" s="143" t="s">
        <v>238</v>
      </c>
      <c r="E27" s="80"/>
      <c r="F27" s="102" t="s">
        <v>161</v>
      </c>
      <c r="G27" s="177" t="s">
        <v>210</v>
      </c>
      <c r="H27" s="92" t="s">
        <v>1469</v>
      </c>
    </row>
    <row r="28" spans="1:8" ht="51" x14ac:dyDescent="0.2">
      <c r="A28" s="93" t="s">
        <v>193</v>
      </c>
      <c r="B28" s="182" t="s">
        <v>117</v>
      </c>
      <c r="C28" s="129" t="s">
        <v>260</v>
      </c>
      <c r="D28" s="94" t="s">
        <v>238</v>
      </c>
      <c r="E28" s="80"/>
      <c r="F28" s="98" t="s">
        <v>152</v>
      </c>
      <c r="G28" s="177" t="s">
        <v>212</v>
      </c>
      <c r="H28" s="92" t="s">
        <v>1469</v>
      </c>
    </row>
    <row r="29" spans="1:8" ht="150" customHeight="1" x14ac:dyDescent="0.2">
      <c r="A29" s="93" t="s">
        <v>194</v>
      </c>
      <c r="B29" s="182" t="s">
        <v>118</v>
      </c>
      <c r="C29" s="129" t="s">
        <v>260</v>
      </c>
      <c r="D29" s="94" t="s">
        <v>238</v>
      </c>
      <c r="E29" s="80"/>
      <c r="F29" s="99" t="s">
        <v>153</v>
      </c>
      <c r="G29" s="177" t="s">
        <v>212</v>
      </c>
      <c r="H29" s="75" t="s">
        <v>1522</v>
      </c>
    </row>
    <row r="30" spans="1:8" ht="140.25" x14ac:dyDescent="0.2">
      <c r="A30" s="93" t="s">
        <v>195</v>
      </c>
      <c r="B30" s="182" t="s">
        <v>119</v>
      </c>
      <c r="C30" s="129" t="s">
        <v>208</v>
      </c>
      <c r="D30" s="94" t="s">
        <v>238</v>
      </c>
      <c r="E30" s="80"/>
      <c r="F30" s="99" t="s">
        <v>154</v>
      </c>
      <c r="G30" s="177" t="s">
        <v>212</v>
      </c>
      <c r="H30" s="75" t="s">
        <v>1522</v>
      </c>
    </row>
    <row r="31" spans="1:8" ht="140.25" x14ac:dyDescent="0.2">
      <c r="A31" s="93" t="s">
        <v>196</v>
      </c>
      <c r="B31" s="182" t="s">
        <v>120</v>
      </c>
      <c r="C31" s="129" t="s">
        <v>212</v>
      </c>
      <c r="D31" s="94" t="s">
        <v>238</v>
      </c>
      <c r="E31" s="80"/>
      <c r="F31" s="99" t="s">
        <v>155</v>
      </c>
      <c r="G31" s="177" t="s">
        <v>212</v>
      </c>
      <c r="H31" s="75" t="s">
        <v>1522</v>
      </c>
    </row>
    <row r="32" spans="1:8" ht="31.5" customHeight="1" x14ac:dyDescent="0.2">
      <c r="A32" s="93" t="s">
        <v>174</v>
      </c>
      <c r="B32" s="182" t="s">
        <v>121</v>
      </c>
      <c r="C32" s="129" t="s">
        <v>261</v>
      </c>
      <c r="D32" s="94" t="s">
        <v>238</v>
      </c>
      <c r="E32" s="80"/>
      <c r="F32" s="99" t="s">
        <v>156</v>
      </c>
      <c r="G32" s="177" t="s">
        <v>212</v>
      </c>
      <c r="H32" s="75" t="s">
        <v>237</v>
      </c>
    </row>
    <row r="33" spans="1:8" ht="38.25" x14ac:dyDescent="0.2">
      <c r="A33" s="93" t="s">
        <v>197</v>
      </c>
      <c r="B33" s="182" t="s">
        <v>122</v>
      </c>
      <c r="C33" s="129" t="s">
        <v>259</v>
      </c>
      <c r="D33" s="94" t="s">
        <v>238</v>
      </c>
      <c r="E33" s="80"/>
      <c r="F33" s="184" t="s">
        <v>162</v>
      </c>
      <c r="G33" s="177" t="s">
        <v>210</v>
      </c>
      <c r="H33" s="95" t="s">
        <v>238</v>
      </c>
    </row>
    <row r="34" spans="1:8" ht="25.5" x14ac:dyDescent="0.2">
      <c r="A34" s="96" t="s">
        <v>198</v>
      </c>
      <c r="B34" s="183" t="s">
        <v>127</v>
      </c>
      <c r="C34" s="131" t="s">
        <v>261</v>
      </c>
      <c r="D34" s="91" t="s">
        <v>234</v>
      </c>
      <c r="E34" s="80"/>
      <c r="F34" s="101" t="s">
        <v>157</v>
      </c>
      <c r="G34" s="177" t="s">
        <v>210</v>
      </c>
      <c r="H34" s="95" t="s">
        <v>238</v>
      </c>
    </row>
    <row r="35" spans="1:8" x14ac:dyDescent="0.2">
      <c r="A35" s="81" t="s">
        <v>199</v>
      </c>
      <c r="B35" s="86" t="s">
        <v>123</v>
      </c>
      <c r="C35" s="131" t="s">
        <v>212</v>
      </c>
      <c r="D35" s="91" t="s">
        <v>234</v>
      </c>
      <c r="E35" s="80"/>
      <c r="F35" s="101" t="s">
        <v>158</v>
      </c>
      <c r="G35" s="177" t="s">
        <v>212</v>
      </c>
      <c r="H35" s="95" t="s">
        <v>238</v>
      </c>
    </row>
    <row r="36" spans="1:8" x14ac:dyDescent="0.2">
      <c r="A36" s="81" t="s">
        <v>200</v>
      </c>
      <c r="B36" s="86" t="s">
        <v>124</v>
      </c>
      <c r="C36" s="131" t="s">
        <v>214</v>
      </c>
      <c r="D36" s="91" t="s">
        <v>234</v>
      </c>
      <c r="E36" s="80"/>
      <c r="F36" s="101" t="s">
        <v>159</v>
      </c>
      <c r="G36" s="177" t="s">
        <v>212</v>
      </c>
      <c r="H36" s="95" t="s">
        <v>238</v>
      </c>
    </row>
    <row r="38" spans="1:8" x14ac:dyDescent="0.2">
      <c r="C38" s="82" t="s">
        <v>1470</v>
      </c>
      <c r="D38" s="82">
        <f>COUNTIFS(D2:D36,"m4_scst_*",C2:C36,"*cm4_dpu_lsu*")</f>
        <v>9</v>
      </c>
      <c r="G38" s="82" t="s">
        <v>1470</v>
      </c>
      <c r="H38" s="82">
        <f>COUNTIFS(H2:H36,"m4_scst_*",G2:G36,"*cm4_dpu_lsu*")</f>
        <v>6</v>
      </c>
    </row>
    <row r="39" spans="1:8" x14ac:dyDescent="0.2">
      <c r="A39" s="149" t="s">
        <v>201</v>
      </c>
      <c r="B39" s="76"/>
      <c r="C39" s="82" t="s">
        <v>1472</v>
      </c>
      <c r="D39" s="82">
        <f>COUNTIF(C2:C36,"*cm4_dpu_lsu*")-COUNTIFS(C2:C36,"*cm4_dpu_lsu*",D2:D36,"*N/A*")-COUNTIFS(C2:C36,"*cm4_dpu_lsu*",D2:D36,"*TBD*")</f>
        <v>9</v>
      </c>
      <c r="F39" s="82" t="s">
        <v>1471</v>
      </c>
      <c r="G39" s="82" t="s">
        <v>1472</v>
      </c>
      <c r="H39" s="82">
        <f>COUNTIF(G2:G36,"*cm4_dpu_lsu*")-COUNTIFS(G2:G36,"*cm4_dpu_lsu*",H2:H36,"*N/A*")-COUNTIFS(G2:G36,"*cm4_dpu_lsu*",H2:H36,"*TBD*")</f>
        <v>7</v>
      </c>
    </row>
    <row r="40" spans="1:8" x14ac:dyDescent="0.2">
      <c r="A40" s="155" t="s">
        <v>202</v>
      </c>
      <c r="B40" s="76"/>
      <c r="C40" s="141" t="s">
        <v>1473</v>
      </c>
      <c r="D40" s="82">
        <f>COUNTIFS(D2:D36,"m4_scst_*",C2:C36,"*cm4_dpu_fetch*")</f>
        <v>4</v>
      </c>
      <c r="G40" s="141" t="s">
        <v>1473</v>
      </c>
      <c r="H40" s="82">
        <f>COUNTIFS(H2:H36,"m4_scst_*",G2:G36,"*cm4_dpu_fetch*")</f>
        <v>0</v>
      </c>
    </row>
    <row r="41" spans="1:8" x14ac:dyDescent="0.2">
      <c r="A41" s="154" t="s">
        <v>203</v>
      </c>
      <c r="C41" s="141" t="s">
        <v>1474</v>
      </c>
      <c r="D41" s="82">
        <f>COUNTIF(C2:C36,"*cm4_dpu_fetch*")-COUNTIFS(C2:C36,"*cm4_dpu_fetch*",D2:D36,"*N/A*")-COUNTIFS(C2:C36,"*cm4_dpu_fetch*",D2:D36,"*TBD*")</f>
        <v>6</v>
      </c>
      <c r="G41" s="141" t="s">
        <v>1474</v>
      </c>
      <c r="H41" s="82">
        <f>COUNTIF(G2:G36,"*cm4_dpu_fetch*")-COUNTIFS(G2:G36,"*cm4_dpu_fetch*",H2:H36,"*N/A*")-COUNTIFS(G2:G36,"*cm4_dpu_fetch*",H2:H36,"*TBD*")</f>
        <v>1</v>
      </c>
    </row>
    <row r="42" spans="1:8" x14ac:dyDescent="0.2">
      <c r="A42" s="150" t="s">
        <v>204</v>
      </c>
      <c r="C42" s="141" t="s">
        <v>1477</v>
      </c>
      <c r="D42" s="82">
        <f>COUNTIFS(D2:D36,"m4_scst_*",C2:C36,"*cm4_dpu_exec*")</f>
        <v>8</v>
      </c>
      <c r="G42" s="141" t="s">
        <v>1477</v>
      </c>
      <c r="H42" s="82">
        <f>COUNTIFS(H2:H36,"m4_scst_*",G2:G36,"*cm4_dpu_exec*")</f>
        <v>11</v>
      </c>
    </row>
    <row r="43" spans="1:8" x14ac:dyDescent="0.2">
      <c r="A43" s="97" t="s">
        <v>205</v>
      </c>
      <c r="C43" s="141" t="s">
        <v>1478</v>
      </c>
      <c r="D43" s="82">
        <f>COUNTIF(C2:C36,"*cm4_dpu_exec*")-COUNTIFS(C2:C36,"*cm4_dpu_exec*",D2:D36,"*N/A*")-COUNTIFS(C2:C36,"*cm4_dpu_exec*",D2:D36,"*TBD*")</f>
        <v>9</v>
      </c>
      <c r="G43" s="141" t="s">
        <v>1478</v>
      </c>
      <c r="H43" s="82">
        <f>COUNTIF(G2:G36,"*cm4_dpu_exec*")-COUNTIFS(G2:G36,"*cm4_dpu_exec*",H2:H36,"*N/A*")-COUNTIFS(G2:G36,"*cm4_dpu_exec*",H2:H36,"*TBD*")</f>
        <v>14</v>
      </c>
    </row>
    <row r="44" spans="1:8" x14ac:dyDescent="0.2">
      <c r="C44" s="141" t="s">
        <v>1479</v>
      </c>
      <c r="D44" s="82">
        <f>COUNTIFS(D2:D36,"m4_scst_*",C2:C36,"*cm4_dpu_status*")</f>
        <v>1</v>
      </c>
      <c r="G44" s="141" t="s">
        <v>1479</v>
      </c>
      <c r="H44" s="82">
        <f>COUNTIFS(H2:H36,"m4_scst_*",G2:G36,"*cm4_dpu_status*")</f>
        <v>0</v>
      </c>
    </row>
    <row r="45" spans="1:8" x14ac:dyDescent="0.2">
      <c r="C45" s="141" t="s">
        <v>1480</v>
      </c>
      <c r="D45" s="82">
        <f>COUNTIF(C2:C36,"*cm4_dpu_status*")-COUNTIFS(C2:C36,"*cm4_dpu_status*",D2:D36,"*N/A*")-COUNTIFS(C2:C36,"*cm4_dpu_status*",D2:D36,"*TBD*")</f>
        <v>1</v>
      </c>
      <c r="G45" s="141" t="s">
        <v>1480</v>
      </c>
      <c r="H45" s="82">
        <f>COUNTIF(G2:G36,"*cm4_dpu_status*")-COUNTIFS(G2:G36,"*cm4_dpu_status*",H2:H36,"*N/A*")-COUNTIFS(G2:G36,"*cm4_dpu_status*",H2:H36,"*TBD*")</f>
        <v>0</v>
      </c>
    </row>
    <row r="48" spans="1:8" x14ac:dyDescent="0.2">
      <c r="A48" s="189" t="s">
        <v>1491</v>
      </c>
      <c r="B48" s="190">
        <f>(D38+H38)/(D39+H39)</f>
        <v>0.9375</v>
      </c>
    </row>
    <row r="49" spans="1:2" x14ac:dyDescent="0.2">
      <c r="A49" s="189" t="s">
        <v>1490</v>
      </c>
      <c r="B49" s="190">
        <f>(D40+H40)/(D41+H41)</f>
        <v>0.5714285714285714</v>
      </c>
    </row>
    <row r="50" spans="1:2" x14ac:dyDescent="0.2">
      <c r="A50" s="189" t="s">
        <v>1489</v>
      </c>
      <c r="B50" s="190">
        <f>(D42+H42)/(D43+H43)</f>
        <v>0.82608695652173914</v>
      </c>
    </row>
    <row r="51" spans="1:2" x14ac:dyDescent="0.2">
      <c r="A51" s="189" t="s">
        <v>1488</v>
      </c>
      <c r="B51" s="190">
        <f>(D44+H44)/(D45+H45)</f>
        <v>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241"/>
  <sheetViews>
    <sheetView topLeftCell="C69" workbookViewId="0">
      <selection activeCell="D112" sqref="D88:D112"/>
    </sheetView>
  </sheetViews>
  <sheetFormatPr defaultRowHeight="12.75" x14ac:dyDescent="0.2"/>
  <cols>
    <col min="1" max="1" width="86" customWidth="1"/>
    <col min="2" max="2" width="68.28515625" customWidth="1"/>
    <col min="3" max="3" width="74.140625" customWidth="1"/>
    <col min="4" max="4" width="59.42578125" customWidth="1"/>
    <col min="5" max="5" width="78.5703125" customWidth="1"/>
  </cols>
  <sheetData>
    <row r="1" spans="1:5" x14ac:dyDescent="0.2">
      <c r="A1" s="28" t="s">
        <v>507</v>
      </c>
      <c r="B1" s="28" t="s">
        <v>727</v>
      </c>
      <c r="C1" s="28" t="s">
        <v>793</v>
      </c>
      <c r="D1" s="28" t="s">
        <v>907</v>
      </c>
      <c r="E1" s="28" t="s">
        <v>910</v>
      </c>
    </row>
    <row r="2" spans="1:5" x14ac:dyDescent="0.2">
      <c r="A2" t="s">
        <v>276</v>
      </c>
      <c r="B2" t="s">
        <v>276</v>
      </c>
      <c r="C2" s="201" t="s">
        <v>728</v>
      </c>
      <c r="D2" t="s">
        <v>799</v>
      </c>
    </row>
    <row r="3" spans="1:5" x14ac:dyDescent="0.2">
      <c r="A3" t="s">
        <v>277</v>
      </c>
      <c r="B3" t="s">
        <v>277</v>
      </c>
      <c r="C3" s="201" t="s">
        <v>729</v>
      </c>
      <c r="D3" t="s">
        <v>800</v>
      </c>
      <c r="E3" t="s">
        <v>911</v>
      </c>
    </row>
    <row r="4" spans="1:5" x14ac:dyDescent="0.2">
      <c r="A4" t="s">
        <v>276</v>
      </c>
      <c r="B4" t="s">
        <v>276</v>
      </c>
      <c r="C4" s="201" t="s">
        <v>730</v>
      </c>
      <c r="D4" t="s">
        <v>801</v>
      </c>
      <c r="E4" t="s">
        <v>912</v>
      </c>
    </row>
    <row r="5" spans="1:5" x14ac:dyDescent="0.2">
      <c r="A5" t="s">
        <v>278</v>
      </c>
      <c r="B5" t="s">
        <v>508</v>
      </c>
      <c r="C5" s="201" t="s">
        <v>731</v>
      </c>
      <c r="D5" t="s">
        <v>802</v>
      </c>
      <c r="E5" t="s">
        <v>913</v>
      </c>
    </row>
    <row r="6" spans="1:5" x14ac:dyDescent="0.2">
      <c r="A6" t="s">
        <v>279</v>
      </c>
      <c r="B6" t="s">
        <v>509</v>
      </c>
      <c r="C6" s="201" t="s">
        <v>732</v>
      </c>
      <c r="D6" t="s">
        <v>803</v>
      </c>
      <c r="E6" t="s">
        <v>914</v>
      </c>
    </row>
    <row r="7" spans="1:5" x14ac:dyDescent="0.2">
      <c r="A7" t="s">
        <v>280</v>
      </c>
      <c r="B7" t="s">
        <v>510</v>
      </c>
      <c r="C7" s="201" t="s">
        <v>733</v>
      </c>
      <c r="D7" t="s">
        <v>804</v>
      </c>
      <c r="E7" t="s">
        <v>915</v>
      </c>
    </row>
    <row r="8" spans="1:5" x14ac:dyDescent="0.2">
      <c r="A8" t="s">
        <v>281</v>
      </c>
      <c r="B8" t="s">
        <v>511</v>
      </c>
      <c r="C8" s="201" t="s">
        <v>734</v>
      </c>
      <c r="D8" t="s">
        <v>805</v>
      </c>
      <c r="E8" t="s">
        <v>916</v>
      </c>
    </row>
    <row r="9" spans="1:5" x14ac:dyDescent="0.2">
      <c r="A9" t="s">
        <v>282</v>
      </c>
      <c r="B9" t="s">
        <v>512</v>
      </c>
      <c r="C9" s="201" t="s">
        <v>735</v>
      </c>
      <c r="D9" t="s">
        <v>806</v>
      </c>
      <c r="E9" t="s">
        <v>917</v>
      </c>
    </row>
    <row r="10" spans="1:5" x14ac:dyDescent="0.2">
      <c r="A10" t="s">
        <v>283</v>
      </c>
      <c r="B10" t="s">
        <v>513</v>
      </c>
      <c r="C10" s="201" t="s">
        <v>736</v>
      </c>
      <c r="D10" t="s">
        <v>807</v>
      </c>
      <c r="E10" t="s">
        <v>918</v>
      </c>
    </row>
    <row r="11" spans="1:5" x14ac:dyDescent="0.2">
      <c r="A11" t="s">
        <v>284</v>
      </c>
      <c r="B11" t="s">
        <v>514</v>
      </c>
      <c r="C11" s="201" t="s">
        <v>737</v>
      </c>
      <c r="D11" t="s">
        <v>808</v>
      </c>
      <c r="E11" t="s">
        <v>919</v>
      </c>
    </row>
    <row r="12" spans="1:5" x14ac:dyDescent="0.2">
      <c r="A12" t="s">
        <v>285</v>
      </c>
      <c r="B12" t="s">
        <v>515</v>
      </c>
      <c r="C12" s="201" t="s">
        <v>738</v>
      </c>
      <c r="D12" t="s">
        <v>809</v>
      </c>
      <c r="E12" t="s">
        <v>920</v>
      </c>
    </row>
    <row r="13" spans="1:5" x14ac:dyDescent="0.2">
      <c r="A13" t="s">
        <v>286</v>
      </c>
      <c r="B13" t="s">
        <v>516</v>
      </c>
      <c r="C13" s="201" t="s">
        <v>739</v>
      </c>
      <c r="D13" t="s">
        <v>810</v>
      </c>
      <c r="E13" t="s">
        <v>921</v>
      </c>
    </row>
    <row r="14" spans="1:5" x14ac:dyDescent="0.2">
      <c r="A14" t="s">
        <v>287</v>
      </c>
      <c r="B14" t="s">
        <v>517</v>
      </c>
      <c r="C14" s="201" t="s">
        <v>740</v>
      </c>
      <c r="D14" t="s">
        <v>811</v>
      </c>
      <c r="E14" t="s">
        <v>922</v>
      </c>
    </row>
    <row r="15" spans="1:5" x14ac:dyDescent="0.2">
      <c r="A15" t="s">
        <v>288</v>
      </c>
      <c r="B15" t="s">
        <v>518</v>
      </c>
      <c r="C15" s="201" t="s">
        <v>741</v>
      </c>
      <c r="D15" t="s">
        <v>812</v>
      </c>
      <c r="E15" t="s">
        <v>923</v>
      </c>
    </row>
    <row r="16" spans="1:5" x14ac:dyDescent="0.2">
      <c r="A16" t="s">
        <v>289</v>
      </c>
      <c r="B16" t="s">
        <v>519</v>
      </c>
      <c r="C16" s="134" t="s">
        <v>742</v>
      </c>
      <c r="D16" t="s">
        <v>813</v>
      </c>
      <c r="E16" t="s">
        <v>924</v>
      </c>
    </row>
    <row r="17" spans="1:5" x14ac:dyDescent="0.2">
      <c r="A17" t="s">
        <v>290</v>
      </c>
      <c r="B17" t="s">
        <v>520</v>
      </c>
      <c r="C17" s="134" t="s">
        <v>743</v>
      </c>
      <c r="D17" t="s">
        <v>814</v>
      </c>
      <c r="E17" t="s">
        <v>925</v>
      </c>
    </row>
    <row r="18" spans="1:5" x14ac:dyDescent="0.2">
      <c r="A18" t="s">
        <v>291</v>
      </c>
      <c r="B18" t="s">
        <v>521</v>
      </c>
      <c r="C18" s="134" t="s">
        <v>744</v>
      </c>
      <c r="E18" t="s">
        <v>926</v>
      </c>
    </row>
    <row r="19" spans="1:5" x14ac:dyDescent="0.2">
      <c r="A19" t="s">
        <v>292</v>
      </c>
      <c r="B19" t="s">
        <v>522</v>
      </c>
      <c r="C19" s="134" t="s">
        <v>745</v>
      </c>
      <c r="D19" t="s">
        <v>815</v>
      </c>
      <c r="E19" t="s">
        <v>927</v>
      </c>
    </row>
    <row r="20" spans="1:5" x14ac:dyDescent="0.2">
      <c r="A20" t="s">
        <v>293</v>
      </c>
      <c r="B20" t="s">
        <v>523</v>
      </c>
      <c r="C20" s="134" t="s">
        <v>746</v>
      </c>
      <c r="D20" s="201" t="s">
        <v>816</v>
      </c>
      <c r="E20" t="s">
        <v>928</v>
      </c>
    </row>
    <row r="21" spans="1:5" x14ac:dyDescent="0.2">
      <c r="A21" t="s">
        <v>294</v>
      </c>
      <c r="B21" t="s">
        <v>524</v>
      </c>
      <c r="C21" t="s">
        <v>747</v>
      </c>
      <c r="D21" s="201" t="s">
        <v>817</v>
      </c>
      <c r="E21" t="s">
        <v>929</v>
      </c>
    </row>
    <row r="22" spans="1:5" x14ac:dyDescent="0.2">
      <c r="A22" t="s">
        <v>295</v>
      </c>
      <c r="B22" t="s">
        <v>525</v>
      </c>
      <c r="C22" t="s">
        <v>748</v>
      </c>
      <c r="D22" s="201" t="s">
        <v>818</v>
      </c>
      <c r="E22" t="s">
        <v>930</v>
      </c>
    </row>
    <row r="23" spans="1:5" x14ac:dyDescent="0.2">
      <c r="A23" t="s">
        <v>296</v>
      </c>
      <c r="B23" t="s">
        <v>526</v>
      </c>
      <c r="C23" t="s">
        <v>749</v>
      </c>
      <c r="D23" s="201" t="s">
        <v>819</v>
      </c>
      <c r="E23" t="s">
        <v>931</v>
      </c>
    </row>
    <row r="24" spans="1:5" x14ac:dyDescent="0.2">
      <c r="A24" t="s">
        <v>297</v>
      </c>
      <c r="B24" t="s">
        <v>527</v>
      </c>
      <c r="C24" t="s">
        <v>750</v>
      </c>
      <c r="D24" s="201" t="s">
        <v>820</v>
      </c>
      <c r="E24" t="s">
        <v>932</v>
      </c>
    </row>
    <row r="25" spans="1:5" x14ac:dyDescent="0.2">
      <c r="A25" t="s">
        <v>298</v>
      </c>
      <c r="B25" t="s">
        <v>528</v>
      </c>
      <c r="C25" t="s">
        <v>751</v>
      </c>
      <c r="D25" s="201" t="s">
        <v>821</v>
      </c>
      <c r="E25" t="s">
        <v>933</v>
      </c>
    </row>
    <row r="26" spans="1:5" x14ac:dyDescent="0.2">
      <c r="A26" t="s">
        <v>299</v>
      </c>
      <c r="B26" t="s">
        <v>529</v>
      </c>
      <c r="C26" t="s">
        <v>752</v>
      </c>
      <c r="D26" s="201" t="s">
        <v>822</v>
      </c>
      <c r="E26" t="s">
        <v>934</v>
      </c>
    </row>
    <row r="27" spans="1:5" x14ac:dyDescent="0.2">
      <c r="A27" t="s">
        <v>300</v>
      </c>
      <c r="B27" t="s">
        <v>530</v>
      </c>
      <c r="C27" t="s">
        <v>753</v>
      </c>
      <c r="D27" s="201" t="s">
        <v>823</v>
      </c>
      <c r="E27" t="s">
        <v>935</v>
      </c>
    </row>
    <row r="28" spans="1:5" x14ac:dyDescent="0.2">
      <c r="A28" t="s">
        <v>301</v>
      </c>
      <c r="B28" t="s">
        <v>531</v>
      </c>
      <c r="C28" t="s">
        <v>754</v>
      </c>
      <c r="D28" s="201" t="s">
        <v>824</v>
      </c>
      <c r="E28" t="s">
        <v>936</v>
      </c>
    </row>
    <row r="29" spans="1:5" x14ac:dyDescent="0.2">
      <c r="A29" t="s">
        <v>302</v>
      </c>
      <c r="B29" t="s">
        <v>532</v>
      </c>
      <c r="C29" t="s">
        <v>755</v>
      </c>
      <c r="D29" s="201" t="s">
        <v>825</v>
      </c>
      <c r="E29" t="s">
        <v>937</v>
      </c>
    </row>
    <row r="30" spans="1:5" x14ac:dyDescent="0.2">
      <c r="A30" t="s">
        <v>303</v>
      </c>
      <c r="B30" t="s">
        <v>533</v>
      </c>
      <c r="C30" t="s">
        <v>756</v>
      </c>
      <c r="D30" s="201" t="s">
        <v>826</v>
      </c>
      <c r="E30" t="s">
        <v>938</v>
      </c>
    </row>
    <row r="31" spans="1:5" x14ac:dyDescent="0.2">
      <c r="A31" t="s">
        <v>304</v>
      </c>
      <c r="B31" t="s">
        <v>534</v>
      </c>
      <c r="C31" t="s">
        <v>757</v>
      </c>
      <c r="D31" s="201" t="s">
        <v>827</v>
      </c>
      <c r="E31" t="s">
        <v>939</v>
      </c>
    </row>
    <row r="32" spans="1:5" x14ac:dyDescent="0.2">
      <c r="A32" t="s">
        <v>305</v>
      </c>
      <c r="B32" t="s">
        <v>535</v>
      </c>
      <c r="C32" t="s">
        <v>758</v>
      </c>
      <c r="D32" s="201" t="s">
        <v>828</v>
      </c>
      <c r="E32" t="s">
        <v>940</v>
      </c>
    </row>
    <row r="33" spans="1:5" x14ac:dyDescent="0.2">
      <c r="A33" t="s">
        <v>306</v>
      </c>
      <c r="B33" t="s">
        <v>536</v>
      </c>
      <c r="C33" t="s">
        <v>759</v>
      </c>
      <c r="D33" s="201" t="s">
        <v>829</v>
      </c>
      <c r="E33" t="s">
        <v>941</v>
      </c>
    </row>
    <row r="34" spans="1:5" x14ac:dyDescent="0.2">
      <c r="A34" t="s">
        <v>307</v>
      </c>
      <c r="B34" t="s">
        <v>537</v>
      </c>
      <c r="C34" t="s">
        <v>760</v>
      </c>
      <c r="D34" s="201" t="s">
        <v>830</v>
      </c>
      <c r="E34" t="s">
        <v>942</v>
      </c>
    </row>
    <row r="35" spans="1:5" x14ac:dyDescent="0.2">
      <c r="A35" t="s">
        <v>308</v>
      </c>
      <c r="B35" t="s">
        <v>538</v>
      </c>
      <c r="C35" t="s">
        <v>761</v>
      </c>
      <c r="D35" s="201" t="s">
        <v>831</v>
      </c>
      <c r="E35" t="s">
        <v>943</v>
      </c>
    </row>
    <row r="36" spans="1:5" x14ac:dyDescent="0.2">
      <c r="A36" t="s">
        <v>309</v>
      </c>
      <c r="B36" t="s">
        <v>539</v>
      </c>
      <c r="C36" t="s">
        <v>762</v>
      </c>
      <c r="D36" s="201" t="s">
        <v>832</v>
      </c>
      <c r="E36" t="s">
        <v>944</v>
      </c>
    </row>
    <row r="37" spans="1:5" x14ac:dyDescent="0.2">
      <c r="A37" t="s">
        <v>310</v>
      </c>
      <c r="B37" t="s">
        <v>540</v>
      </c>
      <c r="C37" t="s">
        <v>763</v>
      </c>
      <c r="D37" s="201" t="s">
        <v>833</v>
      </c>
      <c r="E37" t="s">
        <v>945</v>
      </c>
    </row>
    <row r="38" spans="1:5" x14ac:dyDescent="0.2">
      <c r="A38" t="s">
        <v>311</v>
      </c>
      <c r="B38" t="s">
        <v>541</v>
      </c>
      <c r="C38" s="201" t="s">
        <v>764</v>
      </c>
      <c r="D38" s="201" t="s">
        <v>834</v>
      </c>
      <c r="E38" t="s">
        <v>946</v>
      </c>
    </row>
    <row r="39" spans="1:5" x14ac:dyDescent="0.2">
      <c r="A39" t="s">
        <v>312</v>
      </c>
      <c r="B39" t="s">
        <v>542</v>
      </c>
      <c r="C39" s="201" t="s">
        <v>765</v>
      </c>
      <c r="D39" s="201" t="s">
        <v>835</v>
      </c>
      <c r="E39" t="s">
        <v>947</v>
      </c>
    </row>
    <row r="40" spans="1:5" x14ac:dyDescent="0.2">
      <c r="A40" t="s">
        <v>313</v>
      </c>
      <c r="B40" t="s">
        <v>543</v>
      </c>
      <c r="C40" s="201" t="s">
        <v>766</v>
      </c>
      <c r="D40" s="201" t="s">
        <v>836</v>
      </c>
      <c r="E40" t="s">
        <v>948</v>
      </c>
    </row>
    <row r="41" spans="1:5" x14ac:dyDescent="0.2">
      <c r="A41" t="s">
        <v>314</v>
      </c>
      <c r="B41" t="s">
        <v>544</v>
      </c>
      <c r="C41" t="s">
        <v>767</v>
      </c>
      <c r="D41" s="201" t="s">
        <v>837</v>
      </c>
      <c r="E41" t="s">
        <v>949</v>
      </c>
    </row>
    <row r="42" spans="1:5" x14ac:dyDescent="0.2">
      <c r="A42" t="s">
        <v>315</v>
      </c>
      <c r="B42" t="s">
        <v>545</v>
      </c>
      <c r="C42" t="s">
        <v>768</v>
      </c>
      <c r="D42" s="201" t="s">
        <v>838</v>
      </c>
      <c r="E42" t="s">
        <v>950</v>
      </c>
    </row>
    <row r="43" spans="1:5" x14ac:dyDescent="0.2">
      <c r="A43" t="s">
        <v>316</v>
      </c>
      <c r="B43" t="s">
        <v>546</v>
      </c>
      <c r="C43" t="s">
        <v>769</v>
      </c>
      <c r="D43" s="201" t="s">
        <v>839</v>
      </c>
      <c r="E43" t="s">
        <v>951</v>
      </c>
    </row>
    <row r="44" spans="1:5" x14ac:dyDescent="0.2">
      <c r="A44" t="s">
        <v>317</v>
      </c>
      <c r="B44" t="s">
        <v>547</v>
      </c>
      <c r="C44" t="s">
        <v>770</v>
      </c>
      <c r="D44" s="201" t="s">
        <v>840</v>
      </c>
      <c r="E44" t="s">
        <v>952</v>
      </c>
    </row>
    <row r="45" spans="1:5" x14ac:dyDescent="0.2">
      <c r="A45" t="s">
        <v>318</v>
      </c>
      <c r="B45" t="s">
        <v>548</v>
      </c>
      <c r="C45" t="s">
        <v>771</v>
      </c>
      <c r="D45" s="201" t="s">
        <v>841</v>
      </c>
      <c r="E45" t="s">
        <v>953</v>
      </c>
    </row>
    <row r="46" spans="1:5" x14ac:dyDescent="0.2">
      <c r="A46" t="s">
        <v>319</v>
      </c>
      <c r="B46" t="s">
        <v>549</v>
      </c>
      <c r="C46" t="s">
        <v>772</v>
      </c>
      <c r="D46" s="201" t="s">
        <v>842</v>
      </c>
      <c r="E46" t="s">
        <v>954</v>
      </c>
    </row>
    <row r="47" spans="1:5" x14ac:dyDescent="0.2">
      <c r="A47" t="s">
        <v>320</v>
      </c>
      <c r="B47" t="s">
        <v>550</v>
      </c>
      <c r="C47" t="s">
        <v>773</v>
      </c>
      <c r="D47" s="201" t="s">
        <v>843</v>
      </c>
      <c r="E47" t="s">
        <v>955</v>
      </c>
    </row>
    <row r="48" spans="1:5" x14ac:dyDescent="0.2">
      <c r="A48" t="s">
        <v>321</v>
      </c>
      <c r="B48" t="s">
        <v>551</v>
      </c>
      <c r="C48" t="s">
        <v>774</v>
      </c>
      <c r="D48" s="201" t="s">
        <v>844</v>
      </c>
      <c r="E48" t="s">
        <v>956</v>
      </c>
    </row>
    <row r="49" spans="1:5" x14ac:dyDescent="0.2">
      <c r="A49" t="s">
        <v>322</v>
      </c>
      <c r="B49" t="s">
        <v>552</v>
      </c>
      <c r="C49" t="s">
        <v>775</v>
      </c>
      <c r="D49" s="201" t="s">
        <v>845</v>
      </c>
      <c r="E49" t="s">
        <v>957</v>
      </c>
    </row>
    <row r="50" spans="1:5" x14ac:dyDescent="0.2">
      <c r="A50" t="s">
        <v>323</v>
      </c>
      <c r="B50" t="s">
        <v>553</v>
      </c>
      <c r="C50" t="s">
        <v>776</v>
      </c>
      <c r="D50" s="201" t="s">
        <v>846</v>
      </c>
      <c r="E50" t="s">
        <v>958</v>
      </c>
    </row>
    <row r="51" spans="1:5" x14ac:dyDescent="0.2">
      <c r="A51" t="s">
        <v>324</v>
      </c>
      <c r="B51" t="s">
        <v>554</v>
      </c>
      <c r="C51" t="s">
        <v>777</v>
      </c>
      <c r="D51" s="201" t="s">
        <v>847</v>
      </c>
      <c r="E51" t="s">
        <v>959</v>
      </c>
    </row>
    <row r="52" spans="1:5" x14ac:dyDescent="0.2">
      <c r="A52" t="s">
        <v>325</v>
      </c>
      <c r="B52" t="s">
        <v>555</v>
      </c>
      <c r="C52" t="s">
        <v>778</v>
      </c>
      <c r="D52" s="201" t="s">
        <v>848</v>
      </c>
      <c r="E52" t="s">
        <v>960</v>
      </c>
    </row>
    <row r="53" spans="1:5" x14ac:dyDescent="0.2">
      <c r="A53" t="s">
        <v>326</v>
      </c>
      <c r="B53" t="s">
        <v>556</v>
      </c>
      <c r="C53" t="s">
        <v>779</v>
      </c>
      <c r="D53" s="201" t="s">
        <v>849</v>
      </c>
      <c r="E53" t="s">
        <v>961</v>
      </c>
    </row>
    <row r="54" spans="1:5" x14ac:dyDescent="0.2">
      <c r="A54" t="s">
        <v>327</v>
      </c>
      <c r="B54" t="s">
        <v>557</v>
      </c>
      <c r="C54" t="s">
        <v>780</v>
      </c>
      <c r="D54" s="201" t="s">
        <v>850</v>
      </c>
      <c r="E54" t="s">
        <v>962</v>
      </c>
    </row>
    <row r="55" spans="1:5" x14ac:dyDescent="0.2">
      <c r="A55" t="s">
        <v>328</v>
      </c>
      <c r="B55" t="s">
        <v>558</v>
      </c>
      <c r="C55" t="s">
        <v>781</v>
      </c>
      <c r="D55" s="201" t="s">
        <v>851</v>
      </c>
      <c r="E55" t="s">
        <v>963</v>
      </c>
    </row>
    <row r="56" spans="1:5" x14ac:dyDescent="0.2">
      <c r="A56" t="s">
        <v>329</v>
      </c>
      <c r="B56" t="s">
        <v>559</v>
      </c>
      <c r="C56" t="s">
        <v>782</v>
      </c>
      <c r="D56" s="201" t="s">
        <v>852</v>
      </c>
      <c r="E56" t="s">
        <v>964</v>
      </c>
    </row>
    <row r="57" spans="1:5" x14ac:dyDescent="0.2">
      <c r="A57" t="s">
        <v>330</v>
      </c>
      <c r="B57" t="s">
        <v>560</v>
      </c>
      <c r="C57" t="s">
        <v>783</v>
      </c>
      <c r="D57" s="201" t="s">
        <v>853</v>
      </c>
      <c r="E57" t="s">
        <v>965</v>
      </c>
    </row>
    <row r="58" spans="1:5" x14ac:dyDescent="0.2">
      <c r="A58" t="s">
        <v>331</v>
      </c>
      <c r="B58" t="s">
        <v>561</v>
      </c>
      <c r="C58" t="s">
        <v>784</v>
      </c>
      <c r="D58" s="201" t="s">
        <v>854</v>
      </c>
      <c r="E58" t="s">
        <v>966</v>
      </c>
    </row>
    <row r="59" spans="1:5" x14ac:dyDescent="0.2">
      <c r="A59" t="s">
        <v>332</v>
      </c>
      <c r="B59" t="s">
        <v>562</v>
      </c>
      <c r="C59" t="s">
        <v>785</v>
      </c>
      <c r="D59" s="201" t="s">
        <v>855</v>
      </c>
      <c r="E59" t="s">
        <v>967</v>
      </c>
    </row>
    <row r="60" spans="1:5" x14ac:dyDescent="0.2">
      <c r="A60" t="s">
        <v>333</v>
      </c>
      <c r="B60" t="s">
        <v>563</v>
      </c>
      <c r="C60" t="s">
        <v>786</v>
      </c>
      <c r="D60" s="201" t="s">
        <v>856</v>
      </c>
      <c r="E60" t="s">
        <v>968</v>
      </c>
    </row>
    <row r="61" spans="1:5" x14ac:dyDescent="0.2">
      <c r="A61" t="s">
        <v>334</v>
      </c>
      <c r="B61" t="s">
        <v>564</v>
      </c>
      <c r="C61" s="134" t="s">
        <v>787</v>
      </c>
      <c r="D61" s="201" t="s">
        <v>857</v>
      </c>
      <c r="E61" t="s">
        <v>969</v>
      </c>
    </row>
    <row r="62" spans="1:5" x14ac:dyDescent="0.2">
      <c r="A62" t="s">
        <v>335</v>
      </c>
      <c r="B62" t="s">
        <v>565</v>
      </c>
      <c r="C62" s="134" t="s">
        <v>788</v>
      </c>
      <c r="D62" s="201" t="s">
        <v>858</v>
      </c>
      <c r="E62" t="s">
        <v>970</v>
      </c>
    </row>
    <row r="63" spans="1:5" x14ac:dyDescent="0.2">
      <c r="A63" t="s">
        <v>336</v>
      </c>
      <c r="B63" t="s">
        <v>566</v>
      </c>
      <c r="C63" s="134" t="s">
        <v>789</v>
      </c>
      <c r="D63" s="201" t="s">
        <v>859</v>
      </c>
      <c r="E63" t="s">
        <v>971</v>
      </c>
    </row>
    <row r="64" spans="1:5" x14ac:dyDescent="0.2">
      <c r="A64" t="s">
        <v>337</v>
      </c>
      <c r="B64" t="s">
        <v>567</v>
      </c>
      <c r="C64" t="s">
        <v>790</v>
      </c>
      <c r="D64" s="201" t="s">
        <v>860</v>
      </c>
      <c r="E64" t="s">
        <v>972</v>
      </c>
    </row>
    <row r="65" spans="1:5" x14ac:dyDescent="0.2">
      <c r="A65" t="s">
        <v>338</v>
      </c>
      <c r="B65" t="s">
        <v>568</v>
      </c>
      <c r="C65" t="s">
        <v>791</v>
      </c>
      <c r="D65" s="201" t="s">
        <v>861</v>
      </c>
      <c r="E65" t="s">
        <v>973</v>
      </c>
    </row>
    <row r="66" spans="1:5" x14ac:dyDescent="0.2">
      <c r="A66" t="s">
        <v>339</v>
      </c>
      <c r="B66" t="s">
        <v>569</v>
      </c>
      <c r="C66" t="s">
        <v>792</v>
      </c>
      <c r="D66" s="201" t="s">
        <v>862</v>
      </c>
      <c r="E66" t="s">
        <v>974</v>
      </c>
    </row>
    <row r="67" spans="1:5" x14ac:dyDescent="0.2">
      <c r="A67" t="s">
        <v>340</v>
      </c>
      <c r="B67" t="s">
        <v>570</v>
      </c>
      <c r="D67" s="201" t="s">
        <v>863</v>
      </c>
      <c r="E67" t="s">
        <v>975</v>
      </c>
    </row>
    <row r="68" spans="1:5" x14ac:dyDescent="0.2">
      <c r="A68" t="s">
        <v>341</v>
      </c>
      <c r="B68" t="s">
        <v>571</v>
      </c>
      <c r="D68" s="201" t="s">
        <v>864</v>
      </c>
      <c r="E68" t="s">
        <v>976</v>
      </c>
    </row>
    <row r="69" spans="1:5" x14ac:dyDescent="0.2">
      <c r="A69" t="s">
        <v>342</v>
      </c>
      <c r="B69" t="s">
        <v>572</v>
      </c>
      <c r="D69" s="201" t="s">
        <v>865</v>
      </c>
      <c r="E69" t="s">
        <v>977</v>
      </c>
    </row>
    <row r="70" spans="1:5" x14ac:dyDescent="0.2">
      <c r="A70" t="s">
        <v>343</v>
      </c>
      <c r="B70" t="s">
        <v>573</v>
      </c>
      <c r="D70" s="201" t="s">
        <v>866</v>
      </c>
      <c r="E70" t="s">
        <v>978</v>
      </c>
    </row>
    <row r="71" spans="1:5" x14ac:dyDescent="0.2">
      <c r="A71" t="s">
        <v>344</v>
      </c>
      <c r="B71" t="s">
        <v>574</v>
      </c>
      <c r="D71" s="201" t="s">
        <v>867</v>
      </c>
      <c r="E71" t="s">
        <v>979</v>
      </c>
    </row>
    <row r="72" spans="1:5" x14ac:dyDescent="0.2">
      <c r="A72" t="s">
        <v>345</v>
      </c>
      <c r="B72" t="s">
        <v>575</v>
      </c>
      <c r="E72" t="s">
        <v>980</v>
      </c>
    </row>
    <row r="73" spans="1:5" x14ac:dyDescent="0.2">
      <c r="A73" t="s">
        <v>346</v>
      </c>
      <c r="B73" t="s">
        <v>576</v>
      </c>
      <c r="D73" t="s">
        <v>868</v>
      </c>
      <c r="E73" t="s">
        <v>981</v>
      </c>
    </row>
    <row r="74" spans="1:5" x14ac:dyDescent="0.2">
      <c r="A74" t="s">
        <v>347</v>
      </c>
      <c r="B74" t="s">
        <v>577</v>
      </c>
      <c r="D74" t="s">
        <v>869</v>
      </c>
      <c r="E74" t="s">
        <v>982</v>
      </c>
    </row>
    <row r="75" spans="1:5" x14ac:dyDescent="0.2">
      <c r="A75" t="s">
        <v>348</v>
      </c>
      <c r="B75" t="s">
        <v>578</v>
      </c>
      <c r="D75" t="s">
        <v>870</v>
      </c>
      <c r="E75" t="s">
        <v>983</v>
      </c>
    </row>
    <row r="76" spans="1:5" x14ac:dyDescent="0.2">
      <c r="A76" t="s">
        <v>349</v>
      </c>
      <c r="B76" t="s">
        <v>579</v>
      </c>
      <c r="D76" t="s">
        <v>871</v>
      </c>
      <c r="E76" t="s">
        <v>984</v>
      </c>
    </row>
    <row r="77" spans="1:5" x14ac:dyDescent="0.2">
      <c r="A77" t="s">
        <v>350</v>
      </c>
      <c r="B77" t="s">
        <v>580</v>
      </c>
      <c r="D77" t="s">
        <v>872</v>
      </c>
      <c r="E77" t="s">
        <v>985</v>
      </c>
    </row>
    <row r="78" spans="1:5" x14ac:dyDescent="0.2">
      <c r="A78" t="s">
        <v>351</v>
      </c>
      <c r="B78" t="s">
        <v>581</v>
      </c>
      <c r="D78" t="s">
        <v>873</v>
      </c>
      <c r="E78" t="s">
        <v>986</v>
      </c>
    </row>
    <row r="79" spans="1:5" x14ac:dyDescent="0.2">
      <c r="A79" t="s">
        <v>352</v>
      </c>
      <c r="B79" t="s">
        <v>582</v>
      </c>
      <c r="D79" t="s">
        <v>874</v>
      </c>
      <c r="E79" t="s">
        <v>987</v>
      </c>
    </row>
    <row r="80" spans="1:5" x14ac:dyDescent="0.2">
      <c r="A80" t="s">
        <v>353</v>
      </c>
      <c r="B80" t="s">
        <v>583</v>
      </c>
      <c r="D80" t="s">
        <v>875</v>
      </c>
      <c r="E80" t="s">
        <v>988</v>
      </c>
    </row>
    <row r="81" spans="1:5" x14ac:dyDescent="0.2">
      <c r="A81" t="s">
        <v>354</v>
      </c>
      <c r="B81" t="s">
        <v>584</v>
      </c>
      <c r="D81" t="s">
        <v>876</v>
      </c>
      <c r="E81" t="s">
        <v>989</v>
      </c>
    </row>
    <row r="82" spans="1:5" x14ac:dyDescent="0.2">
      <c r="A82" t="s">
        <v>355</v>
      </c>
      <c r="B82" t="s">
        <v>585</v>
      </c>
      <c r="D82" t="s">
        <v>877</v>
      </c>
      <c r="E82" t="s">
        <v>990</v>
      </c>
    </row>
    <row r="83" spans="1:5" x14ac:dyDescent="0.2">
      <c r="A83" t="s">
        <v>356</v>
      </c>
      <c r="B83" t="s">
        <v>586</v>
      </c>
      <c r="D83" t="s">
        <v>878</v>
      </c>
      <c r="E83" t="s">
        <v>991</v>
      </c>
    </row>
    <row r="84" spans="1:5" x14ac:dyDescent="0.2">
      <c r="A84" t="s">
        <v>357</v>
      </c>
      <c r="B84" t="s">
        <v>587</v>
      </c>
      <c r="D84" t="s">
        <v>879</v>
      </c>
      <c r="E84" t="s">
        <v>992</v>
      </c>
    </row>
    <row r="85" spans="1:5" x14ac:dyDescent="0.2">
      <c r="A85" t="s">
        <v>358</v>
      </c>
      <c r="B85" t="s">
        <v>588</v>
      </c>
      <c r="D85" t="s">
        <v>880</v>
      </c>
      <c r="E85" t="s">
        <v>993</v>
      </c>
    </row>
    <row r="86" spans="1:5" x14ac:dyDescent="0.2">
      <c r="A86" t="s">
        <v>359</v>
      </c>
      <c r="B86" t="s">
        <v>589</v>
      </c>
      <c r="E86" t="s">
        <v>994</v>
      </c>
    </row>
    <row r="87" spans="1:5" x14ac:dyDescent="0.2">
      <c r="A87" t="s">
        <v>360</v>
      </c>
      <c r="B87" t="s">
        <v>590</v>
      </c>
      <c r="D87" t="s">
        <v>881</v>
      </c>
      <c r="E87" t="s">
        <v>995</v>
      </c>
    </row>
    <row r="88" spans="1:5" x14ac:dyDescent="0.2">
      <c r="A88" t="s">
        <v>361</v>
      </c>
      <c r="B88" t="s">
        <v>591</v>
      </c>
      <c r="D88" s="201" t="s">
        <v>882</v>
      </c>
      <c r="E88" t="s">
        <v>996</v>
      </c>
    </row>
    <row r="89" spans="1:5" x14ac:dyDescent="0.2">
      <c r="A89" t="s">
        <v>362</v>
      </c>
      <c r="B89" t="s">
        <v>592</v>
      </c>
      <c r="D89" s="201" t="s">
        <v>883</v>
      </c>
      <c r="E89" t="s">
        <v>997</v>
      </c>
    </row>
    <row r="90" spans="1:5" x14ac:dyDescent="0.2">
      <c r="A90" t="s">
        <v>363</v>
      </c>
      <c r="B90" t="s">
        <v>593</v>
      </c>
      <c r="D90" s="201" t="s">
        <v>884</v>
      </c>
      <c r="E90" t="s">
        <v>998</v>
      </c>
    </row>
    <row r="91" spans="1:5" x14ac:dyDescent="0.2">
      <c r="A91" t="s">
        <v>364</v>
      </c>
      <c r="B91" t="s">
        <v>594</v>
      </c>
      <c r="D91" s="201" t="s">
        <v>885</v>
      </c>
      <c r="E91" t="s">
        <v>999</v>
      </c>
    </row>
    <row r="92" spans="1:5" x14ac:dyDescent="0.2">
      <c r="A92" t="s">
        <v>365</v>
      </c>
      <c r="B92" t="s">
        <v>595</v>
      </c>
      <c r="D92" s="201" t="s">
        <v>886</v>
      </c>
      <c r="E92" t="s">
        <v>1000</v>
      </c>
    </row>
    <row r="93" spans="1:5" x14ac:dyDescent="0.2">
      <c r="A93" t="s">
        <v>366</v>
      </c>
      <c r="B93" t="s">
        <v>596</v>
      </c>
      <c r="D93" s="201" t="s">
        <v>887</v>
      </c>
      <c r="E93" t="s">
        <v>1001</v>
      </c>
    </row>
    <row r="94" spans="1:5" x14ac:dyDescent="0.2">
      <c r="A94" t="s">
        <v>367</v>
      </c>
      <c r="B94" t="s">
        <v>597</v>
      </c>
      <c r="D94" s="201" t="s">
        <v>888</v>
      </c>
      <c r="E94" t="s">
        <v>1002</v>
      </c>
    </row>
    <row r="95" spans="1:5" x14ac:dyDescent="0.2">
      <c r="A95" t="s">
        <v>368</v>
      </c>
      <c r="B95" t="s">
        <v>598</v>
      </c>
      <c r="D95" s="201" t="s">
        <v>889</v>
      </c>
      <c r="E95" t="s">
        <v>1003</v>
      </c>
    </row>
    <row r="96" spans="1:5" x14ac:dyDescent="0.2">
      <c r="A96" t="s">
        <v>369</v>
      </c>
      <c r="B96" t="s">
        <v>599</v>
      </c>
      <c r="D96" s="201" t="s">
        <v>890</v>
      </c>
      <c r="E96" t="s">
        <v>1004</v>
      </c>
    </row>
    <row r="97" spans="1:5" x14ac:dyDescent="0.2">
      <c r="A97" t="s">
        <v>370</v>
      </c>
      <c r="B97" t="s">
        <v>600</v>
      </c>
      <c r="D97" s="201" t="s">
        <v>891</v>
      </c>
      <c r="E97" t="s">
        <v>1005</v>
      </c>
    </row>
    <row r="98" spans="1:5" x14ac:dyDescent="0.2">
      <c r="A98" t="s">
        <v>371</v>
      </c>
      <c r="B98" t="s">
        <v>601</v>
      </c>
      <c r="D98" s="201" t="s">
        <v>892</v>
      </c>
      <c r="E98" t="s">
        <v>1006</v>
      </c>
    </row>
    <row r="99" spans="1:5" x14ac:dyDescent="0.2">
      <c r="A99" t="s">
        <v>372</v>
      </c>
      <c r="B99" t="s">
        <v>602</v>
      </c>
      <c r="D99" s="201" t="s">
        <v>893</v>
      </c>
      <c r="E99" t="s">
        <v>1007</v>
      </c>
    </row>
    <row r="100" spans="1:5" x14ac:dyDescent="0.2">
      <c r="A100" t="s">
        <v>373</v>
      </c>
      <c r="B100" t="s">
        <v>603</v>
      </c>
      <c r="D100" s="201" t="s">
        <v>894</v>
      </c>
      <c r="E100" t="s">
        <v>1008</v>
      </c>
    </row>
    <row r="101" spans="1:5" x14ac:dyDescent="0.2">
      <c r="A101" t="s">
        <v>374</v>
      </c>
      <c r="B101" t="s">
        <v>604</v>
      </c>
      <c r="D101" s="201" t="s">
        <v>895</v>
      </c>
      <c r="E101" t="s">
        <v>1009</v>
      </c>
    </row>
    <row r="102" spans="1:5" x14ac:dyDescent="0.2">
      <c r="A102" t="s">
        <v>375</v>
      </c>
      <c r="B102" t="s">
        <v>605</v>
      </c>
      <c r="D102" s="201" t="s">
        <v>896</v>
      </c>
      <c r="E102" t="s">
        <v>1010</v>
      </c>
    </row>
    <row r="103" spans="1:5" x14ac:dyDescent="0.2">
      <c r="A103" t="s">
        <v>376</v>
      </c>
      <c r="B103" t="s">
        <v>606</v>
      </c>
      <c r="D103" s="201" t="s">
        <v>897</v>
      </c>
      <c r="E103" t="s">
        <v>1011</v>
      </c>
    </row>
    <row r="104" spans="1:5" x14ac:dyDescent="0.2">
      <c r="A104" t="s">
        <v>377</v>
      </c>
      <c r="B104" t="s">
        <v>607</v>
      </c>
      <c r="D104" s="201" t="s">
        <v>898</v>
      </c>
      <c r="E104" t="s">
        <v>1012</v>
      </c>
    </row>
    <row r="105" spans="1:5" x14ac:dyDescent="0.2">
      <c r="A105" t="s">
        <v>378</v>
      </c>
      <c r="B105" t="s">
        <v>608</v>
      </c>
      <c r="D105" s="201" t="s">
        <v>899</v>
      </c>
      <c r="E105" t="s">
        <v>1013</v>
      </c>
    </row>
    <row r="106" spans="1:5" x14ac:dyDescent="0.2">
      <c r="A106" t="s">
        <v>379</v>
      </c>
      <c r="B106" t="s">
        <v>609</v>
      </c>
      <c r="D106" s="201" t="s">
        <v>900</v>
      </c>
      <c r="E106" t="s">
        <v>1014</v>
      </c>
    </row>
    <row r="107" spans="1:5" x14ac:dyDescent="0.2">
      <c r="A107" t="s">
        <v>380</v>
      </c>
      <c r="B107" t="s">
        <v>610</v>
      </c>
      <c r="D107" s="201" t="s">
        <v>901</v>
      </c>
      <c r="E107" t="s">
        <v>1015</v>
      </c>
    </row>
    <row r="108" spans="1:5" x14ac:dyDescent="0.2">
      <c r="A108" t="s">
        <v>381</v>
      </c>
      <c r="B108" t="s">
        <v>611</v>
      </c>
      <c r="D108" s="201" t="s">
        <v>902</v>
      </c>
      <c r="E108" t="s">
        <v>1016</v>
      </c>
    </row>
    <row r="109" spans="1:5" x14ac:dyDescent="0.2">
      <c r="A109" t="s">
        <v>382</v>
      </c>
      <c r="B109" t="s">
        <v>612</v>
      </c>
      <c r="D109" s="201" t="s">
        <v>903</v>
      </c>
      <c r="E109" t="s">
        <v>1017</v>
      </c>
    </row>
    <row r="110" spans="1:5" x14ac:dyDescent="0.2">
      <c r="A110" t="s">
        <v>383</v>
      </c>
      <c r="B110" t="s">
        <v>613</v>
      </c>
      <c r="D110" s="201" t="s">
        <v>904</v>
      </c>
      <c r="E110" t="s">
        <v>1018</v>
      </c>
    </row>
    <row r="111" spans="1:5" x14ac:dyDescent="0.2">
      <c r="A111" t="s">
        <v>384</v>
      </c>
      <c r="B111" t="s">
        <v>614</v>
      </c>
      <c r="D111" s="201" t="s">
        <v>905</v>
      </c>
      <c r="E111" t="s">
        <v>1019</v>
      </c>
    </row>
    <row r="112" spans="1:5" x14ac:dyDescent="0.2">
      <c r="A112" t="s">
        <v>385</v>
      </c>
      <c r="B112" t="s">
        <v>615</v>
      </c>
      <c r="D112" s="201" t="s">
        <v>906</v>
      </c>
      <c r="E112" t="s">
        <v>1020</v>
      </c>
    </row>
    <row r="113" spans="1:5" x14ac:dyDescent="0.2">
      <c r="A113" t="s">
        <v>386</v>
      </c>
      <c r="B113" t="s">
        <v>616</v>
      </c>
      <c r="E113" t="s">
        <v>1021</v>
      </c>
    </row>
    <row r="114" spans="1:5" x14ac:dyDescent="0.2">
      <c r="A114" t="s">
        <v>387</v>
      </c>
      <c r="B114" t="s">
        <v>617</v>
      </c>
      <c r="E114" t="s">
        <v>1022</v>
      </c>
    </row>
    <row r="115" spans="1:5" x14ac:dyDescent="0.2">
      <c r="A115" t="s">
        <v>388</v>
      </c>
      <c r="B115" t="s">
        <v>618</v>
      </c>
      <c r="E115" t="s">
        <v>1023</v>
      </c>
    </row>
    <row r="116" spans="1:5" x14ac:dyDescent="0.2">
      <c r="A116" t="s">
        <v>389</v>
      </c>
      <c r="B116" t="s">
        <v>619</v>
      </c>
      <c r="E116" t="s">
        <v>1024</v>
      </c>
    </row>
    <row r="117" spans="1:5" x14ac:dyDescent="0.2">
      <c r="A117" t="s">
        <v>390</v>
      </c>
      <c r="B117" t="s">
        <v>620</v>
      </c>
      <c r="E117" t="s">
        <v>1025</v>
      </c>
    </row>
    <row r="118" spans="1:5" x14ac:dyDescent="0.2">
      <c r="A118" t="s">
        <v>391</v>
      </c>
      <c r="B118" t="s">
        <v>621</v>
      </c>
      <c r="E118" t="s">
        <v>1026</v>
      </c>
    </row>
    <row r="119" spans="1:5" x14ac:dyDescent="0.2">
      <c r="A119" t="s">
        <v>392</v>
      </c>
      <c r="B119" t="s">
        <v>622</v>
      </c>
      <c r="E119" t="s">
        <v>1027</v>
      </c>
    </row>
    <row r="120" spans="1:5" x14ac:dyDescent="0.2">
      <c r="A120" t="s">
        <v>393</v>
      </c>
      <c r="B120" t="s">
        <v>623</v>
      </c>
      <c r="E120" t="s">
        <v>1028</v>
      </c>
    </row>
    <row r="121" spans="1:5" x14ac:dyDescent="0.2">
      <c r="A121" t="s">
        <v>394</v>
      </c>
      <c r="B121" t="s">
        <v>624</v>
      </c>
      <c r="E121" t="s">
        <v>1029</v>
      </c>
    </row>
    <row r="122" spans="1:5" x14ac:dyDescent="0.2">
      <c r="A122" t="s">
        <v>395</v>
      </c>
      <c r="B122" t="s">
        <v>625</v>
      </c>
      <c r="E122" t="s">
        <v>1030</v>
      </c>
    </row>
    <row r="123" spans="1:5" x14ac:dyDescent="0.2">
      <c r="A123" t="s">
        <v>396</v>
      </c>
      <c r="B123" t="s">
        <v>626</v>
      </c>
      <c r="E123" t="s">
        <v>1031</v>
      </c>
    </row>
    <row r="124" spans="1:5" x14ac:dyDescent="0.2">
      <c r="A124" t="s">
        <v>397</v>
      </c>
      <c r="B124" t="s">
        <v>627</v>
      </c>
      <c r="E124" t="s">
        <v>1032</v>
      </c>
    </row>
    <row r="125" spans="1:5" x14ac:dyDescent="0.2">
      <c r="A125" t="s">
        <v>398</v>
      </c>
      <c r="B125" t="s">
        <v>628</v>
      </c>
      <c r="E125" t="s">
        <v>1033</v>
      </c>
    </row>
    <row r="126" spans="1:5" x14ac:dyDescent="0.2">
      <c r="A126" t="s">
        <v>399</v>
      </c>
      <c r="B126" t="s">
        <v>629</v>
      </c>
    </row>
    <row r="127" spans="1:5" x14ac:dyDescent="0.2">
      <c r="A127" t="s">
        <v>400</v>
      </c>
      <c r="B127" t="s">
        <v>630</v>
      </c>
    </row>
    <row r="128" spans="1:5" x14ac:dyDescent="0.2">
      <c r="A128" t="s">
        <v>401</v>
      </c>
      <c r="B128" t="s">
        <v>631</v>
      </c>
    </row>
    <row r="129" spans="1:2" x14ac:dyDescent="0.2">
      <c r="A129" t="s">
        <v>402</v>
      </c>
      <c r="B129" t="s">
        <v>632</v>
      </c>
    </row>
    <row r="130" spans="1:2" x14ac:dyDescent="0.2">
      <c r="A130" t="s">
        <v>403</v>
      </c>
      <c r="B130" t="s">
        <v>633</v>
      </c>
    </row>
    <row r="131" spans="1:2" x14ac:dyDescent="0.2">
      <c r="A131" t="s">
        <v>404</v>
      </c>
      <c r="B131" t="s">
        <v>634</v>
      </c>
    </row>
    <row r="132" spans="1:2" x14ac:dyDescent="0.2">
      <c r="A132" t="s">
        <v>405</v>
      </c>
      <c r="B132" t="s">
        <v>635</v>
      </c>
    </row>
    <row r="133" spans="1:2" x14ac:dyDescent="0.2">
      <c r="A133" t="s">
        <v>406</v>
      </c>
      <c r="B133" t="s">
        <v>636</v>
      </c>
    </row>
    <row r="134" spans="1:2" x14ac:dyDescent="0.2">
      <c r="A134" t="s">
        <v>407</v>
      </c>
      <c r="B134" t="s">
        <v>637</v>
      </c>
    </row>
    <row r="135" spans="1:2" x14ac:dyDescent="0.2">
      <c r="A135" t="s">
        <v>408</v>
      </c>
      <c r="B135" t="s">
        <v>638</v>
      </c>
    </row>
    <row r="136" spans="1:2" x14ac:dyDescent="0.2">
      <c r="A136" t="s">
        <v>409</v>
      </c>
      <c r="B136" t="s">
        <v>639</v>
      </c>
    </row>
    <row r="137" spans="1:2" x14ac:dyDescent="0.2">
      <c r="A137" t="s">
        <v>410</v>
      </c>
      <c r="B137" t="s">
        <v>640</v>
      </c>
    </row>
    <row r="138" spans="1:2" x14ac:dyDescent="0.2">
      <c r="A138" t="s">
        <v>411</v>
      </c>
      <c r="B138" t="s">
        <v>641</v>
      </c>
    </row>
    <row r="139" spans="1:2" x14ac:dyDescent="0.2">
      <c r="A139" t="s">
        <v>412</v>
      </c>
      <c r="B139" t="s">
        <v>642</v>
      </c>
    </row>
    <row r="140" spans="1:2" x14ac:dyDescent="0.2">
      <c r="A140" t="s">
        <v>413</v>
      </c>
      <c r="B140" t="s">
        <v>643</v>
      </c>
    </row>
    <row r="141" spans="1:2" x14ac:dyDescent="0.2">
      <c r="A141" t="s">
        <v>414</v>
      </c>
      <c r="B141" t="s">
        <v>644</v>
      </c>
    </row>
    <row r="142" spans="1:2" x14ac:dyDescent="0.2">
      <c r="A142" t="s">
        <v>415</v>
      </c>
      <c r="B142" t="s">
        <v>645</v>
      </c>
    </row>
    <row r="143" spans="1:2" x14ac:dyDescent="0.2">
      <c r="A143" t="s">
        <v>416</v>
      </c>
      <c r="B143" t="s">
        <v>646</v>
      </c>
    </row>
    <row r="144" spans="1:2" x14ac:dyDescent="0.2">
      <c r="B144" t="s">
        <v>647</v>
      </c>
    </row>
    <row r="145" spans="1:2" x14ac:dyDescent="0.2">
      <c r="A145" t="s">
        <v>417</v>
      </c>
      <c r="B145" t="s">
        <v>648</v>
      </c>
    </row>
    <row r="146" spans="1:2" x14ac:dyDescent="0.2">
      <c r="A146" t="s">
        <v>418</v>
      </c>
      <c r="B146" t="s">
        <v>649</v>
      </c>
    </row>
    <row r="147" spans="1:2" x14ac:dyDescent="0.2">
      <c r="A147" t="s">
        <v>417</v>
      </c>
      <c r="B147" t="s">
        <v>650</v>
      </c>
    </row>
    <row r="148" spans="1:2" x14ac:dyDescent="0.2">
      <c r="A148" t="s">
        <v>419</v>
      </c>
      <c r="B148" t="s">
        <v>651</v>
      </c>
    </row>
    <row r="149" spans="1:2" x14ac:dyDescent="0.2">
      <c r="B149" t="s">
        <v>652</v>
      </c>
    </row>
    <row r="150" spans="1:2" x14ac:dyDescent="0.2">
      <c r="A150" t="s">
        <v>276</v>
      </c>
      <c r="B150" t="s">
        <v>653</v>
      </c>
    </row>
    <row r="151" spans="1:2" x14ac:dyDescent="0.2">
      <c r="A151" t="s">
        <v>420</v>
      </c>
      <c r="B151" t="s">
        <v>654</v>
      </c>
    </row>
    <row r="152" spans="1:2" x14ac:dyDescent="0.2">
      <c r="A152" t="s">
        <v>276</v>
      </c>
      <c r="B152" t="s">
        <v>655</v>
      </c>
    </row>
    <row r="153" spans="1:2" x14ac:dyDescent="0.2">
      <c r="A153" t="s">
        <v>421</v>
      </c>
      <c r="B153" t="s">
        <v>656</v>
      </c>
    </row>
    <row r="154" spans="1:2" x14ac:dyDescent="0.2">
      <c r="A154" t="s">
        <v>422</v>
      </c>
      <c r="B154" t="s">
        <v>657</v>
      </c>
    </row>
    <row r="155" spans="1:2" x14ac:dyDescent="0.2">
      <c r="A155" t="s">
        <v>423</v>
      </c>
      <c r="B155" t="s">
        <v>658</v>
      </c>
    </row>
    <row r="156" spans="1:2" x14ac:dyDescent="0.2">
      <c r="A156" t="s">
        <v>424</v>
      </c>
      <c r="B156" t="s">
        <v>659</v>
      </c>
    </row>
    <row r="157" spans="1:2" x14ac:dyDescent="0.2">
      <c r="A157" t="s">
        <v>425</v>
      </c>
      <c r="B157" t="s">
        <v>660</v>
      </c>
    </row>
    <row r="158" spans="1:2" x14ac:dyDescent="0.2">
      <c r="A158" t="s">
        <v>426</v>
      </c>
      <c r="B158" t="s">
        <v>661</v>
      </c>
    </row>
    <row r="159" spans="1:2" x14ac:dyDescent="0.2">
      <c r="A159" t="s">
        <v>427</v>
      </c>
      <c r="B159" t="s">
        <v>662</v>
      </c>
    </row>
    <row r="160" spans="1:2" x14ac:dyDescent="0.2">
      <c r="A160" t="s">
        <v>428</v>
      </c>
      <c r="B160" t="s">
        <v>663</v>
      </c>
    </row>
    <row r="161" spans="1:2" x14ac:dyDescent="0.2">
      <c r="A161" t="s">
        <v>429</v>
      </c>
      <c r="B161" t="s">
        <v>664</v>
      </c>
    </row>
    <row r="162" spans="1:2" x14ac:dyDescent="0.2">
      <c r="A162" t="s">
        <v>430</v>
      </c>
      <c r="B162" t="s">
        <v>665</v>
      </c>
    </row>
    <row r="163" spans="1:2" x14ac:dyDescent="0.2">
      <c r="A163" t="s">
        <v>431</v>
      </c>
      <c r="B163" t="s">
        <v>666</v>
      </c>
    </row>
    <row r="164" spans="1:2" x14ac:dyDescent="0.2">
      <c r="A164" t="s">
        <v>432</v>
      </c>
      <c r="B164" t="s">
        <v>667</v>
      </c>
    </row>
    <row r="165" spans="1:2" x14ac:dyDescent="0.2">
      <c r="A165" t="s">
        <v>433</v>
      </c>
      <c r="B165" t="s">
        <v>668</v>
      </c>
    </row>
    <row r="166" spans="1:2" x14ac:dyDescent="0.2">
      <c r="A166" t="s">
        <v>434</v>
      </c>
      <c r="B166" t="s">
        <v>669</v>
      </c>
    </row>
    <row r="167" spans="1:2" x14ac:dyDescent="0.2">
      <c r="A167" t="s">
        <v>435</v>
      </c>
      <c r="B167" t="s">
        <v>670</v>
      </c>
    </row>
    <row r="168" spans="1:2" x14ac:dyDescent="0.2">
      <c r="A168" t="s">
        <v>436</v>
      </c>
      <c r="B168" t="s">
        <v>671</v>
      </c>
    </row>
    <row r="169" spans="1:2" x14ac:dyDescent="0.2">
      <c r="A169" t="s">
        <v>437</v>
      </c>
      <c r="B169" t="s">
        <v>672</v>
      </c>
    </row>
    <row r="170" spans="1:2" x14ac:dyDescent="0.2">
      <c r="A170" t="s">
        <v>438</v>
      </c>
      <c r="B170" t="s">
        <v>673</v>
      </c>
    </row>
    <row r="171" spans="1:2" x14ac:dyDescent="0.2">
      <c r="A171" t="s">
        <v>439</v>
      </c>
      <c r="B171" t="s">
        <v>674</v>
      </c>
    </row>
    <row r="172" spans="1:2" x14ac:dyDescent="0.2">
      <c r="A172" t="s">
        <v>440</v>
      </c>
      <c r="B172" t="s">
        <v>675</v>
      </c>
    </row>
    <row r="173" spans="1:2" x14ac:dyDescent="0.2">
      <c r="A173" t="s">
        <v>441</v>
      </c>
      <c r="B173" t="s">
        <v>676</v>
      </c>
    </row>
    <row r="174" spans="1:2" x14ac:dyDescent="0.2">
      <c r="A174" t="s">
        <v>442</v>
      </c>
      <c r="B174" t="s">
        <v>677</v>
      </c>
    </row>
    <row r="175" spans="1:2" x14ac:dyDescent="0.2">
      <c r="A175" t="s">
        <v>443</v>
      </c>
      <c r="B175" t="s">
        <v>678</v>
      </c>
    </row>
    <row r="176" spans="1:2" x14ac:dyDescent="0.2">
      <c r="A176" t="s">
        <v>444</v>
      </c>
      <c r="B176" t="s">
        <v>679</v>
      </c>
    </row>
    <row r="177" spans="1:2" x14ac:dyDescent="0.2">
      <c r="A177" t="s">
        <v>445</v>
      </c>
      <c r="B177" t="s">
        <v>680</v>
      </c>
    </row>
    <row r="178" spans="1:2" x14ac:dyDescent="0.2">
      <c r="A178" t="s">
        <v>446</v>
      </c>
      <c r="B178" t="s">
        <v>681</v>
      </c>
    </row>
    <row r="179" spans="1:2" x14ac:dyDescent="0.2">
      <c r="A179" t="s">
        <v>447</v>
      </c>
      <c r="B179" t="s">
        <v>682</v>
      </c>
    </row>
    <row r="180" spans="1:2" x14ac:dyDescent="0.2">
      <c r="A180" t="s">
        <v>448</v>
      </c>
      <c r="B180" t="s">
        <v>683</v>
      </c>
    </row>
    <row r="181" spans="1:2" x14ac:dyDescent="0.2">
      <c r="A181" t="s">
        <v>449</v>
      </c>
      <c r="B181" t="s">
        <v>684</v>
      </c>
    </row>
    <row r="182" spans="1:2" x14ac:dyDescent="0.2">
      <c r="A182" t="s">
        <v>450</v>
      </c>
      <c r="B182" t="s">
        <v>685</v>
      </c>
    </row>
    <row r="183" spans="1:2" x14ac:dyDescent="0.2">
      <c r="A183" t="s">
        <v>451</v>
      </c>
      <c r="B183" t="s">
        <v>686</v>
      </c>
    </row>
    <row r="184" spans="1:2" x14ac:dyDescent="0.2">
      <c r="A184" t="s">
        <v>452</v>
      </c>
      <c r="B184" t="s">
        <v>687</v>
      </c>
    </row>
    <row r="185" spans="1:2" x14ac:dyDescent="0.2">
      <c r="A185" t="s">
        <v>453</v>
      </c>
      <c r="B185" t="s">
        <v>688</v>
      </c>
    </row>
    <row r="186" spans="1:2" x14ac:dyDescent="0.2">
      <c r="A186" t="s">
        <v>454</v>
      </c>
      <c r="B186" t="s">
        <v>689</v>
      </c>
    </row>
    <row r="187" spans="1:2" x14ac:dyDescent="0.2">
      <c r="A187" t="s">
        <v>455</v>
      </c>
      <c r="B187" t="s">
        <v>690</v>
      </c>
    </row>
    <row r="188" spans="1:2" x14ac:dyDescent="0.2">
      <c r="A188" t="s">
        <v>456</v>
      </c>
      <c r="B188" t="s">
        <v>691</v>
      </c>
    </row>
    <row r="189" spans="1:2" x14ac:dyDescent="0.2">
      <c r="A189" t="s">
        <v>457</v>
      </c>
      <c r="B189" t="s">
        <v>692</v>
      </c>
    </row>
    <row r="190" spans="1:2" x14ac:dyDescent="0.2">
      <c r="A190" t="s">
        <v>458</v>
      </c>
      <c r="B190" t="s">
        <v>693</v>
      </c>
    </row>
    <row r="191" spans="1:2" x14ac:dyDescent="0.2">
      <c r="A191" t="s">
        <v>459</v>
      </c>
      <c r="B191" t="s">
        <v>694</v>
      </c>
    </row>
    <row r="192" spans="1:2" x14ac:dyDescent="0.2">
      <c r="A192" t="s">
        <v>460</v>
      </c>
      <c r="B192" t="s">
        <v>695</v>
      </c>
    </row>
    <row r="193" spans="1:2" x14ac:dyDescent="0.2">
      <c r="A193" t="s">
        <v>461</v>
      </c>
      <c r="B193" t="s">
        <v>696</v>
      </c>
    </row>
    <row r="194" spans="1:2" x14ac:dyDescent="0.2">
      <c r="A194" t="s">
        <v>462</v>
      </c>
      <c r="B194" t="s">
        <v>697</v>
      </c>
    </row>
    <row r="195" spans="1:2" x14ac:dyDescent="0.2">
      <c r="A195" t="s">
        <v>463</v>
      </c>
      <c r="B195" t="s">
        <v>698</v>
      </c>
    </row>
    <row r="196" spans="1:2" x14ac:dyDescent="0.2">
      <c r="A196" t="s">
        <v>464</v>
      </c>
      <c r="B196" t="s">
        <v>699</v>
      </c>
    </row>
    <row r="197" spans="1:2" x14ac:dyDescent="0.2">
      <c r="A197" t="s">
        <v>465</v>
      </c>
      <c r="B197" t="s">
        <v>700</v>
      </c>
    </row>
    <row r="198" spans="1:2" x14ac:dyDescent="0.2">
      <c r="A198" t="s">
        <v>466</v>
      </c>
      <c r="B198" t="s">
        <v>701</v>
      </c>
    </row>
    <row r="199" spans="1:2" x14ac:dyDescent="0.2">
      <c r="A199" t="s">
        <v>467</v>
      </c>
      <c r="B199" t="s">
        <v>702</v>
      </c>
    </row>
    <row r="200" spans="1:2" x14ac:dyDescent="0.2">
      <c r="A200" t="s">
        <v>468</v>
      </c>
      <c r="B200" t="s">
        <v>703</v>
      </c>
    </row>
    <row r="201" spans="1:2" x14ac:dyDescent="0.2">
      <c r="A201" t="s">
        <v>469</v>
      </c>
      <c r="B201" t="s">
        <v>704</v>
      </c>
    </row>
    <row r="202" spans="1:2" x14ac:dyDescent="0.2">
      <c r="A202" t="s">
        <v>470</v>
      </c>
      <c r="B202" t="s">
        <v>705</v>
      </c>
    </row>
    <row r="203" spans="1:2" x14ac:dyDescent="0.2">
      <c r="A203" t="s">
        <v>471</v>
      </c>
      <c r="B203" t="s">
        <v>706</v>
      </c>
    </row>
    <row r="204" spans="1:2" x14ac:dyDescent="0.2">
      <c r="A204" t="s">
        <v>472</v>
      </c>
      <c r="B204" t="s">
        <v>707</v>
      </c>
    </row>
    <row r="205" spans="1:2" x14ac:dyDescent="0.2">
      <c r="A205" t="s">
        <v>473</v>
      </c>
      <c r="B205" t="s">
        <v>708</v>
      </c>
    </row>
    <row r="206" spans="1:2" x14ac:dyDescent="0.2">
      <c r="A206" t="s">
        <v>474</v>
      </c>
      <c r="B206" t="s">
        <v>709</v>
      </c>
    </row>
    <row r="207" spans="1:2" x14ac:dyDescent="0.2">
      <c r="A207" t="s">
        <v>475</v>
      </c>
      <c r="B207" t="s">
        <v>710</v>
      </c>
    </row>
    <row r="208" spans="1:2" x14ac:dyDescent="0.2">
      <c r="A208" t="s">
        <v>476</v>
      </c>
      <c r="B208" t="s">
        <v>711</v>
      </c>
    </row>
    <row r="209" spans="1:2" x14ac:dyDescent="0.2">
      <c r="A209" t="s">
        <v>477</v>
      </c>
      <c r="B209" t="s">
        <v>712</v>
      </c>
    </row>
    <row r="210" spans="1:2" x14ac:dyDescent="0.2">
      <c r="A210" t="s">
        <v>478</v>
      </c>
      <c r="B210" t="s">
        <v>713</v>
      </c>
    </row>
    <row r="211" spans="1:2" x14ac:dyDescent="0.2">
      <c r="A211" t="s">
        <v>479</v>
      </c>
      <c r="B211" t="s">
        <v>714</v>
      </c>
    </row>
    <row r="212" spans="1:2" x14ac:dyDescent="0.2">
      <c r="A212" t="s">
        <v>480</v>
      </c>
      <c r="B212" t="s">
        <v>715</v>
      </c>
    </row>
    <row r="213" spans="1:2" x14ac:dyDescent="0.2">
      <c r="A213" t="s">
        <v>481</v>
      </c>
      <c r="B213" t="s">
        <v>716</v>
      </c>
    </row>
    <row r="214" spans="1:2" x14ac:dyDescent="0.2">
      <c r="A214" t="s">
        <v>482</v>
      </c>
      <c r="B214" t="s">
        <v>717</v>
      </c>
    </row>
    <row r="215" spans="1:2" x14ac:dyDescent="0.2">
      <c r="A215" t="s">
        <v>483</v>
      </c>
      <c r="B215" t="s">
        <v>718</v>
      </c>
    </row>
    <row r="216" spans="1:2" x14ac:dyDescent="0.2">
      <c r="A216" t="s">
        <v>484</v>
      </c>
      <c r="B216" t="s">
        <v>719</v>
      </c>
    </row>
    <row r="217" spans="1:2" x14ac:dyDescent="0.2">
      <c r="A217" t="s">
        <v>485</v>
      </c>
      <c r="B217" t="s">
        <v>720</v>
      </c>
    </row>
    <row r="218" spans="1:2" x14ac:dyDescent="0.2">
      <c r="A218" t="s">
        <v>486</v>
      </c>
      <c r="B218" t="s">
        <v>721</v>
      </c>
    </row>
    <row r="219" spans="1:2" x14ac:dyDescent="0.2">
      <c r="A219" t="s">
        <v>487</v>
      </c>
      <c r="B219" t="s">
        <v>722</v>
      </c>
    </row>
    <row r="220" spans="1:2" x14ac:dyDescent="0.2">
      <c r="A220" t="s">
        <v>488</v>
      </c>
      <c r="B220" t="s">
        <v>723</v>
      </c>
    </row>
    <row r="221" spans="1:2" x14ac:dyDescent="0.2">
      <c r="A221" t="s">
        <v>489</v>
      </c>
      <c r="B221" t="s">
        <v>724</v>
      </c>
    </row>
    <row r="222" spans="1:2" x14ac:dyDescent="0.2">
      <c r="A222" t="s">
        <v>490</v>
      </c>
      <c r="B222" t="s">
        <v>725</v>
      </c>
    </row>
    <row r="223" spans="1:2" x14ac:dyDescent="0.2">
      <c r="A223" t="s">
        <v>491</v>
      </c>
      <c r="B223" t="s">
        <v>726</v>
      </c>
    </row>
    <row r="224" spans="1:2" x14ac:dyDescent="0.2">
      <c r="A224" t="s">
        <v>492</v>
      </c>
    </row>
    <row r="225" spans="1:1" x14ac:dyDescent="0.2">
      <c r="A225" t="s">
        <v>493</v>
      </c>
    </row>
    <row r="226" spans="1:1" x14ac:dyDescent="0.2">
      <c r="A226" t="s">
        <v>494</v>
      </c>
    </row>
    <row r="227" spans="1:1" x14ac:dyDescent="0.2">
      <c r="A227" t="s">
        <v>495</v>
      </c>
    </row>
    <row r="228" spans="1:1" x14ac:dyDescent="0.2">
      <c r="A228" t="s">
        <v>496</v>
      </c>
    </row>
    <row r="229" spans="1:1" x14ac:dyDescent="0.2">
      <c r="A229" t="s">
        <v>497</v>
      </c>
    </row>
    <row r="230" spans="1:1" x14ac:dyDescent="0.2">
      <c r="A230" t="s">
        <v>498</v>
      </c>
    </row>
    <row r="231" spans="1:1" x14ac:dyDescent="0.2">
      <c r="A231" t="s">
        <v>499</v>
      </c>
    </row>
    <row r="232" spans="1:1" x14ac:dyDescent="0.2">
      <c r="A232" t="s">
        <v>500</v>
      </c>
    </row>
    <row r="233" spans="1:1" x14ac:dyDescent="0.2">
      <c r="A233" t="s">
        <v>501</v>
      </c>
    </row>
    <row r="234" spans="1:1" x14ac:dyDescent="0.2">
      <c r="A234" t="s">
        <v>502</v>
      </c>
    </row>
    <row r="235" spans="1:1" x14ac:dyDescent="0.2">
      <c r="A235" t="s">
        <v>500</v>
      </c>
    </row>
    <row r="236" spans="1:1" x14ac:dyDescent="0.2">
      <c r="A236" t="s">
        <v>503</v>
      </c>
    </row>
    <row r="237" spans="1:1" x14ac:dyDescent="0.2">
      <c r="A237" t="s">
        <v>504</v>
      </c>
    </row>
    <row r="238" spans="1:1" x14ac:dyDescent="0.2">
      <c r="A238" t="s">
        <v>500</v>
      </c>
    </row>
    <row r="239" spans="1:1" x14ac:dyDescent="0.2">
      <c r="A239" t="s">
        <v>505</v>
      </c>
    </row>
    <row r="240" spans="1:1" x14ac:dyDescent="0.2">
      <c r="A240" t="s">
        <v>506</v>
      </c>
    </row>
    <row r="241" spans="1:1" x14ac:dyDescent="0.2">
      <c r="A241" t="s">
        <v>500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96"/>
  <sheetViews>
    <sheetView topLeftCell="A25" workbookViewId="0">
      <selection activeCell="C8" sqref="C8"/>
    </sheetView>
  </sheetViews>
  <sheetFormatPr defaultRowHeight="12.75" x14ac:dyDescent="0.2"/>
  <cols>
    <col min="1" max="1" width="71.42578125" customWidth="1"/>
    <col min="2" max="2" width="20.85546875" customWidth="1"/>
    <col min="3" max="3" width="66.85546875" customWidth="1"/>
  </cols>
  <sheetData>
    <row r="1" spans="1:13" ht="13.5" thickBot="1" x14ac:dyDescent="0.25">
      <c r="A1" s="168" t="s">
        <v>1184</v>
      </c>
      <c r="B1" s="168" t="s">
        <v>1185</v>
      </c>
      <c r="C1" s="169"/>
    </row>
    <row r="2" spans="1:13" ht="13.5" thickTop="1" x14ac:dyDescent="0.2">
      <c r="A2" s="165" t="s">
        <v>1099</v>
      </c>
      <c r="B2" s="166" t="s">
        <v>1462</v>
      </c>
      <c r="C2" s="167" t="s">
        <v>1188</v>
      </c>
      <c r="F2" s="122"/>
      <c r="G2" s="122"/>
      <c r="H2" s="122"/>
      <c r="I2" s="122"/>
      <c r="J2" s="122"/>
    </row>
    <row r="3" spans="1:13" x14ac:dyDescent="0.2">
      <c r="A3" s="157" t="s">
        <v>1100</v>
      </c>
      <c r="B3" s="158" t="s">
        <v>1462</v>
      </c>
      <c r="C3" s="157"/>
      <c r="F3" s="122"/>
      <c r="G3" s="122"/>
      <c r="H3" s="122"/>
      <c r="I3" s="122"/>
      <c r="J3" s="122"/>
    </row>
    <row r="4" spans="1:13" s="122" customFormat="1" x14ac:dyDescent="0.2">
      <c r="A4" s="157" t="s">
        <v>1101</v>
      </c>
      <c r="B4" s="158" t="s">
        <v>1462</v>
      </c>
      <c r="C4" s="157"/>
    </row>
    <row r="5" spans="1:13" x14ac:dyDescent="0.2">
      <c r="A5" s="157" t="s">
        <v>1102</v>
      </c>
      <c r="B5" s="158" t="s">
        <v>1462</v>
      </c>
      <c r="C5" s="157"/>
      <c r="F5" s="122"/>
      <c r="G5" s="122"/>
      <c r="H5" s="122"/>
      <c r="I5" s="122"/>
      <c r="J5" s="122"/>
    </row>
    <row r="6" spans="1:13" x14ac:dyDescent="0.2">
      <c r="A6" s="157" t="s">
        <v>1103</v>
      </c>
      <c r="B6" s="158" t="s">
        <v>1462</v>
      </c>
      <c r="C6" s="157"/>
      <c r="F6" s="122"/>
      <c r="G6" s="122"/>
      <c r="H6" s="122"/>
      <c r="I6" s="122"/>
      <c r="J6" s="122"/>
    </row>
    <row r="7" spans="1:13" x14ac:dyDescent="0.2">
      <c r="A7" s="157" t="s">
        <v>1104</v>
      </c>
      <c r="B7" s="158" t="s">
        <v>1462</v>
      </c>
      <c r="C7" s="157"/>
      <c r="F7" s="122"/>
      <c r="G7" s="122"/>
      <c r="H7" s="122"/>
      <c r="I7" s="122"/>
      <c r="J7" s="122"/>
    </row>
    <row r="8" spans="1:13" x14ac:dyDescent="0.2">
      <c r="A8" s="157" t="s">
        <v>1105</v>
      </c>
      <c r="B8" s="158" t="s">
        <v>1462</v>
      </c>
      <c r="C8" s="157"/>
      <c r="F8" s="122"/>
      <c r="G8" s="122"/>
      <c r="H8" s="122"/>
      <c r="I8" s="122"/>
      <c r="J8" s="122"/>
    </row>
    <row r="9" spans="1:13" x14ac:dyDescent="0.2">
      <c r="A9" s="159" t="s">
        <v>1106</v>
      </c>
      <c r="B9" s="160" t="s">
        <v>1461</v>
      </c>
      <c r="C9" s="159"/>
      <c r="F9" s="122"/>
      <c r="G9" s="122"/>
      <c r="H9" s="122"/>
      <c r="I9" s="122"/>
      <c r="J9" s="122"/>
    </row>
    <row r="10" spans="1:13" x14ac:dyDescent="0.2">
      <c r="A10" s="159" t="s">
        <v>1107</v>
      </c>
      <c r="B10" s="160" t="s">
        <v>1461</v>
      </c>
      <c r="C10" s="159"/>
      <c r="F10" s="122"/>
      <c r="G10" s="122"/>
      <c r="H10" s="122"/>
      <c r="I10" s="122"/>
      <c r="J10" s="122"/>
    </row>
    <row r="11" spans="1:13" s="122" customFormat="1" x14ac:dyDescent="0.2">
      <c r="A11" s="157" t="s">
        <v>1108</v>
      </c>
      <c r="B11" s="158" t="s">
        <v>1462</v>
      </c>
      <c r="C11" s="157"/>
    </row>
    <row r="12" spans="1:13" x14ac:dyDescent="0.2">
      <c r="A12" s="161" t="s">
        <v>1109</v>
      </c>
      <c r="B12" s="162" t="s">
        <v>234</v>
      </c>
      <c r="C12" s="161"/>
      <c r="F12" s="122"/>
      <c r="G12" s="122"/>
      <c r="H12" s="122"/>
      <c r="I12" s="122"/>
      <c r="J12" s="122"/>
    </row>
    <row r="13" spans="1:13" x14ac:dyDescent="0.2">
      <c r="A13" s="161" t="s">
        <v>1110</v>
      </c>
      <c r="B13" s="162" t="s">
        <v>234</v>
      </c>
      <c r="C13" s="161"/>
      <c r="F13" s="122"/>
      <c r="G13" s="122"/>
      <c r="H13" s="122"/>
      <c r="I13" s="122"/>
      <c r="J13" s="122"/>
    </row>
    <row r="14" spans="1:13" x14ac:dyDescent="0.2">
      <c r="A14" s="157" t="s">
        <v>1111</v>
      </c>
      <c r="B14" s="158" t="s">
        <v>1462</v>
      </c>
      <c r="C14" s="157"/>
      <c r="F14" s="122"/>
      <c r="G14" s="122"/>
      <c r="H14" s="122"/>
      <c r="I14" s="122"/>
      <c r="J14" s="122"/>
    </row>
    <row r="15" spans="1:13" x14ac:dyDescent="0.2">
      <c r="A15" s="157" t="s">
        <v>1112</v>
      </c>
      <c r="B15" s="158" t="s">
        <v>1462</v>
      </c>
      <c r="C15" s="157"/>
      <c r="F15" s="122"/>
      <c r="G15" s="122"/>
      <c r="H15" s="122"/>
      <c r="I15" s="122"/>
      <c r="J15" s="122"/>
    </row>
    <row r="16" spans="1:13" x14ac:dyDescent="0.2">
      <c r="A16" s="157" t="s">
        <v>1113</v>
      </c>
      <c r="B16" s="158" t="s">
        <v>1462</v>
      </c>
      <c r="C16" s="157"/>
      <c r="F16" s="122"/>
      <c r="G16" s="122"/>
      <c r="H16" s="122"/>
      <c r="I16" s="122"/>
      <c r="J16" s="122"/>
      <c r="M16" s="122"/>
    </row>
    <row r="17" spans="1:10" x14ac:dyDescent="0.2">
      <c r="A17" s="157" t="s">
        <v>1114</v>
      </c>
      <c r="B17" s="158" t="s">
        <v>1462</v>
      </c>
      <c r="C17" s="157"/>
      <c r="F17" s="122"/>
      <c r="G17" s="122"/>
      <c r="H17" s="122"/>
      <c r="I17" s="122"/>
      <c r="J17" s="122"/>
    </row>
    <row r="18" spans="1:10" x14ac:dyDescent="0.2">
      <c r="A18" s="157" t="s">
        <v>1115</v>
      </c>
      <c r="B18" s="158" t="s">
        <v>1462</v>
      </c>
      <c r="C18" s="157"/>
      <c r="F18" s="122"/>
      <c r="G18" s="122"/>
      <c r="H18" s="122"/>
      <c r="I18" s="122"/>
      <c r="J18" s="122"/>
    </row>
    <row r="19" spans="1:10" x14ac:dyDescent="0.2">
      <c r="A19" s="157" t="s">
        <v>1116</v>
      </c>
      <c r="B19" s="158" t="s">
        <v>1462</v>
      </c>
      <c r="C19" s="157"/>
      <c r="F19" s="122"/>
      <c r="G19" s="122"/>
      <c r="H19" s="122"/>
      <c r="I19" s="122"/>
      <c r="J19" s="122"/>
    </row>
    <row r="20" spans="1:10" x14ac:dyDescent="0.2">
      <c r="A20" s="157" t="s">
        <v>1117</v>
      </c>
      <c r="B20" s="158" t="s">
        <v>1462</v>
      </c>
      <c r="C20" s="157"/>
      <c r="F20" s="122"/>
      <c r="G20" s="122"/>
      <c r="H20" s="122"/>
      <c r="I20" s="122"/>
      <c r="J20" s="122"/>
    </row>
    <row r="21" spans="1:10" x14ac:dyDescent="0.2">
      <c r="A21" s="159" t="s">
        <v>1118</v>
      </c>
      <c r="B21" s="160" t="s">
        <v>1461</v>
      </c>
      <c r="C21" s="159"/>
      <c r="F21" s="122"/>
      <c r="G21" s="122"/>
      <c r="H21" s="122"/>
      <c r="I21" s="122"/>
      <c r="J21" s="122"/>
    </row>
    <row r="22" spans="1:10" x14ac:dyDescent="0.2">
      <c r="A22" s="157" t="s">
        <v>1119</v>
      </c>
      <c r="B22" s="158" t="s">
        <v>1462</v>
      </c>
      <c r="C22" s="157"/>
      <c r="F22" s="122"/>
      <c r="G22" s="122"/>
      <c r="H22" s="122"/>
      <c r="I22" s="122"/>
      <c r="J22" s="122"/>
    </row>
    <row r="23" spans="1:10" x14ac:dyDescent="0.2">
      <c r="A23" s="157" t="s">
        <v>1120</v>
      </c>
      <c r="B23" s="158" t="s">
        <v>1462</v>
      </c>
      <c r="C23" s="157"/>
      <c r="F23" s="122"/>
      <c r="G23" s="122"/>
      <c r="H23" s="122"/>
      <c r="I23" s="122"/>
      <c r="J23" s="122"/>
    </row>
    <row r="24" spans="1:10" x14ac:dyDescent="0.2">
      <c r="A24" s="157" t="s">
        <v>1121</v>
      </c>
      <c r="B24" s="158" t="s">
        <v>1462</v>
      </c>
      <c r="C24" s="157"/>
      <c r="F24" s="122"/>
      <c r="G24" s="122"/>
      <c r="H24" s="122"/>
      <c r="I24" s="122"/>
      <c r="J24" s="122"/>
    </row>
    <row r="25" spans="1:10" x14ac:dyDescent="0.2">
      <c r="A25" s="157" t="s">
        <v>1122</v>
      </c>
      <c r="B25" s="158" t="s">
        <v>1462</v>
      </c>
      <c r="C25" s="157"/>
      <c r="F25" s="122"/>
      <c r="G25" s="122"/>
      <c r="H25" s="122"/>
      <c r="I25" s="122"/>
      <c r="J25" s="122"/>
    </row>
    <row r="26" spans="1:10" x14ac:dyDescent="0.2">
      <c r="A26" s="157" t="s">
        <v>1123</v>
      </c>
      <c r="B26" s="158" t="s">
        <v>1462</v>
      </c>
      <c r="C26" s="157"/>
      <c r="F26" s="122"/>
      <c r="G26" s="122"/>
      <c r="H26" s="122"/>
      <c r="I26" s="122"/>
      <c r="J26" s="122"/>
    </row>
    <row r="27" spans="1:10" x14ac:dyDescent="0.2">
      <c r="A27" s="157" t="s">
        <v>1124</v>
      </c>
      <c r="B27" s="158" t="s">
        <v>1462</v>
      </c>
      <c r="C27" s="157"/>
      <c r="F27" s="122"/>
      <c r="G27" s="122"/>
      <c r="H27" s="122"/>
      <c r="I27" s="122"/>
      <c r="J27" s="122"/>
    </row>
    <row r="28" spans="1:10" x14ac:dyDescent="0.2">
      <c r="A28" s="157" t="s">
        <v>1125</v>
      </c>
      <c r="B28" s="158" t="s">
        <v>1462</v>
      </c>
      <c r="C28" s="158"/>
      <c r="F28" s="122"/>
      <c r="G28" s="122"/>
      <c r="H28" s="122"/>
      <c r="I28" s="122"/>
      <c r="J28" s="122"/>
    </row>
    <row r="29" spans="1:10" x14ac:dyDescent="0.2">
      <c r="A29" s="157" t="s">
        <v>1126</v>
      </c>
      <c r="B29" s="158" t="s">
        <v>1462</v>
      </c>
      <c r="C29" s="158"/>
      <c r="F29" s="122"/>
      <c r="G29" s="122"/>
      <c r="H29" s="122"/>
      <c r="I29" s="122"/>
      <c r="J29" s="122"/>
    </row>
    <row r="30" spans="1:10" x14ac:dyDescent="0.2">
      <c r="A30" s="157" t="s">
        <v>1127</v>
      </c>
      <c r="B30" s="158" t="s">
        <v>1462</v>
      </c>
      <c r="C30" s="157"/>
      <c r="F30" s="122"/>
      <c r="G30" s="122"/>
      <c r="H30" s="122"/>
      <c r="I30" s="122"/>
      <c r="J30" s="122"/>
    </row>
    <row r="31" spans="1:10" x14ac:dyDescent="0.2">
      <c r="A31" s="157" t="s">
        <v>1128</v>
      </c>
      <c r="B31" s="158" t="s">
        <v>1462</v>
      </c>
      <c r="C31" s="157"/>
      <c r="F31" s="122"/>
      <c r="G31" s="122"/>
      <c r="H31" s="122"/>
      <c r="I31" s="122"/>
      <c r="J31" s="122"/>
    </row>
    <row r="32" spans="1:10" x14ac:dyDescent="0.2">
      <c r="A32" s="157" t="s">
        <v>1129</v>
      </c>
      <c r="B32" s="158" t="s">
        <v>1462</v>
      </c>
      <c r="C32" s="157"/>
      <c r="F32" s="122"/>
      <c r="G32" s="122"/>
      <c r="H32" s="122"/>
      <c r="I32" s="122"/>
      <c r="J32" s="122"/>
    </row>
    <row r="33" spans="1:10" x14ac:dyDescent="0.2">
      <c r="A33" s="157" t="s">
        <v>1130</v>
      </c>
      <c r="B33" s="158" t="s">
        <v>1462</v>
      </c>
      <c r="C33" s="157"/>
      <c r="F33" s="122"/>
      <c r="G33" s="122"/>
      <c r="H33" s="122"/>
      <c r="I33" s="122"/>
      <c r="J33" s="122"/>
    </row>
    <row r="34" spans="1:10" x14ac:dyDescent="0.2">
      <c r="A34" s="161" t="s">
        <v>1131</v>
      </c>
      <c r="B34" s="162" t="s">
        <v>234</v>
      </c>
      <c r="C34" s="161"/>
      <c r="F34" s="122"/>
      <c r="G34" s="122"/>
      <c r="H34" s="122"/>
      <c r="I34" s="122"/>
      <c r="J34" s="122"/>
    </row>
    <row r="35" spans="1:10" x14ac:dyDescent="0.2">
      <c r="A35" s="159" t="s">
        <v>1132</v>
      </c>
      <c r="B35" s="160" t="s">
        <v>1461</v>
      </c>
      <c r="C35" s="160" t="s">
        <v>1465</v>
      </c>
      <c r="F35" s="122"/>
      <c r="G35" s="122"/>
      <c r="H35" s="122"/>
      <c r="I35" s="122"/>
      <c r="J35" s="122"/>
    </row>
    <row r="36" spans="1:10" x14ac:dyDescent="0.2">
      <c r="A36" s="159" t="s">
        <v>1133</v>
      </c>
      <c r="B36" s="160" t="s">
        <v>1461</v>
      </c>
      <c r="C36" s="160" t="s">
        <v>1467</v>
      </c>
      <c r="F36" s="122"/>
      <c r="G36" s="122"/>
      <c r="H36" s="122"/>
      <c r="I36" s="122"/>
      <c r="J36" s="122"/>
    </row>
    <row r="37" spans="1:10" x14ac:dyDescent="0.2">
      <c r="A37" s="159" t="s">
        <v>1134</v>
      </c>
      <c r="B37" s="160" t="s">
        <v>1461</v>
      </c>
      <c r="C37" s="160" t="s">
        <v>1466</v>
      </c>
      <c r="F37" s="122"/>
      <c r="G37" s="122"/>
      <c r="H37" s="122"/>
      <c r="I37" s="122"/>
      <c r="J37" s="122"/>
    </row>
    <row r="38" spans="1:10" x14ac:dyDescent="0.2">
      <c r="A38" s="160" t="s">
        <v>1135</v>
      </c>
      <c r="B38" s="160" t="s">
        <v>1461</v>
      </c>
      <c r="C38" s="160"/>
      <c r="F38" s="122"/>
      <c r="G38" s="122"/>
      <c r="H38" s="122"/>
      <c r="I38" s="122"/>
      <c r="J38" s="122"/>
    </row>
    <row r="39" spans="1:10" x14ac:dyDescent="0.2">
      <c r="A39" s="159" t="s">
        <v>1136</v>
      </c>
      <c r="B39" s="160" t="s">
        <v>1461</v>
      </c>
      <c r="C39" s="159"/>
      <c r="F39" s="122"/>
      <c r="G39" s="122"/>
      <c r="H39" s="122"/>
      <c r="I39" s="122"/>
      <c r="J39" s="122"/>
    </row>
    <row r="40" spans="1:10" x14ac:dyDescent="0.2">
      <c r="A40" s="159" t="s">
        <v>1137</v>
      </c>
      <c r="B40" s="160" t="s">
        <v>1461</v>
      </c>
      <c r="C40" s="159"/>
      <c r="F40" s="122"/>
      <c r="G40" s="122"/>
      <c r="H40" s="122"/>
      <c r="I40" s="122"/>
      <c r="J40" s="122"/>
    </row>
    <row r="41" spans="1:10" x14ac:dyDescent="0.2">
      <c r="A41" s="161" t="s">
        <v>1138</v>
      </c>
      <c r="B41" s="162" t="s">
        <v>234</v>
      </c>
      <c r="C41" s="161"/>
      <c r="F41" s="122"/>
      <c r="G41" s="122"/>
      <c r="H41" s="122"/>
      <c r="I41" s="122"/>
      <c r="J41" s="122"/>
    </row>
    <row r="42" spans="1:10" x14ac:dyDescent="0.2">
      <c r="A42" s="161" t="s">
        <v>1139</v>
      </c>
      <c r="B42" s="162" t="s">
        <v>234</v>
      </c>
      <c r="C42" s="161"/>
      <c r="F42" s="122"/>
      <c r="G42" s="122"/>
      <c r="H42" s="122"/>
      <c r="I42" s="122"/>
      <c r="J42" s="122"/>
    </row>
    <row r="43" spans="1:10" x14ac:dyDescent="0.2">
      <c r="A43" s="157" t="s">
        <v>1140</v>
      </c>
      <c r="B43" s="158" t="s">
        <v>1462</v>
      </c>
      <c r="C43" s="157"/>
      <c r="F43" s="122"/>
      <c r="G43" s="122"/>
      <c r="H43" s="122"/>
      <c r="I43" s="122"/>
      <c r="J43" s="122"/>
    </row>
    <row r="44" spans="1:10" x14ac:dyDescent="0.2">
      <c r="A44" s="157" t="s">
        <v>1141</v>
      </c>
      <c r="B44" s="158" t="s">
        <v>1462</v>
      </c>
      <c r="C44" s="157"/>
      <c r="F44" s="122"/>
      <c r="G44" s="122"/>
      <c r="H44" s="122"/>
      <c r="I44" s="122"/>
      <c r="J44" s="122"/>
    </row>
    <row r="45" spans="1:10" x14ac:dyDescent="0.2">
      <c r="A45" s="157" t="s">
        <v>1142</v>
      </c>
      <c r="B45" s="158" t="s">
        <v>1462</v>
      </c>
      <c r="C45" s="157"/>
      <c r="F45" s="122"/>
      <c r="G45" s="122"/>
      <c r="H45" s="122"/>
      <c r="I45" s="122"/>
      <c r="J45" s="122"/>
    </row>
    <row r="46" spans="1:10" x14ac:dyDescent="0.2">
      <c r="A46" s="157" t="s">
        <v>1143</v>
      </c>
      <c r="B46" s="158" t="s">
        <v>1462</v>
      </c>
      <c r="C46" s="157"/>
      <c r="F46" s="122"/>
      <c r="G46" s="122"/>
      <c r="H46" s="122"/>
      <c r="I46" s="122"/>
      <c r="J46" s="122"/>
    </row>
    <row r="47" spans="1:10" x14ac:dyDescent="0.2">
      <c r="A47" s="157" t="s">
        <v>1144</v>
      </c>
      <c r="B47" s="158" t="s">
        <v>1462</v>
      </c>
      <c r="C47" s="157"/>
      <c r="F47" s="122"/>
      <c r="G47" s="122"/>
      <c r="H47" s="122"/>
      <c r="I47" s="122"/>
      <c r="J47" s="122"/>
    </row>
    <row r="48" spans="1:10" x14ac:dyDescent="0.2">
      <c r="A48" s="157" t="s">
        <v>1145</v>
      </c>
      <c r="B48" s="158" t="s">
        <v>1462</v>
      </c>
      <c r="C48" s="157"/>
      <c r="F48" s="122"/>
      <c r="G48" s="122"/>
      <c r="H48" s="122"/>
      <c r="I48" s="122"/>
      <c r="J48" s="122"/>
    </row>
    <row r="49" spans="1:10" x14ac:dyDescent="0.2">
      <c r="A49" s="157" t="s">
        <v>1146</v>
      </c>
      <c r="B49" s="158" t="s">
        <v>1462</v>
      </c>
      <c r="C49" s="157"/>
      <c r="F49" s="122"/>
      <c r="G49" s="122"/>
      <c r="H49" s="122"/>
      <c r="I49" s="122"/>
      <c r="J49" s="122"/>
    </row>
    <row r="50" spans="1:10" x14ac:dyDescent="0.2">
      <c r="A50" s="157" t="s">
        <v>1147</v>
      </c>
      <c r="B50" s="158" t="s">
        <v>1462</v>
      </c>
      <c r="C50" s="157"/>
      <c r="F50" s="122"/>
      <c r="G50" s="122"/>
      <c r="H50" s="122"/>
      <c r="I50" s="122"/>
      <c r="J50" s="122"/>
    </row>
    <row r="51" spans="1:10" x14ac:dyDescent="0.2">
      <c r="A51" s="157" t="s">
        <v>1148</v>
      </c>
      <c r="B51" s="158" t="s">
        <v>1462</v>
      </c>
      <c r="C51" s="157"/>
      <c r="F51" s="122"/>
      <c r="G51" s="122"/>
      <c r="H51" s="122"/>
      <c r="I51" s="122"/>
      <c r="J51" s="122"/>
    </row>
    <row r="52" spans="1:10" x14ac:dyDescent="0.2">
      <c r="A52" s="157" t="s">
        <v>1149</v>
      </c>
      <c r="B52" s="158" t="s">
        <v>1462</v>
      </c>
      <c r="C52" s="157"/>
      <c r="F52" s="122"/>
      <c r="G52" s="122"/>
      <c r="H52" s="122"/>
      <c r="I52" s="122"/>
      <c r="J52" s="122"/>
    </row>
    <row r="53" spans="1:10" x14ac:dyDescent="0.2">
      <c r="A53" s="157" t="s">
        <v>1150</v>
      </c>
      <c r="B53" s="158" t="s">
        <v>1462</v>
      </c>
      <c r="C53" s="157"/>
      <c r="F53" s="122"/>
      <c r="G53" s="122"/>
      <c r="H53" s="122"/>
      <c r="I53" s="122"/>
      <c r="J53" s="122"/>
    </row>
    <row r="54" spans="1:10" x14ac:dyDescent="0.2">
      <c r="A54" s="157" t="s">
        <v>1151</v>
      </c>
      <c r="B54" s="158" t="s">
        <v>1462</v>
      </c>
      <c r="C54" s="157"/>
      <c r="F54" s="122"/>
      <c r="G54" s="122"/>
      <c r="H54" s="122"/>
      <c r="I54" s="122"/>
      <c r="J54" s="122"/>
    </row>
    <row r="55" spans="1:10" x14ac:dyDescent="0.2">
      <c r="A55" s="157" t="s">
        <v>1152</v>
      </c>
      <c r="B55" s="158" t="s">
        <v>1462</v>
      </c>
      <c r="C55" s="157"/>
      <c r="F55" s="122"/>
      <c r="G55" s="122"/>
      <c r="H55" s="122"/>
      <c r="I55" s="122"/>
      <c r="J55" s="122"/>
    </row>
    <row r="56" spans="1:10" x14ac:dyDescent="0.2">
      <c r="A56" s="157" t="s">
        <v>1153</v>
      </c>
      <c r="B56" s="158" t="s">
        <v>1462</v>
      </c>
      <c r="C56" s="157"/>
      <c r="F56" s="122"/>
      <c r="G56" s="122"/>
      <c r="H56" s="122"/>
      <c r="I56" s="122"/>
      <c r="J56" s="122"/>
    </row>
    <row r="57" spans="1:10" x14ac:dyDescent="0.2">
      <c r="A57" s="157" t="s">
        <v>1154</v>
      </c>
      <c r="B57" s="158" t="s">
        <v>1462</v>
      </c>
      <c r="C57" s="157"/>
      <c r="F57" s="122"/>
      <c r="G57" s="122"/>
      <c r="H57" s="122"/>
      <c r="I57" s="122"/>
      <c r="J57" s="122"/>
    </row>
    <row r="58" spans="1:10" x14ac:dyDescent="0.2">
      <c r="A58" s="157" t="s">
        <v>1155</v>
      </c>
      <c r="B58" s="158" t="s">
        <v>1462</v>
      </c>
      <c r="C58" s="157"/>
      <c r="F58" s="122"/>
      <c r="G58" s="122"/>
      <c r="H58" s="122"/>
      <c r="I58" s="122"/>
      <c r="J58" s="122"/>
    </row>
    <row r="59" spans="1:10" x14ac:dyDescent="0.2">
      <c r="A59" s="161" t="s">
        <v>1156</v>
      </c>
      <c r="B59" s="162" t="s">
        <v>234</v>
      </c>
      <c r="C59" s="161"/>
      <c r="F59" s="122"/>
      <c r="G59" s="122"/>
      <c r="H59" s="122"/>
      <c r="I59" s="122"/>
      <c r="J59" s="122"/>
    </row>
    <row r="60" spans="1:10" x14ac:dyDescent="0.2">
      <c r="A60" s="157" t="s">
        <v>1157</v>
      </c>
      <c r="B60" s="158" t="s">
        <v>1462</v>
      </c>
      <c r="C60" s="157"/>
      <c r="F60" s="122"/>
      <c r="G60" s="122"/>
      <c r="H60" s="122"/>
      <c r="I60" s="122"/>
      <c r="J60" s="122"/>
    </row>
    <row r="61" spans="1:10" x14ac:dyDescent="0.2">
      <c r="A61" s="157" t="s">
        <v>1158</v>
      </c>
      <c r="B61" s="158" t="s">
        <v>1462</v>
      </c>
      <c r="C61" s="157"/>
      <c r="F61" s="122"/>
      <c r="G61" s="122"/>
      <c r="H61" s="122"/>
      <c r="I61" s="122"/>
      <c r="J61" s="122"/>
    </row>
    <row r="62" spans="1:10" x14ac:dyDescent="0.2">
      <c r="A62" s="157" t="s">
        <v>1159</v>
      </c>
      <c r="B62" s="158" t="s">
        <v>1462</v>
      </c>
      <c r="C62" s="157"/>
      <c r="F62" s="122"/>
      <c r="G62" s="122"/>
      <c r="H62" s="122"/>
      <c r="I62" s="122"/>
      <c r="J62" s="122"/>
    </row>
    <row r="63" spans="1:10" x14ac:dyDescent="0.2">
      <c r="A63" s="157" t="s">
        <v>1160</v>
      </c>
      <c r="B63" s="158" t="s">
        <v>1462</v>
      </c>
      <c r="C63" s="158"/>
      <c r="F63" s="122"/>
      <c r="G63" s="122"/>
      <c r="H63" s="122"/>
      <c r="I63" s="122"/>
      <c r="J63" s="122"/>
    </row>
    <row r="64" spans="1:10" x14ac:dyDescent="0.2">
      <c r="A64" s="159" t="s">
        <v>1161</v>
      </c>
      <c r="B64" s="160" t="s">
        <v>1461</v>
      </c>
      <c r="C64" s="159"/>
      <c r="F64" s="122"/>
      <c r="G64" s="122"/>
      <c r="H64" s="122"/>
      <c r="I64" s="122"/>
      <c r="J64" s="122"/>
    </row>
    <row r="65" spans="1:10" x14ac:dyDescent="0.2">
      <c r="A65" s="157" t="s">
        <v>1162</v>
      </c>
      <c r="B65" s="158" t="s">
        <v>1462</v>
      </c>
      <c r="C65" s="157"/>
      <c r="F65" s="122"/>
      <c r="G65" s="122"/>
      <c r="H65" s="122"/>
      <c r="I65" s="122"/>
      <c r="J65" s="122"/>
    </row>
    <row r="66" spans="1:10" x14ac:dyDescent="0.2">
      <c r="A66" s="159" t="s">
        <v>1163</v>
      </c>
      <c r="B66" s="160" t="s">
        <v>1461</v>
      </c>
      <c r="C66" s="159"/>
      <c r="F66" s="122"/>
      <c r="G66" s="122"/>
      <c r="H66" s="122"/>
      <c r="I66" s="122"/>
      <c r="J66" s="122"/>
    </row>
    <row r="67" spans="1:10" x14ac:dyDescent="0.2">
      <c r="A67" s="157" t="s">
        <v>1164</v>
      </c>
      <c r="B67" s="158" t="s">
        <v>1462</v>
      </c>
      <c r="C67" s="158"/>
      <c r="F67" s="122"/>
      <c r="G67" s="122"/>
      <c r="H67" s="122"/>
      <c r="I67" s="122"/>
      <c r="J67" s="122"/>
    </row>
    <row r="68" spans="1:10" x14ac:dyDescent="0.2">
      <c r="A68" s="157" t="s">
        <v>1165</v>
      </c>
      <c r="B68" s="158" t="s">
        <v>1462</v>
      </c>
      <c r="C68" s="158"/>
      <c r="F68" s="122"/>
      <c r="G68" s="122"/>
      <c r="H68" s="122"/>
      <c r="I68" s="122"/>
      <c r="J68" s="122"/>
    </row>
    <row r="69" spans="1:10" x14ac:dyDescent="0.2">
      <c r="A69" s="157" t="s">
        <v>1166</v>
      </c>
      <c r="B69" s="158" t="s">
        <v>1462</v>
      </c>
      <c r="C69" s="158"/>
      <c r="F69" s="122"/>
      <c r="G69" s="122"/>
      <c r="H69" s="122"/>
      <c r="I69" s="122"/>
      <c r="J69" s="122"/>
    </row>
    <row r="70" spans="1:10" x14ac:dyDescent="0.2">
      <c r="A70" s="157" t="s">
        <v>1167</v>
      </c>
      <c r="B70" s="158" t="s">
        <v>1462</v>
      </c>
      <c r="C70" s="158"/>
      <c r="F70" s="122"/>
      <c r="G70" s="122"/>
      <c r="H70" s="122"/>
      <c r="I70" s="122"/>
      <c r="J70" s="122"/>
    </row>
    <row r="71" spans="1:10" x14ac:dyDescent="0.2">
      <c r="A71" s="157" t="s">
        <v>1168</v>
      </c>
      <c r="B71" s="158" t="s">
        <v>1462</v>
      </c>
      <c r="C71" s="158"/>
      <c r="F71" s="122"/>
      <c r="G71" s="122"/>
      <c r="H71" s="122"/>
      <c r="I71" s="122"/>
      <c r="J71" s="122"/>
    </row>
    <row r="72" spans="1:10" x14ac:dyDescent="0.2">
      <c r="A72" s="157" t="s">
        <v>1169</v>
      </c>
      <c r="B72" s="158" t="s">
        <v>1462</v>
      </c>
      <c r="C72" s="158"/>
      <c r="F72" s="122"/>
      <c r="G72" s="122"/>
      <c r="H72" s="122"/>
      <c r="I72" s="122"/>
      <c r="J72" s="122"/>
    </row>
    <row r="73" spans="1:10" x14ac:dyDescent="0.2">
      <c r="A73" s="157" t="s">
        <v>1170</v>
      </c>
      <c r="B73" s="158" t="s">
        <v>1462</v>
      </c>
      <c r="C73" s="158"/>
      <c r="F73" s="122"/>
      <c r="G73" s="122"/>
      <c r="H73" s="122"/>
      <c r="I73" s="122"/>
      <c r="J73" s="122"/>
    </row>
    <row r="74" spans="1:10" x14ac:dyDescent="0.2">
      <c r="A74" s="157" t="s">
        <v>1171</v>
      </c>
      <c r="B74" s="158" t="s">
        <v>1462</v>
      </c>
      <c r="C74" s="157"/>
      <c r="F74" s="122"/>
      <c r="G74" s="122"/>
      <c r="H74" s="122"/>
      <c r="I74" s="122"/>
      <c r="J74" s="122"/>
    </row>
    <row r="75" spans="1:10" x14ac:dyDescent="0.2">
      <c r="A75" s="157" t="s">
        <v>1172</v>
      </c>
      <c r="B75" s="158" t="s">
        <v>1462</v>
      </c>
      <c r="C75" s="157"/>
      <c r="F75" s="122"/>
      <c r="G75" s="122"/>
      <c r="H75" s="122"/>
      <c r="I75" s="122"/>
      <c r="J75" s="122"/>
    </row>
    <row r="76" spans="1:10" x14ac:dyDescent="0.2">
      <c r="A76" s="157" t="s">
        <v>1173</v>
      </c>
      <c r="B76" s="158" t="s">
        <v>1462</v>
      </c>
      <c r="C76" s="157"/>
      <c r="F76" s="122"/>
      <c r="G76" s="122"/>
      <c r="H76" s="122"/>
      <c r="I76" s="122"/>
      <c r="J76" s="122"/>
    </row>
    <row r="77" spans="1:10" x14ac:dyDescent="0.2">
      <c r="A77" s="157" t="s">
        <v>1174</v>
      </c>
      <c r="B77" s="158" t="s">
        <v>1462</v>
      </c>
      <c r="C77" s="157"/>
      <c r="F77" s="122"/>
      <c r="G77" s="122"/>
      <c r="H77" s="122"/>
      <c r="I77" s="122"/>
      <c r="J77" s="122"/>
    </row>
    <row r="78" spans="1:10" x14ac:dyDescent="0.2">
      <c r="A78" s="157" t="s">
        <v>1175</v>
      </c>
      <c r="B78" s="158" t="s">
        <v>1462</v>
      </c>
      <c r="C78" s="157"/>
      <c r="F78" s="122"/>
      <c r="G78" s="122"/>
      <c r="H78" s="122"/>
      <c r="I78" s="122"/>
      <c r="J78" s="122"/>
    </row>
    <row r="79" spans="1:10" x14ac:dyDescent="0.2">
      <c r="A79" s="157" t="s">
        <v>1176</v>
      </c>
      <c r="B79" s="158" t="s">
        <v>1462</v>
      </c>
      <c r="C79" s="157"/>
      <c r="F79" s="122"/>
      <c r="G79" s="122"/>
      <c r="H79" s="122"/>
      <c r="I79" s="122"/>
      <c r="J79" s="122"/>
    </row>
    <row r="80" spans="1:10" x14ac:dyDescent="0.2">
      <c r="A80" s="157" t="s">
        <v>1177</v>
      </c>
      <c r="B80" s="158" t="s">
        <v>1462</v>
      </c>
      <c r="C80" s="157"/>
      <c r="F80" s="122"/>
      <c r="G80" s="122"/>
      <c r="H80" s="122"/>
      <c r="I80" s="122"/>
      <c r="J80" s="122"/>
    </row>
    <row r="81" spans="1:10" x14ac:dyDescent="0.2">
      <c r="A81" s="157" t="s">
        <v>1178</v>
      </c>
      <c r="B81" s="158" t="s">
        <v>1462</v>
      </c>
      <c r="C81" s="157"/>
      <c r="F81" s="122"/>
      <c r="G81" s="122"/>
      <c r="H81" s="122"/>
      <c r="I81" s="122"/>
      <c r="J81" s="122"/>
    </row>
    <row r="82" spans="1:10" x14ac:dyDescent="0.2">
      <c r="A82" s="157" t="s">
        <v>1179</v>
      </c>
      <c r="B82" s="158" t="s">
        <v>1462</v>
      </c>
      <c r="C82" s="157"/>
      <c r="F82" s="122"/>
      <c r="G82" s="122"/>
      <c r="H82" s="122"/>
      <c r="I82" s="122"/>
      <c r="J82" s="122"/>
    </row>
    <row r="83" spans="1:10" x14ac:dyDescent="0.2">
      <c r="A83" s="157" t="s">
        <v>1180</v>
      </c>
      <c r="B83" s="158" t="s">
        <v>1462</v>
      </c>
      <c r="C83" s="157"/>
      <c r="F83" s="122"/>
      <c r="G83" s="122"/>
      <c r="H83" s="122"/>
      <c r="I83" s="122"/>
      <c r="J83" s="122"/>
    </row>
    <row r="84" spans="1:10" x14ac:dyDescent="0.2">
      <c r="A84" s="163" t="s">
        <v>1181</v>
      </c>
      <c r="B84" s="164" t="s">
        <v>238</v>
      </c>
      <c r="C84" s="164" t="s">
        <v>1464</v>
      </c>
      <c r="F84" s="122"/>
      <c r="G84" s="122"/>
      <c r="H84" s="122"/>
      <c r="I84" s="122"/>
      <c r="J84" s="122"/>
    </row>
    <row r="85" spans="1:10" x14ac:dyDescent="0.2">
      <c r="A85" s="163" t="s">
        <v>1182</v>
      </c>
      <c r="B85" s="164" t="s">
        <v>238</v>
      </c>
      <c r="C85" s="164" t="s">
        <v>1464</v>
      </c>
      <c r="F85" s="122"/>
      <c r="G85" s="122"/>
      <c r="H85" s="122"/>
      <c r="I85" s="122"/>
      <c r="J85" s="122"/>
    </row>
    <row r="86" spans="1:10" x14ac:dyDescent="0.2">
      <c r="A86" s="163" t="s">
        <v>1183</v>
      </c>
      <c r="B86" s="164" t="s">
        <v>238</v>
      </c>
      <c r="C86" s="164" t="s">
        <v>1464</v>
      </c>
      <c r="F86" s="122"/>
      <c r="G86" s="122"/>
      <c r="H86" s="122"/>
      <c r="I86" s="122"/>
      <c r="J86" s="122"/>
    </row>
    <row r="89" spans="1:10" x14ac:dyDescent="0.2">
      <c r="A89" s="148" t="s">
        <v>201</v>
      </c>
    </row>
    <row r="90" spans="1:10" x14ac:dyDescent="0.2">
      <c r="A90" s="156" t="s">
        <v>202</v>
      </c>
    </row>
    <row r="91" spans="1:10" x14ac:dyDescent="0.2">
      <c r="A91" s="153" t="s">
        <v>203</v>
      </c>
    </row>
    <row r="92" spans="1:10" x14ac:dyDescent="0.2">
      <c r="A92" s="151" t="s">
        <v>204</v>
      </c>
    </row>
    <row r="93" spans="1:10" x14ac:dyDescent="0.2">
      <c r="A93" s="152" t="s">
        <v>205</v>
      </c>
    </row>
    <row r="96" spans="1:10" x14ac:dyDescent="0.2">
      <c r="A96" s="45" t="s">
        <v>1468</v>
      </c>
      <c r="B96" s="170">
        <f>COUNTIF(B2:B86,"Yes")/(COUNTIF(B2:B86,"*")-COUNTIF(B2:B86,"N/A*")-COUNTIF(B2:B86,"TBD*"))</f>
        <v>0.85526315789473684</v>
      </c>
    </row>
  </sheetData>
  <autoFilter ref="A1:C86"/>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30"/>
  <sheetViews>
    <sheetView workbookViewId="0">
      <selection activeCell="B9" sqref="B9"/>
    </sheetView>
  </sheetViews>
  <sheetFormatPr defaultRowHeight="12.75" x14ac:dyDescent="0.2"/>
  <cols>
    <col min="1" max="1" width="63.85546875" customWidth="1"/>
    <col min="2" max="2" width="28.5703125" customWidth="1"/>
  </cols>
  <sheetData>
    <row r="1" spans="1:3" x14ac:dyDescent="0.2">
      <c r="A1" s="132" t="s">
        <v>1375</v>
      </c>
      <c r="B1" s="132" t="s">
        <v>1185</v>
      </c>
    </row>
    <row r="2" spans="1:3" x14ac:dyDescent="0.2">
      <c r="A2" s="158" t="s">
        <v>1209</v>
      </c>
      <c r="B2" s="158" t="s">
        <v>1462</v>
      </c>
      <c r="C2" s="133" t="s">
        <v>1188</v>
      </c>
    </row>
    <row r="3" spans="1:3" x14ac:dyDescent="0.2">
      <c r="A3" s="157" t="s">
        <v>1189</v>
      </c>
      <c r="B3" s="158" t="s">
        <v>1462</v>
      </c>
    </row>
    <row r="4" spans="1:3" x14ac:dyDescent="0.2">
      <c r="A4" s="159" t="s">
        <v>1190</v>
      </c>
      <c r="B4" s="160" t="s">
        <v>1461</v>
      </c>
    </row>
    <row r="5" spans="1:3" x14ac:dyDescent="0.2">
      <c r="A5" s="159" t="s">
        <v>1191</v>
      </c>
      <c r="B5" s="160" t="s">
        <v>1461</v>
      </c>
    </row>
    <row r="6" spans="1:3" x14ac:dyDescent="0.2">
      <c r="A6" s="157" t="s">
        <v>1192</v>
      </c>
      <c r="B6" s="158" t="s">
        <v>1462</v>
      </c>
    </row>
    <row r="7" spans="1:3" x14ac:dyDescent="0.2">
      <c r="A7" s="157" t="s">
        <v>1193</v>
      </c>
      <c r="B7" s="158" t="s">
        <v>1462</v>
      </c>
    </row>
    <row r="8" spans="1:3" x14ac:dyDescent="0.2">
      <c r="A8" s="159" t="s">
        <v>1194</v>
      </c>
      <c r="B8" s="160" t="s">
        <v>1461</v>
      </c>
    </row>
    <row r="9" spans="1:3" x14ac:dyDescent="0.2">
      <c r="A9" s="159" t="s">
        <v>1195</v>
      </c>
      <c r="B9" s="160" t="s">
        <v>1461</v>
      </c>
    </row>
    <row r="10" spans="1:3" x14ac:dyDescent="0.2">
      <c r="A10" s="157" t="s">
        <v>1196</v>
      </c>
      <c r="B10" s="158" t="s">
        <v>1462</v>
      </c>
    </row>
    <row r="11" spans="1:3" x14ac:dyDescent="0.2">
      <c r="A11" s="157" t="s">
        <v>1197</v>
      </c>
      <c r="B11" s="158" t="s">
        <v>1462</v>
      </c>
    </row>
    <row r="12" spans="1:3" x14ac:dyDescent="0.2">
      <c r="A12" s="157" t="s">
        <v>1198</v>
      </c>
      <c r="B12" s="158" t="s">
        <v>1462</v>
      </c>
    </row>
    <row r="13" spans="1:3" x14ac:dyDescent="0.2">
      <c r="A13" s="157" t="s">
        <v>1199</v>
      </c>
      <c r="B13" s="158" t="s">
        <v>1462</v>
      </c>
    </row>
    <row r="14" spans="1:3" x14ac:dyDescent="0.2">
      <c r="A14" s="157" t="s">
        <v>1200</v>
      </c>
      <c r="B14" s="158" t="s">
        <v>1462</v>
      </c>
    </row>
    <row r="15" spans="1:3" x14ac:dyDescent="0.2">
      <c r="A15" s="157" t="s">
        <v>1201</v>
      </c>
      <c r="B15" s="158" t="s">
        <v>1462</v>
      </c>
    </row>
    <row r="16" spans="1:3" x14ac:dyDescent="0.2">
      <c r="A16" s="157" t="s">
        <v>1202</v>
      </c>
      <c r="B16" s="158" t="s">
        <v>1462</v>
      </c>
    </row>
    <row r="17" spans="1:2" x14ac:dyDescent="0.2">
      <c r="A17" s="157" t="s">
        <v>1203</v>
      </c>
      <c r="B17" s="158" t="s">
        <v>1462</v>
      </c>
    </row>
    <row r="18" spans="1:2" x14ac:dyDescent="0.2">
      <c r="A18" s="157" t="s">
        <v>1204</v>
      </c>
      <c r="B18" s="158" t="s">
        <v>1462</v>
      </c>
    </row>
    <row r="19" spans="1:2" x14ac:dyDescent="0.2">
      <c r="A19" s="157" t="s">
        <v>1205</v>
      </c>
      <c r="B19" s="158" t="s">
        <v>1462</v>
      </c>
    </row>
    <row r="20" spans="1:2" x14ac:dyDescent="0.2">
      <c r="A20" s="157" t="s">
        <v>1206</v>
      </c>
      <c r="B20" s="158" t="s">
        <v>1462</v>
      </c>
    </row>
    <row r="21" spans="1:2" x14ac:dyDescent="0.2">
      <c r="A21" s="157" t="s">
        <v>1207</v>
      </c>
      <c r="B21" s="158" t="s">
        <v>1462</v>
      </c>
    </row>
    <row r="22" spans="1:2" x14ac:dyDescent="0.2">
      <c r="A22" s="159" t="s">
        <v>1208</v>
      </c>
      <c r="B22" s="160" t="s">
        <v>1461</v>
      </c>
    </row>
    <row r="24" spans="1:2" x14ac:dyDescent="0.2">
      <c r="A24" s="148" t="s">
        <v>201</v>
      </c>
    </row>
    <row r="25" spans="1:2" x14ac:dyDescent="0.2">
      <c r="A25" s="156" t="s">
        <v>202</v>
      </c>
    </row>
    <row r="26" spans="1:2" x14ac:dyDescent="0.2">
      <c r="A26" s="153" t="s">
        <v>203</v>
      </c>
    </row>
    <row r="27" spans="1:2" x14ac:dyDescent="0.2">
      <c r="A27" s="151" t="s">
        <v>204</v>
      </c>
    </row>
    <row r="28" spans="1:2" x14ac:dyDescent="0.2">
      <c r="A28" s="152" t="s">
        <v>205</v>
      </c>
    </row>
    <row r="30" spans="1:2" x14ac:dyDescent="0.2">
      <c r="A30" s="191" t="s">
        <v>1500</v>
      </c>
      <c r="B30" s="185">
        <f>COUNTIF(B2:B22,"Yes")/COUNTIF(B2:B22,"*")</f>
        <v>0.76190476190476186</v>
      </c>
    </row>
  </sheetData>
  <autoFilter ref="A1:C2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177"/>
  <sheetViews>
    <sheetView topLeftCell="A94" workbookViewId="0">
      <selection activeCell="B24" sqref="B24"/>
    </sheetView>
  </sheetViews>
  <sheetFormatPr defaultRowHeight="12.75" x14ac:dyDescent="0.2"/>
  <cols>
    <col min="1" max="1" width="66.42578125" customWidth="1"/>
    <col min="2" max="2" width="27.7109375" customWidth="1"/>
  </cols>
  <sheetData>
    <row r="1" spans="1:3" x14ac:dyDescent="0.2">
      <c r="A1" s="132" t="s">
        <v>1376</v>
      </c>
      <c r="B1" s="132" t="s">
        <v>1185</v>
      </c>
    </row>
    <row r="2" spans="1:3" x14ac:dyDescent="0.2">
      <c r="A2" s="174" t="s">
        <v>1211</v>
      </c>
      <c r="B2" s="148" t="s">
        <v>238</v>
      </c>
      <c r="C2" s="133" t="s">
        <v>1188</v>
      </c>
    </row>
    <row r="3" spans="1:3" x14ac:dyDescent="0.2">
      <c r="A3" s="173" t="s">
        <v>1212</v>
      </c>
      <c r="B3" s="173" t="s">
        <v>1461</v>
      </c>
    </row>
    <row r="4" spans="1:3" x14ac:dyDescent="0.2">
      <c r="A4" s="173" t="s">
        <v>1213</v>
      </c>
      <c r="B4" s="156" t="s">
        <v>1461</v>
      </c>
    </row>
    <row r="5" spans="1:3" x14ac:dyDescent="0.2">
      <c r="A5" s="172" t="s">
        <v>1214</v>
      </c>
      <c r="B5" s="172" t="s">
        <v>234</v>
      </c>
    </row>
    <row r="6" spans="1:3" x14ac:dyDescent="0.2">
      <c r="A6" s="173" t="s">
        <v>1215</v>
      </c>
      <c r="B6" s="173" t="s">
        <v>1461</v>
      </c>
    </row>
    <row r="7" spans="1:3" x14ac:dyDescent="0.2">
      <c r="A7" s="151" t="s">
        <v>1216</v>
      </c>
      <c r="B7" s="151" t="s">
        <v>1462</v>
      </c>
    </row>
    <row r="8" spans="1:3" x14ac:dyDescent="0.2">
      <c r="A8" s="151" t="s">
        <v>1217</v>
      </c>
      <c r="B8" s="151" t="s">
        <v>1462</v>
      </c>
    </row>
    <row r="9" spans="1:3" x14ac:dyDescent="0.2">
      <c r="A9" s="192" t="s">
        <v>1218</v>
      </c>
      <c r="B9" s="193" t="s">
        <v>238</v>
      </c>
    </row>
    <row r="10" spans="1:3" x14ac:dyDescent="0.2">
      <c r="A10" s="192" t="s">
        <v>1219</v>
      </c>
      <c r="B10" s="193" t="s">
        <v>238</v>
      </c>
    </row>
    <row r="11" spans="1:3" x14ac:dyDescent="0.2">
      <c r="A11" s="173" t="s">
        <v>1220</v>
      </c>
      <c r="B11" s="173" t="s">
        <v>1461</v>
      </c>
    </row>
    <row r="12" spans="1:3" x14ac:dyDescent="0.2">
      <c r="A12" s="151" t="s">
        <v>1221</v>
      </c>
      <c r="B12" s="151" t="s">
        <v>1462</v>
      </c>
    </row>
    <row r="13" spans="1:3" x14ac:dyDescent="0.2">
      <c r="A13" s="151" t="s">
        <v>1222</v>
      </c>
      <c r="B13" s="151" t="s">
        <v>1462</v>
      </c>
    </row>
    <row r="14" spans="1:3" x14ac:dyDescent="0.2">
      <c r="A14" s="151" t="s">
        <v>1223</v>
      </c>
      <c r="B14" s="151" t="s">
        <v>1462</v>
      </c>
    </row>
    <row r="15" spans="1:3" x14ac:dyDescent="0.2">
      <c r="A15" s="151" t="s">
        <v>1224</v>
      </c>
      <c r="B15" s="175" t="s">
        <v>1462</v>
      </c>
    </row>
    <row r="16" spans="1:3" x14ac:dyDescent="0.2">
      <c r="A16" s="151" t="s">
        <v>1225</v>
      </c>
      <c r="B16" s="151" t="s">
        <v>1462</v>
      </c>
    </row>
    <row r="17" spans="1:2" x14ac:dyDescent="0.2">
      <c r="A17" s="151" t="s">
        <v>1226</v>
      </c>
      <c r="B17" s="151" t="s">
        <v>1462</v>
      </c>
    </row>
    <row r="18" spans="1:2" x14ac:dyDescent="0.2">
      <c r="A18" s="151" t="s">
        <v>1227</v>
      </c>
      <c r="B18" s="151" t="s">
        <v>1462</v>
      </c>
    </row>
    <row r="19" spans="1:2" x14ac:dyDescent="0.2">
      <c r="A19" s="151" t="s">
        <v>1228</v>
      </c>
      <c r="B19" s="151" t="s">
        <v>1462</v>
      </c>
    </row>
    <row r="20" spans="1:2" x14ac:dyDescent="0.2">
      <c r="A20" s="173" t="s">
        <v>1229</v>
      </c>
      <c r="B20" s="173" t="s">
        <v>1461</v>
      </c>
    </row>
    <row r="21" spans="1:2" x14ac:dyDescent="0.2">
      <c r="A21" s="151" t="s">
        <v>1230</v>
      </c>
      <c r="B21" s="151" t="s">
        <v>1462</v>
      </c>
    </row>
    <row r="22" spans="1:2" x14ac:dyDescent="0.2">
      <c r="A22" s="151" t="s">
        <v>1231</v>
      </c>
      <c r="B22" s="151" t="s">
        <v>1462</v>
      </c>
    </row>
    <row r="23" spans="1:2" x14ac:dyDescent="0.2">
      <c r="A23" s="151" t="s">
        <v>1232</v>
      </c>
      <c r="B23" s="151" t="s">
        <v>1462</v>
      </c>
    </row>
    <row r="24" spans="1:2" x14ac:dyDescent="0.2">
      <c r="A24" s="151" t="s">
        <v>1233</v>
      </c>
      <c r="B24" s="175" t="s">
        <v>1462</v>
      </c>
    </row>
    <row r="25" spans="1:2" x14ac:dyDescent="0.2">
      <c r="A25" s="151" t="s">
        <v>1234</v>
      </c>
      <c r="B25" s="151" t="s">
        <v>1462</v>
      </c>
    </row>
    <row r="26" spans="1:2" x14ac:dyDescent="0.2">
      <c r="A26" s="151" t="s">
        <v>1235</v>
      </c>
      <c r="B26" s="151" t="s">
        <v>1462</v>
      </c>
    </row>
    <row r="27" spans="1:2" x14ac:dyDescent="0.2">
      <c r="A27" s="151" t="s">
        <v>1236</v>
      </c>
      <c r="B27" s="151" t="s">
        <v>1462</v>
      </c>
    </row>
    <row r="28" spans="1:2" x14ac:dyDescent="0.2">
      <c r="A28" s="151" t="s">
        <v>1237</v>
      </c>
      <c r="B28" s="151" t="s">
        <v>1462</v>
      </c>
    </row>
    <row r="29" spans="1:2" x14ac:dyDescent="0.2">
      <c r="A29" s="151" t="s">
        <v>1238</v>
      </c>
      <c r="B29" s="151" t="s">
        <v>1462</v>
      </c>
    </row>
    <row r="30" spans="1:2" x14ac:dyDescent="0.2">
      <c r="A30" s="151" t="s">
        <v>1239</v>
      </c>
      <c r="B30" s="151" t="s">
        <v>1462</v>
      </c>
    </row>
    <row r="31" spans="1:2" x14ac:dyDescent="0.2">
      <c r="A31" s="151" t="s">
        <v>1240</v>
      </c>
      <c r="B31" s="151" t="s">
        <v>1462</v>
      </c>
    </row>
    <row r="32" spans="1:2" x14ac:dyDescent="0.2">
      <c r="A32" s="151" t="s">
        <v>1241</v>
      </c>
      <c r="B32" s="151" t="s">
        <v>1462</v>
      </c>
    </row>
    <row r="33" spans="1:2" x14ac:dyDescent="0.2">
      <c r="A33" s="151" t="s">
        <v>1242</v>
      </c>
      <c r="B33" s="151" t="s">
        <v>1462</v>
      </c>
    </row>
    <row r="34" spans="1:2" x14ac:dyDescent="0.2">
      <c r="A34" s="151" t="s">
        <v>1243</v>
      </c>
      <c r="B34" s="151" t="s">
        <v>1462</v>
      </c>
    </row>
    <row r="35" spans="1:2" x14ac:dyDescent="0.2">
      <c r="A35" s="174" t="s">
        <v>1244</v>
      </c>
      <c r="B35" s="174" t="s">
        <v>238</v>
      </c>
    </row>
    <row r="36" spans="1:2" x14ac:dyDescent="0.2">
      <c r="A36" s="174" t="s">
        <v>1245</v>
      </c>
      <c r="B36" s="174" t="s">
        <v>238</v>
      </c>
    </row>
    <row r="37" spans="1:2" x14ac:dyDescent="0.2">
      <c r="A37" s="174" t="s">
        <v>1246</v>
      </c>
      <c r="B37" s="174" t="s">
        <v>238</v>
      </c>
    </row>
    <row r="38" spans="1:2" x14ac:dyDescent="0.2">
      <c r="A38" s="174" t="s">
        <v>1247</v>
      </c>
      <c r="B38" s="174" t="s">
        <v>238</v>
      </c>
    </row>
    <row r="39" spans="1:2" x14ac:dyDescent="0.2">
      <c r="A39" s="174" t="s">
        <v>1248</v>
      </c>
      <c r="B39" s="174" t="s">
        <v>238</v>
      </c>
    </row>
    <row r="40" spans="1:2" x14ac:dyDescent="0.2">
      <c r="A40" s="174" t="s">
        <v>1249</v>
      </c>
      <c r="B40" s="174" t="s">
        <v>238</v>
      </c>
    </row>
    <row r="41" spans="1:2" x14ac:dyDescent="0.2">
      <c r="A41" s="151" t="s">
        <v>1250</v>
      </c>
      <c r="B41" s="151" t="s">
        <v>1462</v>
      </c>
    </row>
    <row r="42" spans="1:2" x14ac:dyDescent="0.2">
      <c r="A42" s="151" t="s">
        <v>1251</v>
      </c>
      <c r="B42" s="151" t="s">
        <v>1462</v>
      </c>
    </row>
    <row r="43" spans="1:2" x14ac:dyDescent="0.2">
      <c r="A43" s="151" t="s">
        <v>1252</v>
      </c>
      <c r="B43" s="151" t="s">
        <v>1462</v>
      </c>
    </row>
    <row r="44" spans="1:2" x14ac:dyDescent="0.2">
      <c r="A44" s="151" t="s">
        <v>1253</v>
      </c>
      <c r="B44" s="151" t="s">
        <v>1462</v>
      </c>
    </row>
    <row r="45" spans="1:2" x14ac:dyDescent="0.2">
      <c r="A45" s="174" t="s">
        <v>1254</v>
      </c>
      <c r="B45" s="174" t="s">
        <v>238</v>
      </c>
    </row>
    <row r="46" spans="1:2" x14ac:dyDescent="0.2">
      <c r="A46" s="174" t="s">
        <v>1255</v>
      </c>
      <c r="B46" s="174" t="s">
        <v>238</v>
      </c>
    </row>
    <row r="47" spans="1:2" x14ac:dyDescent="0.2">
      <c r="A47" s="174" t="s">
        <v>1256</v>
      </c>
      <c r="B47" s="174" t="s">
        <v>238</v>
      </c>
    </row>
    <row r="48" spans="1:2" x14ac:dyDescent="0.2">
      <c r="A48" s="174" t="s">
        <v>1257</v>
      </c>
      <c r="B48" s="174" t="s">
        <v>238</v>
      </c>
    </row>
    <row r="49" spans="1:2" x14ac:dyDescent="0.2">
      <c r="A49" s="174" t="s">
        <v>1258</v>
      </c>
      <c r="B49" s="174" t="s">
        <v>238</v>
      </c>
    </row>
    <row r="50" spans="1:2" x14ac:dyDescent="0.2">
      <c r="A50" s="174" t="s">
        <v>1259</v>
      </c>
      <c r="B50" s="174" t="s">
        <v>238</v>
      </c>
    </row>
    <row r="51" spans="1:2" x14ac:dyDescent="0.2">
      <c r="A51" s="174" t="s">
        <v>1260</v>
      </c>
      <c r="B51" s="174" t="s">
        <v>238</v>
      </c>
    </row>
    <row r="52" spans="1:2" x14ac:dyDescent="0.2">
      <c r="A52" s="174" t="s">
        <v>1261</v>
      </c>
      <c r="B52" s="174" t="s">
        <v>238</v>
      </c>
    </row>
    <row r="53" spans="1:2" x14ac:dyDescent="0.2">
      <c r="A53" s="151" t="s">
        <v>1262</v>
      </c>
      <c r="B53" s="151" t="s">
        <v>1462</v>
      </c>
    </row>
    <row r="54" spans="1:2" x14ac:dyDescent="0.2">
      <c r="A54" s="174" t="s">
        <v>1263</v>
      </c>
      <c r="B54" s="148" t="s">
        <v>238</v>
      </c>
    </row>
    <row r="55" spans="1:2" x14ac:dyDescent="0.2">
      <c r="A55" s="174" t="s">
        <v>1264</v>
      </c>
      <c r="B55" s="148" t="s">
        <v>238</v>
      </c>
    </row>
    <row r="56" spans="1:2" x14ac:dyDescent="0.2">
      <c r="A56" s="173" t="s">
        <v>1265</v>
      </c>
      <c r="B56" s="173" t="s">
        <v>1461</v>
      </c>
    </row>
    <row r="57" spans="1:2" x14ac:dyDescent="0.2">
      <c r="A57" s="173" t="s">
        <v>1266</v>
      </c>
      <c r="B57" s="173" t="s">
        <v>1461</v>
      </c>
    </row>
    <row r="58" spans="1:2" x14ac:dyDescent="0.2">
      <c r="A58" s="151" t="s">
        <v>1267</v>
      </c>
      <c r="B58" s="151" t="s">
        <v>1462</v>
      </c>
    </row>
    <row r="59" spans="1:2" x14ac:dyDescent="0.2">
      <c r="A59" s="151" t="s">
        <v>1268</v>
      </c>
      <c r="B59" s="175" t="s">
        <v>1462</v>
      </c>
    </row>
    <row r="60" spans="1:2" x14ac:dyDescent="0.2">
      <c r="A60" s="151" t="s">
        <v>1269</v>
      </c>
      <c r="B60" s="151" t="s">
        <v>1462</v>
      </c>
    </row>
    <row r="61" spans="1:2" x14ac:dyDescent="0.2">
      <c r="A61" s="151" t="s">
        <v>1270</v>
      </c>
      <c r="B61" s="151" t="s">
        <v>1462</v>
      </c>
    </row>
    <row r="62" spans="1:2" x14ac:dyDescent="0.2">
      <c r="A62" s="151" t="s">
        <v>1271</v>
      </c>
      <c r="B62" s="175" t="s">
        <v>1462</v>
      </c>
    </row>
    <row r="63" spans="1:2" x14ac:dyDescent="0.2">
      <c r="A63" s="151" t="s">
        <v>1272</v>
      </c>
      <c r="B63" s="151" t="s">
        <v>1462</v>
      </c>
    </row>
    <row r="64" spans="1:2" x14ac:dyDescent="0.2">
      <c r="A64" s="151" t="s">
        <v>1273</v>
      </c>
      <c r="B64" s="175" t="s">
        <v>1462</v>
      </c>
    </row>
    <row r="65" spans="1:2" x14ac:dyDescent="0.2">
      <c r="A65" s="151" t="s">
        <v>1274</v>
      </c>
      <c r="B65" s="151" t="s">
        <v>1462</v>
      </c>
    </row>
    <row r="66" spans="1:2" x14ac:dyDescent="0.2">
      <c r="A66" s="151" t="s">
        <v>1275</v>
      </c>
      <c r="B66" s="151" t="s">
        <v>1462</v>
      </c>
    </row>
    <row r="67" spans="1:2" x14ac:dyDescent="0.2">
      <c r="A67" s="151" t="s">
        <v>1276</v>
      </c>
      <c r="B67" s="151" t="s">
        <v>1462</v>
      </c>
    </row>
    <row r="68" spans="1:2" s="122" customFormat="1" x14ac:dyDescent="0.2">
      <c r="A68" s="151" t="s">
        <v>1277</v>
      </c>
      <c r="B68" s="151" t="s">
        <v>1462</v>
      </c>
    </row>
    <row r="69" spans="1:2" x14ac:dyDescent="0.2">
      <c r="A69" s="151" t="s">
        <v>1278</v>
      </c>
      <c r="B69" s="151" t="s">
        <v>1462</v>
      </c>
    </row>
    <row r="70" spans="1:2" x14ac:dyDescent="0.2">
      <c r="A70" s="151" t="s">
        <v>1279</v>
      </c>
      <c r="B70" s="151" t="s">
        <v>1462</v>
      </c>
    </row>
    <row r="71" spans="1:2" x14ac:dyDescent="0.2">
      <c r="A71" s="151" t="s">
        <v>1280</v>
      </c>
      <c r="B71" s="151" t="s">
        <v>1462</v>
      </c>
    </row>
    <row r="72" spans="1:2" x14ac:dyDescent="0.2">
      <c r="A72" s="151" t="s">
        <v>1281</v>
      </c>
      <c r="B72" s="151" t="s">
        <v>1462</v>
      </c>
    </row>
    <row r="73" spans="1:2" x14ac:dyDescent="0.2">
      <c r="A73" s="151" t="s">
        <v>1282</v>
      </c>
      <c r="B73" s="151" t="s">
        <v>1462</v>
      </c>
    </row>
    <row r="74" spans="1:2" x14ac:dyDescent="0.2">
      <c r="A74" s="151" t="s">
        <v>1283</v>
      </c>
      <c r="B74" s="151" t="s">
        <v>1462</v>
      </c>
    </row>
    <row r="75" spans="1:2" x14ac:dyDescent="0.2">
      <c r="A75" s="151" t="s">
        <v>1284</v>
      </c>
      <c r="B75" s="151" t="s">
        <v>1462</v>
      </c>
    </row>
    <row r="76" spans="1:2" x14ac:dyDescent="0.2">
      <c r="A76" s="173" t="s">
        <v>1285</v>
      </c>
      <c r="B76" s="173" t="s">
        <v>1461</v>
      </c>
    </row>
    <row r="77" spans="1:2" x14ac:dyDescent="0.2">
      <c r="A77" s="151" t="s">
        <v>1286</v>
      </c>
      <c r="B77" s="151" t="s">
        <v>1462</v>
      </c>
    </row>
    <row r="78" spans="1:2" x14ac:dyDescent="0.2">
      <c r="A78" s="173" t="s">
        <v>1287</v>
      </c>
      <c r="B78" s="173" t="s">
        <v>1461</v>
      </c>
    </row>
    <row r="79" spans="1:2" x14ac:dyDescent="0.2">
      <c r="A79" s="151" t="s">
        <v>1288</v>
      </c>
      <c r="B79" s="151" t="s">
        <v>1462</v>
      </c>
    </row>
    <row r="80" spans="1:2" x14ac:dyDescent="0.2">
      <c r="A80" s="173" t="s">
        <v>1289</v>
      </c>
      <c r="B80" s="173" t="s">
        <v>1461</v>
      </c>
    </row>
    <row r="81" spans="1:2" x14ac:dyDescent="0.2">
      <c r="A81" s="173" t="s">
        <v>1290</v>
      </c>
      <c r="B81" s="173" t="s">
        <v>1461</v>
      </c>
    </row>
    <row r="82" spans="1:2" x14ac:dyDescent="0.2">
      <c r="A82" s="151" t="s">
        <v>1291</v>
      </c>
      <c r="B82" s="151" t="s">
        <v>1462</v>
      </c>
    </row>
    <row r="83" spans="1:2" x14ac:dyDescent="0.2">
      <c r="A83" s="173" t="s">
        <v>1292</v>
      </c>
      <c r="B83" s="173" t="s">
        <v>1461</v>
      </c>
    </row>
    <row r="84" spans="1:2" x14ac:dyDescent="0.2">
      <c r="A84" s="173" t="s">
        <v>1293</v>
      </c>
      <c r="B84" s="173" t="s">
        <v>1461</v>
      </c>
    </row>
    <row r="85" spans="1:2" x14ac:dyDescent="0.2">
      <c r="A85" s="173" t="s">
        <v>1294</v>
      </c>
      <c r="B85" s="173" t="s">
        <v>1461</v>
      </c>
    </row>
    <row r="86" spans="1:2" x14ac:dyDescent="0.2">
      <c r="A86" s="173" t="s">
        <v>1295</v>
      </c>
      <c r="B86" s="173" t="s">
        <v>1461</v>
      </c>
    </row>
    <row r="87" spans="1:2" x14ac:dyDescent="0.2">
      <c r="A87" s="151" t="s">
        <v>1296</v>
      </c>
      <c r="B87" s="151" t="s">
        <v>1462</v>
      </c>
    </row>
    <row r="88" spans="1:2" x14ac:dyDescent="0.2">
      <c r="A88" s="151" t="s">
        <v>1297</v>
      </c>
      <c r="B88" s="151" t="s">
        <v>1462</v>
      </c>
    </row>
    <row r="89" spans="1:2" x14ac:dyDescent="0.2">
      <c r="A89" s="151" t="s">
        <v>1298</v>
      </c>
      <c r="B89" s="151" t="s">
        <v>1462</v>
      </c>
    </row>
    <row r="90" spans="1:2" x14ac:dyDescent="0.2">
      <c r="A90" s="151" t="s">
        <v>1299</v>
      </c>
      <c r="B90" s="151" t="s">
        <v>1462</v>
      </c>
    </row>
    <row r="91" spans="1:2" x14ac:dyDescent="0.2">
      <c r="A91" s="151" t="s">
        <v>1300</v>
      </c>
      <c r="B91" s="151" t="s">
        <v>1462</v>
      </c>
    </row>
    <row r="92" spans="1:2" x14ac:dyDescent="0.2">
      <c r="A92" s="151" t="s">
        <v>1301</v>
      </c>
      <c r="B92" s="151" t="s">
        <v>1462</v>
      </c>
    </row>
    <row r="93" spans="1:2" x14ac:dyDescent="0.2">
      <c r="A93" s="151" t="s">
        <v>1154</v>
      </c>
      <c r="B93" s="151" t="s">
        <v>1462</v>
      </c>
    </row>
    <row r="94" spans="1:2" x14ac:dyDescent="0.2">
      <c r="A94" s="151" t="s">
        <v>1302</v>
      </c>
      <c r="B94" s="151" t="s">
        <v>1462</v>
      </c>
    </row>
    <row r="95" spans="1:2" x14ac:dyDescent="0.2">
      <c r="A95" s="151" t="s">
        <v>1303</v>
      </c>
      <c r="B95" s="151" t="s">
        <v>1462</v>
      </c>
    </row>
    <row r="96" spans="1:2" x14ac:dyDescent="0.2">
      <c r="A96" s="151" t="s">
        <v>1304</v>
      </c>
      <c r="B96" s="151" t="s">
        <v>1462</v>
      </c>
    </row>
    <row r="97" spans="1:2" x14ac:dyDescent="0.2">
      <c r="A97" s="151" t="s">
        <v>1305</v>
      </c>
      <c r="B97" s="151" t="s">
        <v>1462</v>
      </c>
    </row>
    <row r="98" spans="1:2" x14ac:dyDescent="0.2">
      <c r="A98" s="151" t="s">
        <v>1306</v>
      </c>
      <c r="B98" s="151" t="s">
        <v>1462</v>
      </c>
    </row>
    <row r="99" spans="1:2" x14ac:dyDescent="0.2">
      <c r="A99" s="151" t="s">
        <v>1307</v>
      </c>
      <c r="B99" s="151" t="s">
        <v>1462</v>
      </c>
    </row>
    <row r="100" spans="1:2" x14ac:dyDescent="0.2">
      <c r="A100" s="151" t="s">
        <v>1308</v>
      </c>
      <c r="B100" s="151" t="s">
        <v>1462</v>
      </c>
    </row>
    <row r="101" spans="1:2" x14ac:dyDescent="0.2">
      <c r="A101" s="151" t="s">
        <v>1309</v>
      </c>
      <c r="B101" s="151" t="s">
        <v>1462</v>
      </c>
    </row>
    <row r="102" spans="1:2" x14ac:dyDescent="0.2">
      <c r="A102" s="151" t="s">
        <v>1310</v>
      </c>
      <c r="B102" s="151" t="s">
        <v>1462</v>
      </c>
    </row>
    <row r="103" spans="1:2" x14ac:dyDescent="0.2">
      <c r="A103" s="173" t="s">
        <v>1311</v>
      </c>
      <c r="B103" s="173" t="s">
        <v>1461</v>
      </c>
    </row>
    <row r="104" spans="1:2" x14ac:dyDescent="0.2">
      <c r="A104" s="173" t="s">
        <v>1312</v>
      </c>
      <c r="B104" s="173" t="s">
        <v>1461</v>
      </c>
    </row>
    <row r="105" spans="1:2" x14ac:dyDescent="0.2">
      <c r="A105" s="173" t="s">
        <v>1313</v>
      </c>
      <c r="B105" s="173" t="s">
        <v>1461</v>
      </c>
    </row>
    <row r="106" spans="1:2" x14ac:dyDescent="0.2">
      <c r="A106" s="173" t="s">
        <v>1314</v>
      </c>
      <c r="B106" s="173" t="s">
        <v>1461</v>
      </c>
    </row>
    <row r="107" spans="1:2" x14ac:dyDescent="0.2">
      <c r="A107" s="174" t="s">
        <v>1315</v>
      </c>
      <c r="B107" s="174" t="s">
        <v>238</v>
      </c>
    </row>
    <row r="108" spans="1:2" x14ac:dyDescent="0.2">
      <c r="A108" s="174" t="s">
        <v>1316</v>
      </c>
      <c r="B108" s="174" t="s">
        <v>238</v>
      </c>
    </row>
    <row r="109" spans="1:2" x14ac:dyDescent="0.2">
      <c r="A109" s="174" t="s">
        <v>1317</v>
      </c>
      <c r="B109" s="174" t="s">
        <v>238</v>
      </c>
    </row>
    <row r="110" spans="1:2" x14ac:dyDescent="0.2">
      <c r="A110" s="174" t="s">
        <v>1318</v>
      </c>
      <c r="B110" s="174" t="s">
        <v>238</v>
      </c>
    </row>
    <row r="111" spans="1:2" x14ac:dyDescent="0.2">
      <c r="A111" s="174" t="s">
        <v>1319</v>
      </c>
      <c r="B111" s="174" t="s">
        <v>238</v>
      </c>
    </row>
    <row r="112" spans="1:2" x14ac:dyDescent="0.2">
      <c r="A112" s="174" t="s">
        <v>1320</v>
      </c>
      <c r="B112" s="174" t="s">
        <v>238</v>
      </c>
    </row>
    <row r="113" spans="1:2" x14ac:dyDescent="0.2">
      <c r="A113" s="173" t="s">
        <v>1321</v>
      </c>
      <c r="B113" s="173" t="s">
        <v>1461</v>
      </c>
    </row>
    <row r="114" spans="1:2" x14ac:dyDescent="0.2">
      <c r="A114" s="173" t="s">
        <v>1322</v>
      </c>
      <c r="B114" s="173" t="s">
        <v>1461</v>
      </c>
    </row>
    <row r="115" spans="1:2" x14ac:dyDescent="0.2">
      <c r="A115" s="174" t="s">
        <v>1323</v>
      </c>
      <c r="B115" s="174" t="s">
        <v>238</v>
      </c>
    </row>
    <row r="116" spans="1:2" x14ac:dyDescent="0.2">
      <c r="A116" s="174" t="s">
        <v>1324</v>
      </c>
      <c r="B116" s="174" t="s">
        <v>238</v>
      </c>
    </row>
    <row r="117" spans="1:2" x14ac:dyDescent="0.2">
      <c r="A117" s="174" t="s">
        <v>1325</v>
      </c>
      <c r="B117" s="174" t="s">
        <v>238</v>
      </c>
    </row>
    <row r="118" spans="1:2" x14ac:dyDescent="0.2">
      <c r="A118" s="174" t="s">
        <v>1326</v>
      </c>
      <c r="B118" s="174" t="s">
        <v>238</v>
      </c>
    </row>
    <row r="119" spans="1:2" x14ac:dyDescent="0.2">
      <c r="A119" s="173" t="s">
        <v>1327</v>
      </c>
      <c r="B119" s="173" t="s">
        <v>1461</v>
      </c>
    </row>
    <row r="120" spans="1:2" x14ac:dyDescent="0.2">
      <c r="A120" s="173" t="s">
        <v>1328</v>
      </c>
      <c r="B120" s="173" t="s">
        <v>1461</v>
      </c>
    </row>
    <row r="121" spans="1:2" x14ac:dyDescent="0.2">
      <c r="A121" s="173" t="s">
        <v>1329</v>
      </c>
      <c r="B121" s="173" t="s">
        <v>1461</v>
      </c>
    </row>
    <row r="122" spans="1:2" x14ac:dyDescent="0.2">
      <c r="A122" s="173" t="s">
        <v>1330</v>
      </c>
      <c r="B122" s="173" t="s">
        <v>1461</v>
      </c>
    </row>
    <row r="123" spans="1:2" x14ac:dyDescent="0.2">
      <c r="A123" s="151" t="s">
        <v>1331</v>
      </c>
      <c r="B123" s="151" t="s">
        <v>1462</v>
      </c>
    </row>
    <row r="124" spans="1:2" x14ac:dyDescent="0.2">
      <c r="A124" s="173" t="s">
        <v>1332</v>
      </c>
      <c r="B124" s="173" t="s">
        <v>1461</v>
      </c>
    </row>
    <row r="125" spans="1:2" x14ac:dyDescent="0.2">
      <c r="A125" s="173" t="s">
        <v>1333</v>
      </c>
      <c r="B125" s="173" t="s">
        <v>1461</v>
      </c>
    </row>
    <row r="126" spans="1:2" x14ac:dyDescent="0.2">
      <c r="A126" s="173" t="s">
        <v>1334</v>
      </c>
      <c r="B126" s="173" t="s">
        <v>1461</v>
      </c>
    </row>
    <row r="127" spans="1:2" x14ac:dyDescent="0.2">
      <c r="A127" s="173" t="s">
        <v>1335</v>
      </c>
      <c r="B127" s="173" t="s">
        <v>1461</v>
      </c>
    </row>
    <row r="128" spans="1:2" x14ac:dyDescent="0.2">
      <c r="A128" s="174" t="s">
        <v>1336</v>
      </c>
      <c r="B128" s="148" t="s">
        <v>238</v>
      </c>
    </row>
    <row r="129" spans="1:2" x14ac:dyDescent="0.2">
      <c r="A129" s="174" t="s">
        <v>1337</v>
      </c>
      <c r="B129" s="174" t="s">
        <v>238</v>
      </c>
    </row>
    <row r="130" spans="1:2" x14ac:dyDescent="0.2">
      <c r="A130" s="173" t="s">
        <v>1338</v>
      </c>
      <c r="B130" s="173" t="s">
        <v>1461</v>
      </c>
    </row>
    <row r="131" spans="1:2" x14ac:dyDescent="0.2">
      <c r="A131" s="173" t="s">
        <v>1339</v>
      </c>
      <c r="B131" s="173" t="s">
        <v>1461</v>
      </c>
    </row>
    <row r="132" spans="1:2" x14ac:dyDescent="0.2">
      <c r="A132" s="173" t="s">
        <v>1340</v>
      </c>
      <c r="B132" s="173" t="s">
        <v>1461</v>
      </c>
    </row>
    <row r="133" spans="1:2" x14ac:dyDescent="0.2">
      <c r="A133" s="173" t="s">
        <v>1341</v>
      </c>
      <c r="B133" s="173" t="s">
        <v>1461</v>
      </c>
    </row>
    <row r="134" spans="1:2" x14ac:dyDescent="0.2">
      <c r="A134" s="173" t="s">
        <v>1342</v>
      </c>
      <c r="B134" s="173" t="s">
        <v>1461</v>
      </c>
    </row>
    <row r="135" spans="1:2" x14ac:dyDescent="0.2">
      <c r="A135" s="151" t="s">
        <v>1343</v>
      </c>
      <c r="B135" s="151" t="s">
        <v>1462</v>
      </c>
    </row>
    <row r="136" spans="1:2" x14ac:dyDescent="0.2">
      <c r="A136" s="174" t="s">
        <v>1344</v>
      </c>
      <c r="B136" s="174" t="s">
        <v>238</v>
      </c>
    </row>
    <row r="137" spans="1:2" x14ac:dyDescent="0.2">
      <c r="A137" s="173" t="s">
        <v>1345</v>
      </c>
      <c r="B137" s="156" t="s">
        <v>1461</v>
      </c>
    </row>
    <row r="138" spans="1:2" x14ac:dyDescent="0.2">
      <c r="A138" s="151" t="s">
        <v>1346</v>
      </c>
      <c r="B138" s="151" t="s">
        <v>1462</v>
      </c>
    </row>
    <row r="139" spans="1:2" x14ac:dyDescent="0.2">
      <c r="A139" s="151" t="s">
        <v>1347</v>
      </c>
      <c r="B139" s="151" t="s">
        <v>1462</v>
      </c>
    </row>
    <row r="140" spans="1:2" x14ac:dyDescent="0.2">
      <c r="A140" s="173" t="s">
        <v>1348</v>
      </c>
      <c r="B140" s="173" t="s">
        <v>1461</v>
      </c>
    </row>
    <row r="141" spans="1:2" x14ac:dyDescent="0.2">
      <c r="A141" s="173" t="s">
        <v>1349</v>
      </c>
      <c r="B141" s="173" t="s">
        <v>1461</v>
      </c>
    </row>
    <row r="142" spans="1:2" x14ac:dyDescent="0.2">
      <c r="A142" s="173" t="s">
        <v>1350</v>
      </c>
      <c r="B142" s="173" t="s">
        <v>1461</v>
      </c>
    </row>
    <row r="143" spans="1:2" x14ac:dyDescent="0.2">
      <c r="A143" s="173" t="s">
        <v>1351</v>
      </c>
      <c r="B143" s="173" t="s">
        <v>1461</v>
      </c>
    </row>
    <row r="144" spans="1:2" x14ac:dyDescent="0.2">
      <c r="A144" s="173" t="s">
        <v>1352</v>
      </c>
      <c r="B144" s="173" t="s">
        <v>1461</v>
      </c>
    </row>
    <row r="145" spans="1:2" x14ac:dyDescent="0.2">
      <c r="A145" s="173" t="s">
        <v>1353</v>
      </c>
      <c r="B145" s="173" t="s">
        <v>1461</v>
      </c>
    </row>
    <row r="146" spans="1:2" x14ac:dyDescent="0.2">
      <c r="A146" s="173" t="s">
        <v>1354</v>
      </c>
      <c r="B146" s="173" t="s">
        <v>1461</v>
      </c>
    </row>
    <row r="147" spans="1:2" x14ac:dyDescent="0.2">
      <c r="A147" s="173" t="s">
        <v>1355</v>
      </c>
      <c r="B147" s="173" t="s">
        <v>1461</v>
      </c>
    </row>
    <row r="148" spans="1:2" x14ac:dyDescent="0.2">
      <c r="A148" s="173" t="s">
        <v>1356</v>
      </c>
      <c r="B148" s="173" t="s">
        <v>1461</v>
      </c>
    </row>
    <row r="149" spans="1:2" x14ac:dyDescent="0.2">
      <c r="A149" s="173" t="s">
        <v>1357</v>
      </c>
      <c r="B149" s="173" t="s">
        <v>1461</v>
      </c>
    </row>
    <row r="150" spans="1:2" x14ac:dyDescent="0.2">
      <c r="A150" s="173" t="s">
        <v>1358</v>
      </c>
      <c r="B150" s="173" t="s">
        <v>1461</v>
      </c>
    </row>
    <row r="151" spans="1:2" x14ac:dyDescent="0.2">
      <c r="A151" s="173" t="s">
        <v>1359</v>
      </c>
      <c r="B151" s="173" t="s">
        <v>1461</v>
      </c>
    </row>
    <row r="152" spans="1:2" x14ac:dyDescent="0.2">
      <c r="A152" s="173" t="s">
        <v>1360</v>
      </c>
      <c r="B152" s="173" t="s">
        <v>1461</v>
      </c>
    </row>
    <row r="153" spans="1:2" x14ac:dyDescent="0.2">
      <c r="A153" s="173" t="s">
        <v>1361</v>
      </c>
      <c r="B153" s="173" t="s">
        <v>1461</v>
      </c>
    </row>
    <row r="154" spans="1:2" x14ac:dyDescent="0.2">
      <c r="A154" s="173" t="s">
        <v>1362</v>
      </c>
      <c r="B154" s="173" t="s">
        <v>1461</v>
      </c>
    </row>
    <row r="155" spans="1:2" x14ac:dyDescent="0.2">
      <c r="A155" s="173" t="s">
        <v>1363</v>
      </c>
      <c r="B155" s="173" t="s">
        <v>1461</v>
      </c>
    </row>
    <row r="156" spans="1:2" x14ac:dyDescent="0.2">
      <c r="A156" s="151" t="s">
        <v>1364</v>
      </c>
      <c r="B156" s="175" t="s">
        <v>1462</v>
      </c>
    </row>
    <row r="157" spans="1:2" x14ac:dyDescent="0.2">
      <c r="A157" s="151" t="s">
        <v>1365</v>
      </c>
      <c r="B157" s="175" t="s">
        <v>1462</v>
      </c>
    </row>
    <row r="158" spans="1:2" x14ac:dyDescent="0.2">
      <c r="A158" s="151" t="s">
        <v>1366</v>
      </c>
      <c r="B158" s="175" t="s">
        <v>1462</v>
      </c>
    </row>
    <row r="159" spans="1:2" x14ac:dyDescent="0.2">
      <c r="A159" s="151" t="s">
        <v>1367</v>
      </c>
      <c r="B159" s="175" t="s">
        <v>1462</v>
      </c>
    </row>
    <row r="160" spans="1:2" x14ac:dyDescent="0.2">
      <c r="A160" s="172" t="s">
        <v>1368</v>
      </c>
      <c r="B160" s="172" t="s">
        <v>234</v>
      </c>
    </row>
    <row r="161" spans="1:2" x14ac:dyDescent="0.2">
      <c r="A161" s="172" t="s">
        <v>1369</v>
      </c>
      <c r="B161" s="172" t="s">
        <v>234</v>
      </c>
    </row>
    <row r="162" spans="1:2" x14ac:dyDescent="0.2">
      <c r="A162" s="172" t="s">
        <v>1370</v>
      </c>
      <c r="B162" s="172" t="s">
        <v>234</v>
      </c>
    </row>
    <row r="163" spans="1:2" x14ac:dyDescent="0.2">
      <c r="A163" s="172" t="s">
        <v>1371</v>
      </c>
      <c r="B163" s="172" t="s">
        <v>234</v>
      </c>
    </row>
    <row r="164" spans="1:2" x14ac:dyDescent="0.2">
      <c r="A164" s="172" t="s">
        <v>1372</v>
      </c>
      <c r="B164" s="172" t="s">
        <v>234</v>
      </c>
    </row>
    <row r="165" spans="1:2" x14ac:dyDescent="0.2">
      <c r="A165" s="172" t="s">
        <v>1373</v>
      </c>
      <c r="B165" s="172" t="s">
        <v>234</v>
      </c>
    </row>
    <row r="166" spans="1:2" x14ac:dyDescent="0.2">
      <c r="A166" s="172" t="s">
        <v>1374</v>
      </c>
      <c r="B166" s="172" t="s">
        <v>234</v>
      </c>
    </row>
    <row r="170" spans="1:2" x14ac:dyDescent="0.2">
      <c r="A170" s="148" t="s">
        <v>201</v>
      </c>
    </row>
    <row r="171" spans="1:2" x14ac:dyDescent="0.2">
      <c r="A171" s="156" t="s">
        <v>202</v>
      </c>
    </row>
    <row r="172" spans="1:2" x14ac:dyDescent="0.2">
      <c r="A172" s="153" t="s">
        <v>203</v>
      </c>
    </row>
    <row r="173" spans="1:2" x14ac:dyDescent="0.2">
      <c r="A173" s="151" t="s">
        <v>204</v>
      </c>
    </row>
    <row r="174" spans="1:2" x14ac:dyDescent="0.2">
      <c r="A174" s="152" t="s">
        <v>205</v>
      </c>
    </row>
    <row r="177" spans="1:2" x14ac:dyDescent="0.2">
      <c r="A177" s="46" t="s">
        <v>1487</v>
      </c>
      <c r="B177" s="185">
        <f>COUNTIF(B2:B166,"Yes")/(COUNTIF(B2:B166,"*")-COUNTIF(B2:B166,"N/A*")-COUNTIF(B2:B166,"TBD*"))</f>
        <v>0.59199999999999997</v>
      </c>
    </row>
  </sheetData>
  <autoFilter ref="A1:C166"/>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C87"/>
  <sheetViews>
    <sheetView topLeftCell="A13" workbookViewId="0">
      <selection activeCell="C76" sqref="C76"/>
    </sheetView>
  </sheetViews>
  <sheetFormatPr defaultRowHeight="12.75" x14ac:dyDescent="0.2"/>
  <cols>
    <col min="1" max="1" width="61.28515625" customWidth="1"/>
    <col min="2" max="2" width="23.5703125" customWidth="1"/>
    <col min="3" max="3" width="31.42578125" customWidth="1"/>
  </cols>
  <sheetData>
    <row r="1" spans="1:3" x14ac:dyDescent="0.2">
      <c r="A1" s="132" t="s">
        <v>1454</v>
      </c>
      <c r="B1" s="132" t="s">
        <v>1185</v>
      </c>
    </row>
    <row r="2" spans="1:3" x14ac:dyDescent="0.2">
      <c r="A2" s="152" t="s">
        <v>1378</v>
      </c>
      <c r="B2" s="180" t="s">
        <v>234</v>
      </c>
      <c r="C2" s="133" t="s">
        <v>1188</v>
      </c>
    </row>
    <row r="3" spans="1:3" x14ac:dyDescent="0.2">
      <c r="A3" s="152" t="s">
        <v>1379</v>
      </c>
      <c r="B3" s="180" t="s">
        <v>234</v>
      </c>
    </row>
    <row r="4" spans="1:3" x14ac:dyDescent="0.2">
      <c r="A4" s="151" t="s">
        <v>1380</v>
      </c>
      <c r="B4" s="175" t="s">
        <v>1462</v>
      </c>
    </row>
    <row r="5" spans="1:3" x14ac:dyDescent="0.2">
      <c r="A5" s="151" t="s">
        <v>1381</v>
      </c>
      <c r="B5" s="175" t="s">
        <v>1462</v>
      </c>
    </row>
    <row r="6" spans="1:3" x14ac:dyDescent="0.2">
      <c r="A6" s="151" t="s">
        <v>1382</v>
      </c>
      <c r="B6" s="175" t="s">
        <v>1462</v>
      </c>
    </row>
    <row r="7" spans="1:3" x14ac:dyDescent="0.2">
      <c r="A7" s="151" t="s">
        <v>1383</v>
      </c>
      <c r="B7" s="175" t="s">
        <v>1462</v>
      </c>
    </row>
    <row r="8" spans="1:3" x14ac:dyDescent="0.2">
      <c r="A8" s="151" t="s">
        <v>1384</v>
      </c>
      <c r="B8" s="175" t="s">
        <v>1462</v>
      </c>
    </row>
    <row r="9" spans="1:3" x14ac:dyDescent="0.2">
      <c r="A9" s="151" t="s">
        <v>1385</v>
      </c>
      <c r="B9" s="175" t="s">
        <v>1462</v>
      </c>
    </row>
    <row r="10" spans="1:3" x14ac:dyDescent="0.2">
      <c r="A10" s="151" t="s">
        <v>1386</v>
      </c>
      <c r="B10" s="175" t="s">
        <v>1462</v>
      </c>
    </row>
    <row r="11" spans="1:3" x14ac:dyDescent="0.2">
      <c r="A11" s="151" t="s">
        <v>1387</v>
      </c>
      <c r="B11" s="175" t="s">
        <v>1462</v>
      </c>
    </row>
    <row r="12" spans="1:3" x14ac:dyDescent="0.2">
      <c r="A12" s="151" t="s">
        <v>1388</v>
      </c>
      <c r="B12" s="175" t="s">
        <v>1462</v>
      </c>
    </row>
    <row r="13" spans="1:3" x14ac:dyDescent="0.2">
      <c r="A13" s="151" t="s">
        <v>1389</v>
      </c>
      <c r="B13" s="175" t="s">
        <v>1462</v>
      </c>
    </row>
    <row r="14" spans="1:3" x14ac:dyDescent="0.2">
      <c r="A14" s="151" t="s">
        <v>1390</v>
      </c>
      <c r="B14" s="175" t="s">
        <v>1462</v>
      </c>
    </row>
    <row r="15" spans="1:3" x14ac:dyDescent="0.2">
      <c r="A15" s="151" t="s">
        <v>1391</v>
      </c>
      <c r="B15" s="175" t="s">
        <v>1462</v>
      </c>
    </row>
    <row r="16" spans="1:3" x14ac:dyDescent="0.2">
      <c r="A16" s="151" t="s">
        <v>1392</v>
      </c>
      <c r="B16" s="175" t="s">
        <v>1462</v>
      </c>
    </row>
    <row r="17" spans="1:2" x14ac:dyDescent="0.2">
      <c r="A17" s="151" t="s">
        <v>1393</v>
      </c>
      <c r="B17" s="175" t="s">
        <v>1462</v>
      </c>
    </row>
    <row r="18" spans="1:2" x14ac:dyDescent="0.2">
      <c r="A18" s="151" t="s">
        <v>1394</v>
      </c>
      <c r="B18" s="175" t="s">
        <v>1462</v>
      </c>
    </row>
    <row r="19" spans="1:2" x14ac:dyDescent="0.2">
      <c r="A19" s="151" t="s">
        <v>1395</v>
      </c>
      <c r="B19" s="175" t="s">
        <v>1462</v>
      </c>
    </row>
    <row r="20" spans="1:2" x14ac:dyDescent="0.2">
      <c r="A20" s="151" t="s">
        <v>1396</v>
      </c>
      <c r="B20" s="175" t="s">
        <v>1462</v>
      </c>
    </row>
    <row r="21" spans="1:2" x14ac:dyDescent="0.2">
      <c r="A21" s="173" t="s">
        <v>1397</v>
      </c>
      <c r="B21" s="156" t="s">
        <v>1461</v>
      </c>
    </row>
    <row r="22" spans="1:2" x14ac:dyDescent="0.2">
      <c r="A22" s="173" t="s">
        <v>1398</v>
      </c>
      <c r="B22" s="156" t="s">
        <v>1461</v>
      </c>
    </row>
    <row r="23" spans="1:2" x14ac:dyDescent="0.2">
      <c r="A23" s="151" t="s">
        <v>1399</v>
      </c>
      <c r="B23" s="175" t="s">
        <v>1462</v>
      </c>
    </row>
    <row r="24" spans="1:2" x14ac:dyDescent="0.2">
      <c r="A24" s="151" t="s">
        <v>1400</v>
      </c>
      <c r="B24" s="175" t="s">
        <v>1462</v>
      </c>
    </row>
    <row r="25" spans="1:2" x14ac:dyDescent="0.2">
      <c r="A25" s="173" t="s">
        <v>1401</v>
      </c>
      <c r="B25" s="156" t="s">
        <v>1461</v>
      </c>
    </row>
    <row r="26" spans="1:2" x14ac:dyDescent="0.2">
      <c r="A26" s="151" t="s">
        <v>1402</v>
      </c>
      <c r="B26" s="175" t="s">
        <v>1462</v>
      </c>
    </row>
    <row r="27" spans="1:2" x14ac:dyDescent="0.2">
      <c r="A27" s="173" t="s">
        <v>1403</v>
      </c>
      <c r="B27" s="156" t="s">
        <v>1461</v>
      </c>
    </row>
    <row r="28" spans="1:2" x14ac:dyDescent="0.2">
      <c r="A28" s="173" t="s">
        <v>1404</v>
      </c>
      <c r="B28" s="156" t="s">
        <v>1461</v>
      </c>
    </row>
    <row r="29" spans="1:2" x14ac:dyDescent="0.2">
      <c r="A29" s="151" t="s">
        <v>1405</v>
      </c>
      <c r="B29" s="175" t="s">
        <v>1462</v>
      </c>
    </row>
    <row r="30" spans="1:2" x14ac:dyDescent="0.2">
      <c r="A30" s="151" t="s">
        <v>1406</v>
      </c>
      <c r="B30" s="175" t="s">
        <v>1462</v>
      </c>
    </row>
    <row r="31" spans="1:2" x14ac:dyDescent="0.2">
      <c r="A31" s="151" t="s">
        <v>1407</v>
      </c>
      <c r="B31" s="175" t="s">
        <v>1462</v>
      </c>
    </row>
    <row r="32" spans="1:2" x14ac:dyDescent="0.2">
      <c r="A32" s="151" t="s">
        <v>1408</v>
      </c>
      <c r="B32" s="175" t="s">
        <v>1462</v>
      </c>
    </row>
    <row r="33" spans="1:2" x14ac:dyDescent="0.2">
      <c r="A33" s="151" t="s">
        <v>1409</v>
      </c>
      <c r="B33" s="175" t="s">
        <v>1462</v>
      </c>
    </row>
    <row r="34" spans="1:2" x14ac:dyDescent="0.2">
      <c r="A34" s="151" t="s">
        <v>1410</v>
      </c>
      <c r="B34" s="175" t="s">
        <v>1462</v>
      </c>
    </row>
    <row r="35" spans="1:2" x14ac:dyDescent="0.2">
      <c r="A35" s="151" t="s">
        <v>1411</v>
      </c>
      <c r="B35" s="151" t="s">
        <v>1462</v>
      </c>
    </row>
    <row r="36" spans="1:2" x14ac:dyDescent="0.2">
      <c r="A36" s="151" t="s">
        <v>1412</v>
      </c>
      <c r="B36" s="175" t="s">
        <v>1462</v>
      </c>
    </row>
    <row r="37" spans="1:2" x14ac:dyDescent="0.2">
      <c r="A37" s="151" t="s">
        <v>1413</v>
      </c>
      <c r="B37" s="175" t="s">
        <v>1462</v>
      </c>
    </row>
    <row r="38" spans="1:2" x14ac:dyDescent="0.2">
      <c r="A38" s="151" t="s">
        <v>1414</v>
      </c>
      <c r="B38" s="175" t="s">
        <v>1462</v>
      </c>
    </row>
    <row r="39" spans="1:2" x14ac:dyDescent="0.2">
      <c r="A39" s="151" t="s">
        <v>1415</v>
      </c>
      <c r="B39" s="151" t="s">
        <v>1462</v>
      </c>
    </row>
    <row r="40" spans="1:2" x14ac:dyDescent="0.2">
      <c r="A40" s="151" t="s">
        <v>1416</v>
      </c>
      <c r="B40" s="175" t="s">
        <v>1462</v>
      </c>
    </row>
    <row r="41" spans="1:2" x14ac:dyDescent="0.2">
      <c r="A41" s="151" t="s">
        <v>1417</v>
      </c>
      <c r="B41" s="175" t="s">
        <v>1462</v>
      </c>
    </row>
    <row r="42" spans="1:2" x14ac:dyDescent="0.2">
      <c r="A42" s="151" t="s">
        <v>1418</v>
      </c>
      <c r="B42" s="175" t="s">
        <v>1462</v>
      </c>
    </row>
    <row r="43" spans="1:2" x14ac:dyDescent="0.2">
      <c r="A43" s="151" t="s">
        <v>1419</v>
      </c>
      <c r="B43" s="175" t="s">
        <v>1462</v>
      </c>
    </row>
    <row r="44" spans="1:2" x14ac:dyDescent="0.2">
      <c r="A44" s="151" t="s">
        <v>1420</v>
      </c>
      <c r="B44" s="175" t="s">
        <v>1462</v>
      </c>
    </row>
    <row r="45" spans="1:2" x14ac:dyDescent="0.2">
      <c r="A45" s="173" t="s">
        <v>1421</v>
      </c>
      <c r="B45" s="156" t="s">
        <v>1461</v>
      </c>
    </row>
    <row r="46" spans="1:2" x14ac:dyDescent="0.2">
      <c r="A46" s="173" t="s">
        <v>1422</v>
      </c>
      <c r="B46" s="156" t="s">
        <v>1461</v>
      </c>
    </row>
    <row r="47" spans="1:2" x14ac:dyDescent="0.2">
      <c r="A47" s="151" t="s">
        <v>1423</v>
      </c>
      <c r="B47" s="175" t="s">
        <v>1462</v>
      </c>
    </row>
    <row r="48" spans="1:2" x14ac:dyDescent="0.2">
      <c r="A48" s="151" t="s">
        <v>1424</v>
      </c>
      <c r="B48" s="175" t="s">
        <v>1462</v>
      </c>
    </row>
    <row r="49" spans="1:2" x14ac:dyDescent="0.2">
      <c r="A49" s="151" t="s">
        <v>1425</v>
      </c>
      <c r="B49" s="175" t="s">
        <v>1462</v>
      </c>
    </row>
    <row r="50" spans="1:2" x14ac:dyDescent="0.2">
      <c r="A50" s="151" t="s">
        <v>1426</v>
      </c>
      <c r="B50" s="175" t="s">
        <v>1462</v>
      </c>
    </row>
    <row r="51" spans="1:2" x14ac:dyDescent="0.2">
      <c r="A51" s="151" t="s">
        <v>1427</v>
      </c>
      <c r="B51" s="175" t="s">
        <v>1462</v>
      </c>
    </row>
    <row r="52" spans="1:2" x14ac:dyDescent="0.2">
      <c r="A52" s="151" t="s">
        <v>1428</v>
      </c>
      <c r="B52" s="175" t="s">
        <v>1462</v>
      </c>
    </row>
    <row r="53" spans="1:2" x14ac:dyDescent="0.2">
      <c r="A53" s="152" t="s">
        <v>1429</v>
      </c>
      <c r="B53" s="180" t="s">
        <v>234</v>
      </c>
    </row>
    <row r="54" spans="1:2" x14ac:dyDescent="0.2">
      <c r="A54" s="151" t="s">
        <v>1430</v>
      </c>
      <c r="B54" s="175" t="s">
        <v>1462</v>
      </c>
    </row>
    <row r="55" spans="1:2" x14ac:dyDescent="0.2">
      <c r="A55" s="151" t="s">
        <v>1431</v>
      </c>
      <c r="B55" s="175" t="s">
        <v>1462</v>
      </c>
    </row>
    <row r="56" spans="1:2" x14ac:dyDescent="0.2">
      <c r="A56" s="151" t="s">
        <v>1432</v>
      </c>
      <c r="B56" s="151" t="s">
        <v>1462</v>
      </c>
    </row>
    <row r="57" spans="1:2" x14ac:dyDescent="0.2">
      <c r="A57" s="151" t="s">
        <v>1433</v>
      </c>
      <c r="B57" s="175" t="s">
        <v>1462</v>
      </c>
    </row>
    <row r="58" spans="1:2" x14ac:dyDescent="0.2">
      <c r="A58" s="151" t="s">
        <v>1434</v>
      </c>
      <c r="B58" s="151" t="s">
        <v>1462</v>
      </c>
    </row>
    <row r="59" spans="1:2" x14ac:dyDescent="0.2">
      <c r="A59" s="152" t="s">
        <v>1435</v>
      </c>
      <c r="B59" s="180" t="s">
        <v>234</v>
      </c>
    </row>
    <row r="60" spans="1:2" x14ac:dyDescent="0.2">
      <c r="A60" s="151" t="s">
        <v>1436</v>
      </c>
      <c r="B60" s="175" t="s">
        <v>1462</v>
      </c>
    </row>
    <row r="61" spans="1:2" x14ac:dyDescent="0.2">
      <c r="A61" s="151" t="s">
        <v>1437</v>
      </c>
      <c r="B61" s="151" t="s">
        <v>1462</v>
      </c>
    </row>
    <row r="62" spans="1:2" x14ac:dyDescent="0.2">
      <c r="A62" s="152" t="s">
        <v>1438</v>
      </c>
      <c r="B62" s="180" t="s">
        <v>234</v>
      </c>
    </row>
    <row r="63" spans="1:2" x14ac:dyDescent="0.2">
      <c r="A63" s="151" t="s">
        <v>1439</v>
      </c>
      <c r="B63" s="175" t="s">
        <v>1462</v>
      </c>
    </row>
    <row r="64" spans="1:2" x14ac:dyDescent="0.2">
      <c r="A64" s="151" t="s">
        <v>1440</v>
      </c>
      <c r="B64" s="151" t="s">
        <v>1462</v>
      </c>
    </row>
    <row r="65" spans="1:2" x14ac:dyDescent="0.2">
      <c r="A65" s="152" t="s">
        <v>1441</v>
      </c>
      <c r="B65" s="180" t="s">
        <v>234</v>
      </c>
    </row>
    <row r="66" spans="1:2" x14ac:dyDescent="0.2">
      <c r="A66" s="151" t="s">
        <v>1442</v>
      </c>
      <c r="B66" s="175" t="s">
        <v>1462</v>
      </c>
    </row>
    <row r="67" spans="1:2" x14ac:dyDescent="0.2">
      <c r="A67" s="151" t="s">
        <v>1443</v>
      </c>
      <c r="B67" s="151" t="s">
        <v>1462</v>
      </c>
    </row>
    <row r="68" spans="1:2" x14ac:dyDescent="0.2">
      <c r="A68" s="173" t="s">
        <v>1444</v>
      </c>
      <c r="B68" s="156" t="s">
        <v>1461</v>
      </c>
    </row>
    <row r="69" spans="1:2" x14ac:dyDescent="0.2">
      <c r="A69" s="173" t="s">
        <v>1445</v>
      </c>
      <c r="B69" s="156" t="s">
        <v>1461</v>
      </c>
    </row>
    <row r="70" spans="1:2" x14ac:dyDescent="0.2">
      <c r="A70" s="173" t="s">
        <v>1446</v>
      </c>
      <c r="B70" s="156" t="s">
        <v>1461</v>
      </c>
    </row>
    <row r="71" spans="1:2" x14ac:dyDescent="0.2">
      <c r="A71" s="151" t="s">
        <v>1447</v>
      </c>
      <c r="B71" s="175" t="s">
        <v>1462</v>
      </c>
    </row>
    <row r="72" spans="1:2" x14ac:dyDescent="0.2">
      <c r="A72" s="151" t="s">
        <v>1448</v>
      </c>
      <c r="B72" s="175" t="s">
        <v>1462</v>
      </c>
    </row>
    <row r="73" spans="1:2" x14ac:dyDescent="0.2">
      <c r="A73" s="151" t="s">
        <v>1449</v>
      </c>
      <c r="B73" s="175" t="s">
        <v>1462</v>
      </c>
    </row>
    <row r="74" spans="1:2" x14ac:dyDescent="0.2">
      <c r="A74" s="151" t="s">
        <v>1450</v>
      </c>
      <c r="B74" s="175" t="s">
        <v>1462</v>
      </c>
    </row>
    <row r="75" spans="1:2" x14ac:dyDescent="0.2">
      <c r="A75" s="151" t="s">
        <v>1451</v>
      </c>
      <c r="B75" s="175" t="s">
        <v>1462</v>
      </c>
    </row>
    <row r="76" spans="1:2" x14ac:dyDescent="0.2">
      <c r="A76" s="151" t="s">
        <v>1452</v>
      </c>
      <c r="B76" s="175" t="s">
        <v>1462</v>
      </c>
    </row>
    <row r="77" spans="1:2" x14ac:dyDescent="0.2">
      <c r="A77" s="151" t="s">
        <v>1453</v>
      </c>
      <c r="B77" s="175" t="s">
        <v>1462</v>
      </c>
    </row>
    <row r="80" spans="1:2" x14ac:dyDescent="0.2">
      <c r="A80" s="148" t="s">
        <v>201</v>
      </c>
    </row>
    <row r="81" spans="1:2" x14ac:dyDescent="0.2">
      <c r="A81" s="156" t="s">
        <v>202</v>
      </c>
    </row>
    <row r="82" spans="1:2" x14ac:dyDescent="0.2">
      <c r="A82" s="153" t="s">
        <v>203</v>
      </c>
    </row>
    <row r="83" spans="1:2" x14ac:dyDescent="0.2">
      <c r="A83" s="151" t="s">
        <v>204</v>
      </c>
    </row>
    <row r="84" spans="1:2" x14ac:dyDescent="0.2">
      <c r="A84" s="152" t="s">
        <v>205</v>
      </c>
    </row>
    <row r="87" spans="1:2" x14ac:dyDescent="0.2">
      <c r="A87" s="186" t="s">
        <v>1486</v>
      </c>
      <c r="B87" s="185">
        <f>COUNTIF(B2:B77,"Yes")/(COUNTIF(B2:B77,"*")-COUNTIF(B2:B77,"*TBD*")-COUNTIF(B2:B77,"*N/A*"))</f>
        <v>0.8571428571428571</v>
      </c>
    </row>
  </sheetData>
  <autoFilter ref="A1:C77"/>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71"/>
  <sheetViews>
    <sheetView topLeftCell="A31" workbookViewId="0">
      <selection activeCell="B72" sqref="B72"/>
    </sheetView>
  </sheetViews>
  <sheetFormatPr defaultRowHeight="12.75" x14ac:dyDescent="0.2"/>
  <cols>
    <col min="1" max="1" width="45.85546875" customWidth="1"/>
    <col min="2" max="2" width="81.7109375" customWidth="1"/>
    <col min="3" max="3" width="18.7109375" customWidth="1"/>
    <col min="4" max="4" width="16.28515625" customWidth="1"/>
    <col min="5" max="5" width="14.85546875" customWidth="1"/>
    <col min="6" max="6" width="25.28515625" customWidth="1"/>
    <col min="7" max="7" width="23" customWidth="1"/>
  </cols>
  <sheetData>
    <row r="1" spans="1:7" x14ac:dyDescent="0.2">
      <c r="A1" s="46"/>
      <c r="B1" s="468" t="s">
        <v>76</v>
      </c>
      <c r="C1" s="468"/>
    </row>
    <row r="3" spans="1:7" ht="25.5" x14ac:dyDescent="0.2">
      <c r="A3" s="45" t="s">
        <v>79</v>
      </c>
      <c r="B3" s="28" t="s">
        <v>78</v>
      </c>
      <c r="C3" s="49" t="s">
        <v>77</v>
      </c>
      <c r="D3" s="49" t="s">
        <v>84</v>
      </c>
      <c r="E3" s="49" t="s">
        <v>83</v>
      </c>
      <c r="F3" s="49" t="s">
        <v>85</v>
      </c>
      <c r="G3" s="49" t="s">
        <v>86</v>
      </c>
    </row>
    <row r="4" spans="1:7" x14ac:dyDescent="0.2">
      <c r="B4" s="45"/>
    </row>
    <row r="5" spans="1:7" x14ac:dyDescent="0.2">
      <c r="C5" s="35"/>
    </row>
    <row r="6" spans="1:7" x14ac:dyDescent="0.2">
      <c r="A6" s="45" t="s">
        <v>17</v>
      </c>
      <c r="B6" s="45" t="s">
        <v>37</v>
      </c>
      <c r="C6" s="35">
        <v>1918</v>
      </c>
      <c r="D6">
        <f>SUM(C6:C7)</f>
        <v>3734</v>
      </c>
      <c r="E6" s="50">
        <f>D6/$C$71</f>
        <v>7.1404121704443536E-3</v>
      </c>
      <c r="F6" s="51" t="e">
        <f>'DC Estimation'!#REF!/100</f>
        <v>#REF!</v>
      </c>
      <c r="G6" s="50" t="e">
        <f>E6*F6</f>
        <v>#REF!</v>
      </c>
    </row>
    <row r="7" spans="1:7" x14ac:dyDescent="0.2">
      <c r="B7" s="45" t="s">
        <v>38</v>
      </c>
      <c r="C7" s="35">
        <v>1816</v>
      </c>
      <c r="E7" s="50"/>
      <c r="G7" s="50"/>
    </row>
    <row r="8" spans="1:7" x14ac:dyDescent="0.2">
      <c r="E8" s="50"/>
      <c r="G8" s="50"/>
    </row>
    <row r="9" spans="1:7" x14ac:dyDescent="0.2">
      <c r="A9" s="45" t="s">
        <v>16</v>
      </c>
      <c r="B9" s="45" t="s">
        <v>55</v>
      </c>
      <c r="C9" s="35">
        <v>1646</v>
      </c>
      <c r="D9">
        <f>SUM(C9:C10)</f>
        <v>3268</v>
      </c>
      <c r="E9" s="50">
        <f>D9/$C$71</f>
        <v>6.2492948508334626E-3</v>
      </c>
      <c r="F9" s="51" t="e">
        <f>'DC Estimation'!#REF!/100</f>
        <v>#REF!</v>
      </c>
      <c r="G9" s="50" t="e">
        <f t="shared" ref="G9:G69" si="0">E9*F9</f>
        <v>#REF!</v>
      </c>
    </row>
    <row r="10" spans="1:7" x14ac:dyDescent="0.2">
      <c r="B10" s="45" t="s">
        <v>56</v>
      </c>
      <c r="C10" s="35">
        <v>1622</v>
      </c>
      <c r="E10" s="50"/>
      <c r="G10" s="50"/>
    </row>
    <row r="11" spans="1:7" x14ac:dyDescent="0.2">
      <c r="E11" s="50"/>
      <c r="G11" s="50"/>
    </row>
    <row r="12" spans="1:7" x14ac:dyDescent="0.2">
      <c r="A12" s="45" t="s">
        <v>15</v>
      </c>
      <c r="B12" s="45" t="s">
        <v>68</v>
      </c>
      <c r="C12" s="35">
        <v>8654</v>
      </c>
      <c r="D12">
        <f>SUM(C12:C13)</f>
        <v>17060</v>
      </c>
      <c r="E12" s="50">
        <f>D12/$C$71</f>
        <v>3.2623307881033924E-2</v>
      </c>
      <c r="F12" s="51" t="e">
        <f>'DC Estimation'!#REF!/100</f>
        <v>#REF!</v>
      </c>
      <c r="G12" s="50" t="e">
        <f t="shared" si="0"/>
        <v>#REF!</v>
      </c>
    </row>
    <row r="13" spans="1:7" x14ac:dyDescent="0.2">
      <c r="B13" s="45" t="s">
        <v>69</v>
      </c>
      <c r="C13" s="35">
        <v>8406</v>
      </c>
      <c r="E13" s="50"/>
      <c r="G13" s="50"/>
    </row>
    <row r="14" spans="1:7" x14ac:dyDescent="0.2">
      <c r="E14" s="50"/>
      <c r="G14" s="50"/>
    </row>
    <row r="15" spans="1:7" x14ac:dyDescent="0.2">
      <c r="A15" s="45" t="s">
        <v>14</v>
      </c>
      <c r="B15" s="45" t="s">
        <v>49</v>
      </c>
      <c r="C15" s="35">
        <v>6496</v>
      </c>
      <c r="D15">
        <f>C15</f>
        <v>6496</v>
      </c>
      <c r="E15" s="50">
        <f>D15/$C$71</f>
        <v>1.242209894461878E-2</v>
      </c>
      <c r="F15" s="51" t="e">
        <f>'DC Estimation'!#REF!/100</f>
        <v>#REF!</v>
      </c>
      <c r="G15" s="50" t="e">
        <f t="shared" si="0"/>
        <v>#REF!</v>
      </c>
    </row>
    <row r="16" spans="1:7" x14ac:dyDescent="0.2">
      <c r="E16" s="50"/>
      <c r="G16" s="50"/>
    </row>
    <row r="17" spans="1:7" x14ac:dyDescent="0.2">
      <c r="A17" s="45" t="s">
        <v>8</v>
      </c>
      <c r="B17" s="45" t="s">
        <v>74</v>
      </c>
      <c r="C17" s="35">
        <v>460</v>
      </c>
      <c r="D17">
        <f>SUM(C17:C18)</f>
        <v>924</v>
      </c>
      <c r="E17" s="50">
        <f>D17/$C$71</f>
        <v>1.7669364878121539E-3</v>
      </c>
      <c r="F17" s="51" t="e">
        <f>'DC Estimation'!#REF!/100</f>
        <v>#REF!</v>
      </c>
      <c r="G17" s="50" t="e">
        <f t="shared" si="0"/>
        <v>#REF!</v>
      </c>
    </row>
    <row r="18" spans="1:7" x14ac:dyDescent="0.2">
      <c r="B18" s="45" t="s">
        <v>75</v>
      </c>
      <c r="C18" s="35">
        <v>464</v>
      </c>
      <c r="E18" s="50"/>
      <c r="G18" s="50"/>
    </row>
    <row r="19" spans="1:7" x14ac:dyDescent="0.2">
      <c r="E19" s="50"/>
      <c r="G19" s="50"/>
    </row>
    <row r="20" spans="1:7" x14ac:dyDescent="0.2">
      <c r="A20" s="45" t="s">
        <v>19</v>
      </c>
      <c r="B20" s="45" t="s">
        <v>30</v>
      </c>
      <c r="C20" s="35">
        <v>1044</v>
      </c>
      <c r="D20">
        <f>SUM(C20:C21)</f>
        <v>2026</v>
      </c>
      <c r="E20" s="50">
        <f>D20/$C$71</f>
        <v>3.8742568444885541E-3</v>
      </c>
      <c r="F20" s="51" t="e">
        <f>'DC Estimation'!#REF!/100</f>
        <v>#REF!</v>
      </c>
      <c r="G20" s="50" t="e">
        <f t="shared" si="0"/>
        <v>#REF!</v>
      </c>
    </row>
    <row r="21" spans="1:7" x14ac:dyDescent="0.2">
      <c r="B21" s="45" t="s">
        <v>52</v>
      </c>
      <c r="C21" s="35">
        <v>982</v>
      </c>
      <c r="E21" s="50"/>
      <c r="G21" s="50"/>
    </row>
    <row r="22" spans="1:7" x14ac:dyDescent="0.2">
      <c r="E22" s="50"/>
      <c r="G22" s="50"/>
    </row>
    <row r="23" spans="1:7" x14ac:dyDescent="0.2">
      <c r="A23" s="45" t="s">
        <v>20</v>
      </c>
      <c r="B23" s="45" t="s">
        <v>81</v>
      </c>
      <c r="C23" s="35">
        <v>29837</v>
      </c>
      <c r="D23">
        <f>C23</f>
        <v>29837</v>
      </c>
      <c r="E23" s="50">
        <f>D23/$C$71</f>
        <v>5.7056367951137707E-2</v>
      </c>
      <c r="F23" s="51" t="e">
        <f>'DC Estimation'!#REF!/100</f>
        <v>#REF!</v>
      </c>
      <c r="G23" s="50" t="e">
        <f t="shared" si="0"/>
        <v>#REF!</v>
      </c>
    </row>
    <row r="24" spans="1:7" x14ac:dyDescent="0.2">
      <c r="A24" s="30"/>
      <c r="C24" s="35"/>
      <c r="E24" s="50"/>
      <c r="G24" s="50"/>
    </row>
    <row r="25" spans="1:7" x14ac:dyDescent="0.2">
      <c r="A25" s="37" t="s">
        <v>21</v>
      </c>
      <c r="B25" s="45" t="s">
        <v>72</v>
      </c>
      <c r="C25" s="35">
        <v>117822</v>
      </c>
      <c r="D25">
        <f>C25</f>
        <v>117822</v>
      </c>
      <c r="E25" s="50">
        <f>D25/$C$71</f>
        <v>0.22530734942316408</v>
      </c>
      <c r="F25" s="51" t="e">
        <f>'DC Estimation'!#REF!/100</f>
        <v>#REF!</v>
      </c>
      <c r="G25" s="50" t="e">
        <f t="shared" si="0"/>
        <v>#REF!</v>
      </c>
    </row>
    <row r="26" spans="1:7" x14ac:dyDescent="0.2">
      <c r="E26" s="50"/>
      <c r="G26" s="50"/>
    </row>
    <row r="27" spans="1:7" x14ac:dyDescent="0.2">
      <c r="A27" s="45" t="s">
        <v>18</v>
      </c>
      <c r="B27" s="45" t="s">
        <v>51</v>
      </c>
      <c r="C27" s="35">
        <v>5930</v>
      </c>
      <c r="D27">
        <f>C27</f>
        <v>5930</v>
      </c>
      <c r="E27" s="50">
        <f>D27/$C$71</f>
        <v>1.1339754732387524E-2</v>
      </c>
      <c r="F27" s="51" t="e">
        <f>'DC Estimation'!#REF!/100</f>
        <v>#REF!</v>
      </c>
      <c r="G27" s="50" t="e">
        <f t="shared" si="0"/>
        <v>#REF!</v>
      </c>
    </row>
    <row r="28" spans="1:7" x14ac:dyDescent="0.2">
      <c r="E28" s="50"/>
      <c r="G28" s="50"/>
    </row>
    <row r="29" spans="1:7" x14ac:dyDescent="0.2">
      <c r="A29" s="45" t="s">
        <v>23</v>
      </c>
      <c r="B29" s="45" t="s">
        <v>54</v>
      </c>
      <c r="C29" s="35">
        <v>7608</v>
      </c>
      <c r="D29">
        <f>SUM(C29:C30)</f>
        <v>13928</v>
      </c>
      <c r="E29" s="50">
        <f>D29/$C$71</f>
        <v>2.6634081604164157E-2</v>
      </c>
      <c r="F29" s="51" t="e">
        <f>'DC Estimation'!#REF!/100</f>
        <v>#REF!</v>
      </c>
      <c r="G29" s="50" t="e">
        <f t="shared" si="0"/>
        <v>#REF!</v>
      </c>
    </row>
    <row r="30" spans="1:7" x14ac:dyDescent="0.2">
      <c r="B30" s="45" t="s">
        <v>71</v>
      </c>
      <c r="C30" s="35">
        <v>6320</v>
      </c>
      <c r="E30" s="50"/>
      <c r="G30" s="50"/>
    </row>
    <row r="31" spans="1:7" x14ac:dyDescent="0.2">
      <c r="B31" s="45"/>
      <c r="C31" s="35"/>
      <c r="E31" s="50"/>
      <c r="G31" s="50"/>
    </row>
    <row r="32" spans="1:7" x14ac:dyDescent="0.2">
      <c r="A32" s="45" t="s">
        <v>22</v>
      </c>
      <c r="B32" s="47" t="s">
        <v>80</v>
      </c>
      <c r="C32" s="35">
        <v>12000</v>
      </c>
      <c r="D32">
        <f>C32</f>
        <v>12000</v>
      </c>
      <c r="E32" s="50">
        <f>D32/$C$71</f>
        <v>2.2947227114443559E-2</v>
      </c>
      <c r="F32" t="e">
        <f>'DC Estimation'!#REF!/100</f>
        <v>#REF!</v>
      </c>
      <c r="G32" s="50" t="e">
        <f t="shared" si="0"/>
        <v>#REF!</v>
      </c>
    </row>
    <row r="33" spans="1:12" x14ac:dyDescent="0.2">
      <c r="B33" s="45"/>
      <c r="C33" s="35"/>
      <c r="E33" s="50"/>
      <c r="G33" s="50"/>
    </row>
    <row r="34" spans="1:12" x14ac:dyDescent="0.2">
      <c r="A34" t="s">
        <v>13</v>
      </c>
      <c r="B34" s="45" t="s">
        <v>50</v>
      </c>
      <c r="C34" s="35">
        <v>16714</v>
      </c>
      <c r="D34">
        <f>SUM(C34:C42)</f>
        <v>104817</v>
      </c>
      <c r="E34" s="50">
        <f>D34/$C$71</f>
        <v>0.20043829203788588</v>
      </c>
      <c r="F34" s="51" t="e">
        <f>'DC Estimation'!#REF!/100</f>
        <v>#REF!</v>
      </c>
      <c r="G34" s="50" t="e">
        <f t="shared" si="0"/>
        <v>#REF!</v>
      </c>
    </row>
    <row r="35" spans="1:12" x14ac:dyDescent="0.2">
      <c r="B35" s="45" t="s">
        <v>67</v>
      </c>
      <c r="C35" s="35">
        <v>59298</v>
      </c>
      <c r="E35" s="50"/>
      <c r="G35" s="50"/>
    </row>
    <row r="36" spans="1:12" x14ac:dyDescent="0.2">
      <c r="B36" s="45" t="s">
        <v>57</v>
      </c>
      <c r="C36" s="35">
        <v>3884</v>
      </c>
      <c r="E36" s="50"/>
      <c r="G36" s="50"/>
    </row>
    <row r="37" spans="1:12" x14ac:dyDescent="0.2">
      <c r="B37" s="45" t="s">
        <v>58</v>
      </c>
      <c r="C37" s="35">
        <v>4552</v>
      </c>
      <c r="E37" s="50"/>
      <c r="G37" s="50"/>
    </row>
    <row r="38" spans="1:12" x14ac:dyDescent="0.2">
      <c r="B38" s="45" t="s">
        <v>59</v>
      </c>
      <c r="C38" s="35">
        <v>7182</v>
      </c>
      <c r="E38" s="50"/>
      <c r="G38" s="50"/>
    </row>
    <row r="39" spans="1:12" x14ac:dyDescent="0.2">
      <c r="B39" s="45" t="s">
        <v>60</v>
      </c>
      <c r="C39" s="35">
        <v>4576</v>
      </c>
      <c r="E39" s="50"/>
      <c r="G39" s="50"/>
    </row>
    <row r="40" spans="1:12" x14ac:dyDescent="0.2">
      <c r="B40" s="45" t="s">
        <v>61</v>
      </c>
      <c r="C40" s="35">
        <v>3064</v>
      </c>
      <c r="E40" s="50"/>
      <c r="G40" s="50"/>
    </row>
    <row r="41" spans="1:12" x14ac:dyDescent="0.2">
      <c r="B41" s="45" t="s">
        <v>62</v>
      </c>
      <c r="C41" s="35">
        <v>3195</v>
      </c>
      <c r="E41" s="50"/>
      <c r="G41" s="50"/>
    </row>
    <row r="42" spans="1:12" x14ac:dyDescent="0.2">
      <c r="B42" s="45" t="s">
        <v>63</v>
      </c>
      <c r="C42" s="35">
        <v>2352</v>
      </c>
      <c r="E42" s="50"/>
      <c r="G42" s="50"/>
    </row>
    <row r="43" spans="1:12" x14ac:dyDescent="0.2">
      <c r="B43" s="45"/>
      <c r="C43" s="35"/>
      <c r="E43" s="50"/>
      <c r="G43" s="50"/>
    </row>
    <row r="44" spans="1:12" x14ac:dyDescent="0.2">
      <c r="B44" s="45"/>
      <c r="C44" s="35"/>
      <c r="E44" s="50"/>
      <c r="G44" s="50"/>
      <c r="H44" s="45" t="s">
        <v>82</v>
      </c>
    </row>
    <row r="45" spans="1:12" x14ac:dyDescent="0.2">
      <c r="A45" s="45" t="s">
        <v>29</v>
      </c>
      <c r="B45" s="45" t="s">
        <v>66</v>
      </c>
      <c r="C45" s="35">
        <v>43878</v>
      </c>
      <c r="D45">
        <f>SUM(C45:C48)</f>
        <v>68769</v>
      </c>
      <c r="E45" s="50">
        <f>D45/$C$71</f>
        <v>0.13150482178609743</v>
      </c>
      <c r="F45" s="51" t="e">
        <f>'DC Estimation'!#REF!/100</f>
        <v>#REF!</v>
      </c>
      <c r="G45" s="50" t="e">
        <f t="shared" si="0"/>
        <v>#REF!</v>
      </c>
      <c r="H45">
        <v>0.99</v>
      </c>
      <c r="I45">
        <f>C45*H45</f>
        <v>43439.22</v>
      </c>
      <c r="J45">
        <f>SUM(I45:I48)</f>
        <v>49158.42</v>
      </c>
      <c r="K45">
        <f>SUM(C45:C48)</f>
        <v>68769</v>
      </c>
      <c r="L45" s="28">
        <f>J45/K45</f>
        <v>0.71483400951009901</v>
      </c>
    </row>
    <row r="46" spans="1:12" x14ac:dyDescent="0.2">
      <c r="B46" s="45" t="s">
        <v>65</v>
      </c>
      <c r="C46" s="35">
        <v>9532</v>
      </c>
      <c r="E46" s="50"/>
      <c r="G46" s="50"/>
      <c r="H46">
        <v>0.6</v>
      </c>
      <c r="I46">
        <f>C46*H46</f>
        <v>5719.2</v>
      </c>
    </row>
    <row r="47" spans="1:12" x14ac:dyDescent="0.2">
      <c r="B47" s="45" t="s">
        <v>64</v>
      </c>
      <c r="C47" s="35">
        <v>12649</v>
      </c>
      <c r="E47" s="50"/>
      <c r="G47" s="50"/>
      <c r="H47">
        <v>0</v>
      </c>
      <c r="I47">
        <f>C47*H47</f>
        <v>0</v>
      </c>
    </row>
    <row r="48" spans="1:12" x14ac:dyDescent="0.2">
      <c r="B48" s="45" t="s">
        <v>70</v>
      </c>
      <c r="C48" s="35">
        <v>2710</v>
      </c>
      <c r="E48" s="50"/>
      <c r="G48" s="50"/>
      <c r="H48">
        <v>0</v>
      </c>
      <c r="I48">
        <f>C48*H48</f>
        <v>0</v>
      </c>
    </row>
    <row r="49" spans="1:7" x14ac:dyDescent="0.2">
      <c r="E49" s="50"/>
      <c r="G49" s="50"/>
    </row>
    <row r="50" spans="1:7" x14ac:dyDescent="0.2">
      <c r="A50" s="36" t="s">
        <v>6</v>
      </c>
      <c r="B50" s="45" t="s">
        <v>31</v>
      </c>
      <c r="C50" s="35">
        <v>23477</v>
      </c>
      <c r="D50">
        <f>SUM(C50:C55)</f>
        <v>74960</v>
      </c>
      <c r="E50" s="50">
        <f>D50/$C$71</f>
        <v>0.14334367870822409</v>
      </c>
      <c r="F50" s="51" t="e">
        <f>'DC Estimation'!#REF!/100</f>
        <v>#REF!</v>
      </c>
      <c r="G50" s="50" t="e">
        <f t="shared" si="0"/>
        <v>#REF!</v>
      </c>
    </row>
    <row r="51" spans="1:7" x14ac:dyDescent="0.2">
      <c r="A51" s="40" t="s">
        <v>27</v>
      </c>
      <c r="B51" s="45" t="s">
        <v>53</v>
      </c>
      <c r="C51" s="35">
        <v>27185</v>
      </c>
      <c r="E51" s="50"/>
      <c r="G51" s="50"/>
    </row>
    <row r="52" spans="1:7" x14ac:dyDescent="0.2">
      <c r="A52" s="40" t="s">
        <v>28</v>
      </c>
      <c r="B52" s="45" t="s">
        <v>33</v>
      </c>
      <c r="C52" s="35">
        <v>7314</v>
      </c>
      <c r="E52" s="50"/>
      <c r="G52" s="50"/>
    </row>
    <row r="53" spans="1:7" x14ac:dyDescent="0.2">
      <c r="B53" s="45" t="s">
        <v>34</v>
      </c>
      <c r="C53" s="35">
        <v>4516</v>
      </c>
      <c r="E53" s="50"/>
      <c r="G53" s="50"/>
    </row>
    <row r="54" spans="1:7" x14ac:dyDescent="0.2">
      <c r="B54" s="45" t="s">
        <v>35</v>
      </c>
      <c r="C54" s="35">
        <v>10953</v>
      </c>
      <c r="E54" s="50"/>
      <c r="G54" s="50"/>
    </row>
    <row r="55" spans="1:7" x14ac:dyDescent="0.2">
      <c r="B55" s="45" t="s">
        <v>36</v>
      </c>
      <c r="C55" s="35">
        <v>1515</v>
      </c>
      <c r="E55" s="50"/>
      <c r="G55" s="50"/>
    </row>
    <row r="56" spans="1:7" x14ac:dyDescent="0.2">
      <c r="C56" s="35"/>
      <c r="E56" s="50"/>
      <c r="G56" s="50"/>
    </row>
    <row r="57" spans="1:7" x14ac:dyDescent="0.2">
      <c r="A57" s="45" t="s">
        <v>25</v>
      </c>
      <c r="B57" s="45" t="s">
        <v>73</v>
      </c>
      <c r="C57" s="35">
        <v>948</v>
      </c>
      <c r="D57">
        <f>SUM(C57:C67)</f>
        <v>52378</v>
      </c>
      <c r="E57" s="50">
        <f>D57/$C$71</f>
        <v>0.10016082181669372</v>
      </c>
      <c r="F57" t="e">
        <f>'DC Estimation'!#REF!/100</f>
        <v>#REF!</v>
      </c>
      <c r="G57" s="50" t="e">
        <f t="shared" si="0"/>
        <v>#REF!</v>
      </c>
    </row>
    <row r="58" spans="1:7" x14ac:dyDescent="0.2">
      <c r="B58" s="45" t="s">
        <v>39</v>
      </c>
      <c r="C58" s="35">
        <v>45990</v>
      </c>
      <c r="E58" s="50"/>
    </row>
    <row r="59" spans="1:7" x14ac:dyDescent="0.2">
      <c r="B59" s="45" t="s">
        <v>40</v>
      </c>
      <c r="C59" s="35">
        <v>352</v>
      </c>
      <c r="E59" s="50"/>
    </row>
    <row r="60" spans="1:7" x14ac:dyDescent="0.2">
      <c r="B60" s="45" t="s">
        <v>41</v>
      </c>
      <c r="C60" s="35">
        <v>636</v>
      </c>
      <c r="E60" s="50"/>
    </row>
    <row r="61" spans="1:7" x14ac:dyDescent="0.2">
      <c r="B61" s="45" t="s">
        <v>42</v>
      </c>
      <c r="C61" s="35">
        <v>636</v>
      </c>
      <c r="E61" s="50"/>
    </row>
    <row r="62" spans="1:7" x14ac:dyDescent="0.2">
      <c r="B62" s="45" t="s">
        <v>43</v>
      </c>
      <c r="C62" s="35">
        <v>636</v>
      </c>
      <c r="E62" s="50"/>
    </row>
    <row r="63" spans="1:7" x14ac:dyDescent="0.2">
      <c r="B63" s="45" t="s">
        <v>44</v>
      </c>
      <c r="C63" s="35">
        <v>636</v>
      </c>
      <c r="E63" s="50"/>
    </row>
    <row r="64" spans="1:7" x14ac:dyDescent="0.2">
      <c r="B64" s="45" t="s">
        <v>45</v>
      </c>
      <c r="C64" s="35">
        <v>636</v>
      </c>
      <c r="E64" s="50"/>
    </row>
    <row r="65" spans="1:7" x14ac:dyDescent="0.2">
      <c r="B65" s="45" t="s">
        <v>46</v>
      </c>
      <c r="C65" s="35">
        <v>636</v>
      </c>
      <c r="E65" s="50"/>
    </row>
    <row r="66" spans="1:7" x14ac:dyDescent="0.2">
      <c r="B66" s="45" t="s">
        <v>47</v>
      </c>
      <c r="C66" s="35">
        <v>636</v>
      </c>
      <c r="E66" s="50"/>
    </row>
    <row r="67" spans="1:7" x14ac:dyDescent="0.2">
      <c r="B67" s="45" t="s">
        <v>48</v>
      </c>
      <c r="C67" s="35">
        <v>636</v>
      </c>
      <c r="E67" s="50"/>
    </row>
    <row r="68" spans="1:7" x14ac:dyDescent="0.2">
      <c r="B68" s="45"/>
      <c r="C68" s="35"/>
      <c r="E68" s="50"/>
    </row>
    <row r="69" spans="1:7" x14ac:dyDescent="0.2">
      <c r="A69" s="45" t="s">
        <v>24</v>
      </c>
      <c r="B69" s="45" t="s">
        <v>32</v>
      </c>
      <c r="C69" s="35">
        <v>8990</v>
      </c>
      <c r="D69">
        <f>C69</f>
        <v>8990</v>
      </c>
      <c r="E69" s="50">
        <f>D69/$C$71</f>
        <v>1.7191297646570632E-2</v>
      </c>
      <c r="F69" t="e">
        <f>'DC Estimation'!#REF!/100</f>
        <v>#REF!</v>
      </c>
      <c r="G69" s="50" t="e">
        <f t="shared" si="0"/>
        <v>#REF!</v>
      </c>
    </row>
    <row r="70" spans="1:7" ht="13.5" thickBot="1" x14ac:dyDescent="0.25"/>
    <row r="71" spans="1:7" ht="13.5" thickBot="1" x14ac:dyDescent="0.25">
      <c r="C71" s="48">
        <f>SUM(C6:C69)</f>
        <v>522939</v>
      </c>
      <c r="E71">
        <f>SUM(E6:E69)</f>
        <v>1</v>
      </c>
      <c r="G71" s="52" t="e">
        <f>SUM(G6:G69)</f>
        <v>#REF!</v>
      </c>
    </row>
  </sheetData>
  <mergeCells count="1">
    <mergeCell ref="B1:C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Revision History</vt:lpstr>
      <vt:lpstr>DC, z4204n3 Block Diagram</vt:lpstr>
      <vt:lpstr>Cortex M4 Block Diagram</vt:lpstr>
      <vt:lpstr>DC Estimation</vt:lpstr>
      <vt:lpstr>d.c. fault estimation</vt:lpstr>
      <vt:lpstr>lookup</vt:lpstr>
      <vt:lpstr>NVIC_DPU</vt:lpstr>
      <vt:lpstr>INSTR_SET</vt:lpstr>
      <vt:lpstr>lsu_estimation</vt:lpstr>
      <vt:lpstr>fetch_estimation</vt:lpstr>
      <vt:lpstr>exec_estimation</vt:lpstr>
      <vt:lpstr>status_estimation</vt:lpstr>
      <vt:lpstr>Core Modules Mapping</vt:lpstr>
      <vt:lpstr>'Revision History'!Print_Area</vt:lpstr>
    </vt:vector>
  </TitlesOfParts>
  <Company>Freescale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ngys001</dc:creator>
  <cp:lastModifiedBy>rg003c</cp:lastModifiedBy>
  <cp:lastPrinted>2010-09-21T09:28:20Z</cp:lastPrinted>
  <dcterms:created xsi:type="dcterms:W3CDTF">2009-04-22T09:21:21Z</dcterms:created>
  <dcterms:modified xsi:type="dcterms:W3CDTF">2016-10-12T12:50:53Z</dcterms:modified>
</cp:coreProperties>
</file>