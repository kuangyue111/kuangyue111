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C:\gitwork\safety_project_docs\ARM_M4_SCST_common\Safety_doc\"/>
    </mc:Choice>
  </mc:AlternateContent>
  <xr:revisionPtr revIDLastSave="0" documentId="13_ncr:1_{4E91D281-A1AD-43D5-8707-8B2ED3539AEA}" xr6:coauthVersionLast="41" xr6:coauthVersionMax="41" xr10:uidLastSave="{00000000-0000-0000-0000-000000000000}"/>
  <bookViews>
    <workbookView xWindow="-120" yWindow="-120" windowWidth="29040" windowHeight="17640" xr2:uid="{00000000-000D-0000-FFFF-FFFF00000000}"/>
  </bookViews>
  <sheets>
    <sheet name="Revision History" sheetId="11" r:id="rId1"/>
    <sheet name="Software FMEA" sheetId="7" r:id="rId2"/>
    <sheet name="Requirements derivation" sheetId="8" r:id="rId3"/>
    <sheet name="Consist. Checks" sheetId="9" r:id="rId4"/>
  </sheets>
  <definedNames>
    <definedName name="_xlnm._FilterDatabase" localSheetId="2" hidden="1">'Requirements derivation'!$A$1:$C$17</definedName>
    <definedName name="_xlnm.Print_Area" localSheetId="0">'Revision History'!$A$1:$D$16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7" i="8" l="1"/>
  <c r="R10" i="7"/>
  <c r="E3" i="8"/>
  <c r="E4" i="8"/>
  <c r="E5" i="8"/>
  <c r="E6" i="8"/>
  <c r="E7" i="8"/>
  <c r="E8" i="8"/>
  <c r="E9" i="8"/>
  <c r="E10" i="8"/>
  <c r="E11" i="8"/>
  <c r="E12" i="8"/>
  <c r="E13" i="8"/>
  <c r="E14" i="8"/>
  <c r="E15" i="8"/>
  <c r="E16" i="8"/>
  <c r="S13" i="7"/>
  <c r="S17" i="7"/>
  <c r="S20" i="7"/>
  <c r="S24" i="7"/>
  <c r="S25" i="7"/>
  <c r="S27" i="7"/>
  <c r="S30" i="7"/>
  <c r="S33" i="7"/>
  <c r="S36" i="7"/>
  <c r="R13" i="7"/>
  <c r="R17" i="7"/>
  <c r="R20" i="7"/>
  <c r="R24" i="7"/>
  <c r="R25" i="7"/>
  <c r="R27" i="7"/>
  <c r="R30" i="7"/>
  <c r="R33" i="7"/>
  <c r="R36" i="7"/>
  <c r="Q13" i="7"/>
  <c r="Q17" i="7"/>
  <c r="Q20" i="7"/>
  <c r="Q24" i="7"/>
  <c r="Q25" i="7"/>
  <c r="Q27" i="7"/>
  <c r="Q30" i="7"/>
  <c r="Q33" i="7"/>
  <c r="Q36" i="7"/>
  <c r="S9" i="7" l="1"/>
  <c r="R8" i="7"/>
  <c r="R28" i="7"/>
  <c r="Q11" i="7"/>
  <c r="Q10" i="7"/>
  <c r="S8" i="7"/>
  <c r="R9" i="7"/>
  <c r="S12" i="7"/>
  <c r="Q9" i="7"/>
  <c r="R11" i="7"/>
  <c r="S19" i="7"/>
  <c r="S35" i="7"/>
  <c r="Q14" i="7"/>
  <c r="R32" i="7"/>
  <c r="R35" i="7"/>
  <c r="R31" i="7"/>
  <c r="R23" i="7"/>
  <c r="R19" i="7"/>
  <c r="R16" i="7"/>
  <c r="R12" i="7"/>
  <c r="S28" i="7"/>
  <c r="S23" i="7"/>
  <c r="Q12" i="7"/>
  <c r="R34" i="7"/>
  <c r="R26" i="7"/>
  <c r="R22" i="7"/>
  <c r="R18" i="7"/>
  <c r="R15" i="7"/>
  <c r="S37" i="7"/>
  <c r="S32" i="7"/>
  <c r="S16" i="7"/>
  <c r="Q16" i="7"/>
  <c r="Q15" i="7"/>
  <c r="R37" i="7"/>
  <c r="R29" i="7"/>
  <c r="R21" i="7"/>
  <c r="R14" i="7"/>
  <c r="S31" i="7"/>
  <c r="S34" i="7"/>
  <c r="S26" i="7"/>
  <c r="S22" i="7"/>
  <c r="S18" i="7"/>
  <c r="S15" i="7"/>
  <c r="S11" i="7"/>
  <c r="S29" i="7"/>
  <c r="S21" i="7"/>
  <c r="S14" i="7"/>
  <c r="S10" i="7"/>
  <c r="Q35" i="7"/>
  <c r="Q31" i="7"/>
  <c r="Q23" i="7"/>
  <c r="Q19" i="7"/>
  <c r="Q34" i="7"/>
  <c r="Q26" i="7"/>
  <c r="Q22" i="7"/>
  <c r="Q18" i="7"/>
  <c r="Q37" i="7"/>
  <c r="Q29" i="7"/>
  <c r="Q21" i="7"/>
  <c r="Q32" i="7"/>
  <c r="Q28" i="7"/>
  <c r="E2" i="8" l="1"/>
  <c r="Q8" i="7" l="1"/>
</calcChain>
</file>

<file path=xl/sharedStrings.xml><?xml version="1.0" encoding="utf-8"?>
<sst xmlns="http://schemas.openxmlformats.org/spreadsheetml/2006/main" count="208" uniqueCount="143">
  <si>
    <t>History of change</t>
  </si>
  <si>
    <t>Document revision</t>
  </si>
  <si>
    <t>Date</t>
  </si>
  <si>
    <t>Author's name</t>
  </si>
  <si>
    <t>Description</t>
  </si>
  <si>
    <t>Safety Analysis</t>
  </si>
  <si>
    <t>Product Name:</t>
  </si>
  <si>
    <t>Created by:</t>
  </si>
  <si>
    <t>1.</t>
  </si>
  <si>
    <t>SFMEA</t>
  </si>
  <si>
    <t>Software Failure Mode and Effect Analysis</t>
  </si>
  <si>
    <t>End of document</t>
  </si>
  <si>
    <t>To be implemented in:</t>
  </si>
  <si>
    <t>Detection / Prevention Mechanism (from Software FMEA)</t>
  </si>
  <si>
    <t>Customer application</t>
  </si>
  <si>
    <t>Helper column</t>
  </si>
  <si>
    <t>Helper columns</t>
  </si>
  <si>
    <t>&lt;text&gt;</t>
  </si>
  <si>
    <t>Cells in the "SW safety requirement ID" column on the "Requirements derivation" sheet can be automatically formatted as described below:</t>
  </si>
  <si>
    <t>&lt;&lt; Req. ID &gt;&gt;</t>
  </si>
  <si>
    <t xml:space="preserve"> - this requirement ID appears multiple times in the column.</t>
  </si>
  <si>
    <t xml:space="preserve"> - no consistency check violation is detected for this requirement ID.</t>
  </si>
  <si>
    <t>1. Function / Element</t>
  </si>
  <si>
    <t>2. Failure Mode</t>
  </si>
  <si>
    <t>3. Cause of a Failure</t>
  </si>
  <si>
    <t>4. Local Effect</t>
  </si>
  <si>
    <t>5. Application / System Effect</t>
  </si>
  <si>
    <t>6. Detection / Prevention Mechanism</t>
  </si>
  <si>
    <t>Cells in the "6. Detection / Prevention Mechanism" column on the "Software FMEA" sheet can be automatically formatted as described below:</t>
  </si>
  <si>
    <t xml:space="preserve"> - given detection / prevention mechanism cannot be found in the "Requirements derivation" sheet.</t>
  </si>
  <si>
    <t xml:space="preserve"> - no consistency check violation is identified for given detection / prevention mechanism.</t>
  </si>
  <si>
    <t>HW fault.</t>
  </si>
  <si>
    <t>-</t>
  </si>
  <si>
    <t>Roman Chovanec</t>
  </si>
  <si>
    <t>Providing required (claimed) diagnostic coverage</t>
  </si>
  <si>
    <t>2.</t>
  </si>
  <si>
    <t>Execution of SCST Library general</t>
  </si>
  <si>
    <t>The context of the device is restored incorrectly due to a HW fault.</t>
  </si>
  <si>
    <t>The initial context of the device read by SCST Library is stored into a corrupted RAM memory.</t>
  </si>
  <si>
    <t>SCST Library opcode is corrupted due to a fault in memory and causes corruption or incorrect restoring of device context.</t>
  </si>
  <si>
    <t>HW fault prevents the SCST Library from correct execution and restoring the context of the device.</t>
  </si>
  <si>
    <t>The initial context of the device is read incorrectly due to a Core HW fault.</t>
  </si>
  <si>
    <t>Corrupted RAM memory.</t>
  </si>
  <si>
    <t>Core HW fault during execution of the SCST Library.</t>
  </si>
  <si>
    <t>Core HW fault during execution of the SCST Library</t>
  </si>
  <si>
    <t>Corrupted RAM memory dedicated to stack.</t>
  </si>
  <si>
    <t>Corrupted RAM memory dedicated to stack .</t>
  </si>
  <si>
    <t>SCST Library does not recognize exception triggered by SCST Library for testing purposes and forwards this exception to user application service routine.</t>
  </si>
  <si>
    <t>SCST Library opcode is corrupted which causes exception generation.</t>
  </si>
  <si>
    <t>The initial content of the NVIC Interrupt Set-Enable Register is stored into a corrupted RAM memory.</t>
  </si>
  <si>
    <t>SCST Library opcode is corrupted due to a fault in memory and causes incorrect restoring of the NVIC Interrupt Set-Enable Register register.</t>
  </si>
  <si>
    <r>
      <t>Incorrect functioning of application due to disabled or wrongly enabled interrupts.
Violates safety requirement</t>
    </r>
    <r>
      <rPr>
        <b/>
        <sz val="11"/>
        <color theme="1"/>
        <rFont val="Calibri"/>
        <family val="2"/>
        <scheme val="minor"/>
      </rPr>
      <t xml:space="preserve"> SC_SCST_Req02</t>
    </r>
    <r>
      <rPr>
        <sz val="11"/>
        <color theme="1"/>
        <rFont val="Calibri"/>
        <family val="2"/>
        <scheme val="minor"/>
      </rPr>
      <t>.</t>
    </r>
  </si>
  <si>
    <r>
      <t>Occurrence of unexpected interrupt/exception.
Violates safety requirement</t>
    </r>
    <r>
      <rPr>
        <b/>
        <sz val="11"/>
        <color theme="1"/>
        <rFont val="Calibri"/>
        <family val="2"/>
        <scheme val="minor"/>
      </rPr>
      <t xml:space="preserve"> SC_SCST_Req02</t>
    </r>
    <r>
      <rPr>
        <sz val="11"/>
        <color theme="1"/>
        <rFont val="Calibri"/>
        <family val="2"/>
        <scheme val="minor"/>
      </rPr>
      <t>.</t>
    </r>
  </si>
  <si>
    <r>
      <t>Incorrect functioning of application due to device configuration.
Violates safety requirement</t>
    </r>
    <r>
      <rPr>
        <b/>
        <sz val="11"/>
        <color theme="1"/>
        <rFont val="Calibri"/>
        <family val="2"/>
        <scheme val="minor"/>
      </rPr>
      <t xml:space="preserve"> SC_SCST_Req02.</t>
    </r>
  </si>
  <si>
    <t>The initial content of the NVIC Interrupt Set-Enable Register is read/written incorrectly due to a Core HW fault.</t>
  </si>
  <si>
    <t>SCST Library writes corrupted value into the VTOR register.</t>
  </si>
  <si>
    <t>SCST Library is not invoked, or executed incorrectly</t>
  </si>
  <si>
    <r>
      <t xml:space="preserve">Core logic is not tested within diagnostic test interval
Violates safety requirement </t>
    </r>
    <r>
      <rPr>
        <b/>
        <sz val="11"/>
        <color theme="1"/>
        <rFont val="Calibri"/>
        <family val="2"/>
        <scheme val="minor"/>
      </rPr>
      <t>SC_SCST_Req01.</t>
    </r>
  </si>
  <si>
    <r>
      <t xml:space="preserve">The "OK" result is returned to the application even if a fault was detected or a different than requested set of tests was executed.
Violates safety requirement </t>
    </r>
    <r>
      <rPr>
        <b/>
        <sz val="11"/>
        <color theme="1"/>
        <rFont val="Calibri"/>
        <family val="2"/>
        <scheme val="minor"/>
      </rPr>
      <t>SC_SCST_Req01.</t>
    </r>
  </si>
  <si>
    <t>SCST Library detects hardware fault but it is masked during the process of result propagation to the application</t>
  </si>
  <si>
    <r>
      <t xml:space="preserve">The result of SCST execution is not properly reported; the real coverage doesn't correspond to the claimed one.
Violates safety requirement </t>
    </r>
    <r>
      <rPr>
        <b/>
        <sz val="11"/>
        <color theme="1"/>
        <rFont val="Calibri"/>
        <family val="2"/>
        <scheme val="minor"/>
      </rPr>
      <t>SC_SCST_Req01</t>
    </r>
    <r>
      <rPr>
        <sz val="11"/>
        <color theme="1"/>
        <rFont val="Calibri"/>
        <family val="2"/>
        <scheme val="minor"/>
      </rPr>
      <t>.</t>
    </r>
  </si>
  <si>
    <t xml:space="preserve"> - given detection / prevention mechanism is available in the "Requirements derivation" sheet, but the corresponding safety requirement has no identifier (i.e. the corresponding cell in the "Safety Analysis Requirement ID" column in the "Requirements derivation" sheet is empty).</t>
  </si>
  <si>
    <t xml:space="preserve"> - given detection / prevention mechanism is available in the "Requirements derivation" sheet, but the corresponding safety requirement has no identifier (i.e. the corresponding cell in the "To be implemented in:" column in the "Requirements derivation" sheet is empty).</t>
  </si>
  <si>
    <t>Application should use aggregated test result for making test completion and test passed/test failed decision. Safety measure is expected to be implemented on application side.</t>
  </si>
  <si>
    <t>If application requests multiple tests for execution, the tests should be grouped in the way that aggregated result for each group of tests is unique.Safety measure is expected to be implemented on application side.</t>
  </si>
  <si>
    <t>SW safety requirement ID</t>
  </si>
  <si>
    <t>Check application context (local variables) and stack pointer after invocation of the SCST library. Safety measure is expected to be implemented on application side.</t>
  </si>
  <si>
    <t>Use of application data protection or corruption detection mechanism after invocation of the SCST library. Safety measure is expected to be implemented on application side.</t>
  </si>
  <si>
    <t>Use of special purpose and device configuration register protection or corruption detection mechanism after invocation of the SCST library. Safety measure is expected to be implemented on application side.</t>
  </si>
  <si>
    <t>Check Interrupt Controller configuration and core interrupt mask and priority registers or use other mechanism for detecting missing interrupts. Safety measure is expected to be implemented on application side.</t>
  </si>
  <si>
    <t>Check VTOR register value after invocation of the SCST library or use other mechanism for detecting incorrectly serviced interrupts or too long interrupts. Safety measure is expected to be implemented on application side.</t>
  </si>
  <si>
    <t>Updated Software FMEA.</t>
  </si>
  <si>
    <t>The memory sections of the SCST Library shall be placed in ECC-protected memory or other memory corruption detection mechanism shall be used. Safety measure is expected to be implemented on application side.</t>
  </si>
  <si>
    <t>Use watchdog timer or any other timing facilities for detecting longer execution time of the SCST library. Safety measure is expected to be implemented on application side.</t>
  </si>
  <si>
    <t>Use of control flow monitoring or other measures for detecting incorrect return from the SCST library. Safety measure is expected to be implemented on application side.</t>
  </si>
  <si>
    <t>The SCST Library may erroneously return control to the wrong location of the application code due to HW fault. 
Use of control flow monitoring or other measures for detecting incorrect return from the SCST library. Safety measure is expected to be implemented on application side.</t>
  </si>
  <si>
    <t>The SCST Library may corrupt application context due to HW fault.
Check application context (local variables) and stack pointer after invocation of the SCST library. Safety measure is expected to be implemented on application side.</t>
  </si>
  <si>
    <t xml:space="preserve">The SCST Library shall not be executed from corrupted memory. 
The memory sections of the SCST Library shall be placed in ECC-protected memory or other memory corruption detection mechanism shall be used. Safety measure is expected to be implemented on application side.
</t>
  </si>
  <si>
    <t>The SCST Library may erroneously corrupt application data due to HW fault.
Use of application data protection or corruption detection mechanism after invocation of the SCST library. Safety measure is expected to be implemented on application side.</t>
  </si>
  <si>
    <t>The SCST Library may errorneously corrupt special purpose or device configuration registers.
Use of special purpose and device configuration register protection or corruption detection mechanism after invocation of the SCST library. Safety measure is expected to be implemented on application side.</t>
  </si>
  <si>
    <t>The SCST Library may erroneously disable interrupts or erroneously enable disabled interrupts.
Check Interrupt Controller configuration and core interrupt mask and priority registers or use other mechanism for detecting missing interrupts. Safety measure is expected to be implemented on application side.</t>
  </si>
  <si>
    <t>The SCST Library may erroneously restore user application ISR vector table. 
Check VTOR register value after invocation of the SCST library or use other mechanism for detecting incorrectly serviced interrupts or too long interrupts. Safety measure is expected to be implemented on application side.</t>
  </si>
  <si>
    <t>The SCST Library may exceed expected execution time due to HW fault. 
Use watchdog timer or any other timing facilities for detecting longer execution time of the SCST library. Safety measure is expected to be implemented on application side.</t>
  </si>
  <si>
    <t>If application requests multiple tests for execution, the tests should be grouped in the way that aggregated result for each group of tests is unique.Safety measure is expected to be implemented on application side</t>
  </si>
  <si>
    <t>n/a</t>
  </si>
  <si>
    <t>Helper column - Safety Manual Requirement</t>
  </si>
  <si>
    <t>Changed logo and copyright</t>
  </si>
  <si>
    <t>12 Oct, 2016</t>
  </si>
  <si>
    <t>Updated for RTM release</t>
  </si>
  <si>
    <t>1 Mar, 2016</t>
  </si>
  <si>
    <t>The document was prepared using best effort.  The authors make no warranty of any kind and shall not be liable in any event for incidental or consequential damages in connection with the application of the document.</t>
  </si>
  <si>
    <t>Confidential Proprietary</t>
  </si>
  <si>
    <t>Cortex-M4 Structural Core Self Test Library</t>
  </si>
  <si>
    <t>Copyright 2016,2020 NXP</t>
  </si>
  <si>
    <t>14 Jan, 2020</t>
  </si>
  <si>
    <t>M4_SCST_SA_Req01</t>
  </si>
  <si>
    <t>M4_SCST_SA_Req02</t>
  </si>
  <si>
    <t>M4_SCST_SA_Req03</t>
  </si>
  <si>
    <t>M4_SCST_SA_Req04</t>
  </si>
  <si>
    <t>M4_SCST_SA_Req05</t>
  </si>
  <si>
    <t>M4_SCST_SA_Req06</t>
  </si>
  <si>
    <t>M4_SCST_SA_Req07</t>
  </si>
  <si>
    <t>M4_SCST_SA_Req08</t>
  </si>
  <si>
    <t>M4_SCST_SA_Req09</t>
  </si>
  <si>
    <t>M4_SCST_SA_Req10</t>
  </si>
  <si>
    <t>M4_SCST_SA_Req11</t>
  </si>
  <si>
    <t>M4_SCST_SA_Req12</t>
  </si>
  <si>
    <t>M4_SCST_SA_Req13</t>
  </si>
  <si>
    <t>M4_SCST_SA_Req14</t>
  </si>
  <si>
    <t>M4_SCST_SA_Req15</t>
  </si>
  <si>
    <t>M4_SCST_SA_Req16</t>
  </si>
  <si>
    <t>M4 SCST library</t>
  </si>
  <si>
    <t>M4 Structural Core Self Test Library (M4 SCST)</t>
  </si>
  <si>
    <t>HW fault causing incorrect invocation of the SCST Library e.g. not-existing test, wrong test or wrong range of tests are passed to the M4 SCST Library.</t>
  </si>
  <si>
    <t>M4 SCST Library retrieves incorrect address (non-existing test, other test) from the array and passes execution control to that address.</t>
  </si>
  <si>
    <t>M4 SCST Library imitates execution of a test or ignores its actual result and just returns its expected result taken from the internal array.</t>
  </si>
  <si>
    <t>M4 SCST Library returns control to the wrong place of application code.</t>
  </si>
  <si>
    <t>HW fault during execution of the M4 SCST Library, stack corruption due to a HW fault.</t>
  </si>
  <si>
    <t>HW fault during execution of the M4 SCST Library.</t>
  </si>
  <si>
    <t>M4 SCST Library corrupts core registers including stack pointer.</t>
  </si>
  <si>
    <t>Incorrect functioning of M4 SCST Library tests.</t>
  </si>
  <si>
    <t>Corrupted memory (RAM/ROM) the M4 SCST Library code is executed from.</t>
  </si>
  <si>
    <t>M4 SCST Library erroneously corrupts application data.</t>
  </si>
  <si>
    <t>M4 SCST Library corrupts special purpose or device configuration registers.</t>
  </si>
  <si>
    <t>M4 SCST Library erroneously disables interrupts or erroneously enables disabled interrupts.</t>
  </si>
  <si>
    <t>M4 SCST Library erroneously restores user application ISR vector table.</t>
  </si>
  <si>
    <t>The M4 SCST Library either writes corrupted value into the VTOR register or leaves M4 SCST Library vector table value.</t>
  </si>
  <si>
    <t>M4 SCST Library erroneously  generates interrupt/exception.</t>
  </si>
  <si>
    <t>M4 SCST Library is executed longer than expected or does not return control to application (time interference, performance degradation).</t>
  </si>
  <si>
    <t xml:space="preserve">HW fault during execution of the M4 SCST Library. </t>
  </si>
  <si>
    <t>Every test shall return a unique 32-bit result which can be used for differentiating correct and erroneous test execution.
(REQ_M4_SCST_05)</t>
  </si>
  <si>
    <t>The SCST library shall return an aggregated 32-bit result of all the tests requested for execution if none of the tests fails. The aggregation shall be done by the means of XOR operation.
(REQ_M4_SCST_06)</t>
  </si>
  <si>
    <t>The SCST library shall not store correct result of the tests in direct form. The reference test results, stored in internal array, shall be derived from a test execution result produced in a fault-free case by applying a non-trivial transformation function.
(REQ_M4_SCST_07)</t>
  </si>
  <si>
    <t>The SCST library shall return control and execution result of the first failed test out of the requested for execution set of test (REQ_M4_SCST_03).</t>
  </si>
  <si>
    <t>Tests shall be implemented in the way to avoid or minimize possible fault masking (REQ_M4_SCST_15, REQ_M4_SCST_16).</t>
  </si>
  <si>
    <t>Date: 14-Jan-2020</t>
  </si>
  <si>
    <t>The SCST Library may erroneously  generate interrupt/exception due to HW fault.
User application shall decide whether interrupt is expected or not. The application is responsible to provide an appropriate response for exceptions. Safety measure is expected to be implemented on application side.</t>
  </si>
  <si>
    <t>User application shall decide whether interrupt is expected or not. The application is responsible to provide an appropriate response for exceptions. Safety measure is expected to be implemented on application side.</t>
  </si>
  <si>
    <r>
      <t xml:space="preserve">Missed or delayed processing of events, violation of FTTI.
Violates safety requirement
</t>
    </r>
    <r>
      <rPr>
        <b/>
        <sz val="11"/>
        <color theme="1"/>
        <rFont val="Calibri"/>
        <family val="2"/>
        <scheme val="minor"/>
      </rPr>
      <t>SC_SCST_Req02.</t>
    </r>
  </si>
  <si>
    <r>
      <t xml:space="preserve">Interrupts/exceptions are directed to wrong location due to wrong VTOR register value.
Interrupt latency is higher because interrupts are routed through M4 SCST Interrupt vector table. 
Violates safety requirement </t>
    </r>
    <r>
      <rPr>
        <b/>
        <sz val="11"/>
        <color theme="1"/>
        <rFont val="Calibri"/>
        <family val="2"/>
        <scheme val="minor"/>
      </rPr>
      <t>SC_SCST_Req02.</t>
    </r>
  </si>
  <si>
    <r>
      <t xml:space="preserve">Incorrect functioning of application due to data corruption.
Violates safety requirement </t>
    </r>
    <r>
      <rPr>
        <b/>
        <sz val="11"/>
        <color theme="1"/>
        <rFont val="Calibri"/>
        <family val="2"/>
        <scheme val="minor"/>
      </rPr>
      <t>SC_SCST_Req02.</t>
    </r>
  </si>
  <si>
    <r>
      <t xml:space="preserve">Incorrect functioning of application.
Violates safety requirement </t>
    </r>
    <r>
      <rPr>
        <b/>
        <sz val="11"/>
        <color theme="1"/>
        <rFont val="Calibri"/>
        <family val="2"/>
        <scheme val="minor"/>
      </rPr>
      <t>SC_SCST_Req02.</t>
    </r>
  </si>
  <si>
    <r>
      <t xml:space="preserve">User application does not receive M4 SCST Library tests result and puts the device into an unexpected state.
Violates safety requirement </t>
    </r>
    <r>
      <rPr>
        <b/>
        <sz val="11"/>
        <color theme="1"/>
        <rFont val="Calibri"/>
        <family val="2"/>
        <scheme val="minor"/>
      </rPr>
      <t xml:space="preserve">SC_SCST_Req01 </t>
    </r>
    <r>
      <rPr>
        <sz val="11"/>
        <color theme="1"/>
        <rFont val="Calibri"/>
        <family val="2"/>
        <scheme val="minor"/>
      </rPr>
      <t>and</t>
    </r>
    <r>
      <rPr>
        <b/>
        <sz val="11"/>
        <color theme="1"/>
        <rFont val="Calibri"/>
        <family val="2"/>
        <scheme val="minor"/>
      </rPr>
      <t xml:space="preserve"> SC_SCST_Req02.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</si>
</sst>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
  </numFmts>
  <fonts count="24" x14ac:knownFonts="1">
    <font>
      <sz val="11"/>
      <color theme="1"/>
      <name val="Calibri"/>
      <family val="2"/>
      <scheme val="minor"/>
    </font>
    <font>
      <b/>
      <sz val="11"/>
      <color theme="1"/>
      <name val="Calibri"/>
      <family val="2"/>
      <scheme val="minor"/>
    </font>
    <font>
      <sz val="10"/>
      <name val="Arial"/>
      <family val="2"/>
    </font>
    <font>
      <sz val="14"/>
      <color indexed="9"/>
      <name val="Arial Black"/>
      <family val="2"/>
    </font>
    <font>
      <b/>
      <i/>
      <sz val="14"/>
      <color indexed="9"/>
      <name val="Arial Black"/>
      <family val="2"/>
    </font>
    <font>
      <sz val="14"/>
      <color indexed="47"/>
      <name val="Arial Black"/>
      <family val="2"/>
    </font>
    <font>
      <b/>
      <sz val="10"/>
      <name val="Arial"/>
      <family val="2"/>
    </font>
    <font>
      <b/>
      <sz val="10"/>
      <color indexed="9"/>
      <name val="Arial"/>
      <family val="2"/>
    </font>
    <font>
      <sz val="10"/>
      <color indexed="8"/>
      <name val="Arial"/>
      <family val="2"/>
    </font>
    <font>
      <b/>
      <sz val="26"/>
      <color indexed="8"/>
      <name val="Arial"/>
      <family val="2"/>
    </font>
    <font>
      <b/>
      <sz val="12"/>
      <color indexed="8"/>
      <name val="Arial"/>
      <family val="2"/>
    </font>
    <font>
      <b/>
      <sz val="10"/>
      <color indexed="8"/>
      <name val="Arial"/>
      <family val="2"/>
    </font>
    <font>
      <sz val="16"/>
      <color indexed="8"/>
      <name val="Arial"/>
      <family val="2"/>
    </font>
    <font>
      <b/>
      <sz val="10"/>
      <color theme="1"/>
      <name val="Calibri"/>
      <family val="2"/>
      <scheme val="minor"/>
    </font>
    <font>
      <i/>
      <sz val="11"/>
      <color rgb="FFFF0000"/>
      <name val="Calibri"/>
      <family val="2"/>
      <scheme val="minor"/>
    </font>
    <font>
      <sz val="11"/>
      <color rgb="FFFF0000"/>
      <name val="Calibri"/>
      <family val="2"/>
      <scheme val="minor"/>
    </font>
    <font>
      <b/>
      <sz val="10"/>
      <color theme="1"/>
      <name val="Arial"/>
      <family val="2"/>
    </font>
    <font>
      <sz val="10"/>
      <color theme="1"/>
      <name val="Arial"/>
      <family val="2"/>
    </font>
    <font>
      <sz val="10"/>
      <color rgb="FFFF0000"/>
      <name val="Arial"/>
      <family val="2"/>
    </font>
    <font>
      <sz val="10"/>
      <color theme="1"/>
      <name val="Calibri"/>
      <family val="2"/>
      <scheme val="minor"/>
    </font>
    <font>
      <strike/>
      <sz val="10"/>
      <name val="Arial"/>
      <family val="2"/>
    </font>
    <font>
      <sz val="14"/>
      <color theme="0"/>
      <name val="Arial Black"/>
      <family val="2"/>
    </font>
    <font>
      <sz val="14"/>
      <color theme="0"/>
      <name val="Arial"/>
      <family val="2"/>
    </font>
    <font>
      <b/>
      <sz val="14"/>
      <color theme="0"/>
      <name val="Arial"/>
      <family val="2"/>
    </font>
  </fonts>
  <fills count="13">
    <fill>
      <patternFill patternType="none"/>
    </fill>
    <fill>
      <patternFill patternType="gray125"/>
    </fill>
    <fill>
      <patternFill patternType="solid">
        <fgColor indexed="51"/>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99"/>
        <bgColor indexed="64"/>
      </patternFill>
    </fill>
    <fill>
      <patternFill patternType="solid">
        <fgColor theme="6" tint="0.59999389629810485"/>
        <bgColor indexed="64"/>
      </patternFill>
    </fill>
    <fill>
      <patternFill patternType="solid">
        <fgColor rgb="FFF98B8B"/>
        <bgColor indexed="64"/>
      </patternFill>
    </fill>
    <fill>
      <patternFill patternType="solid">
        <fgColor rgb="FFFF0000"/>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rgb="FFFFCC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51"/>
      </left>
      <right/>
      <top style="medium">
        <color indexed="51"/>
      </top>
      <bottom/>
      <diagonal/>
    </border>
    <border>
      <left/>
      <right/>
      <top style="medium">
        <color indexed="51"/>
      </top>
      <bottom/>
      <diagonal/>
    </border>
    <border>
      <left style="medium">
        <color indexed="51"/>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right style="thin">
        <color indexed="8"/>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2" fillId="0" borderId="0"/>
  </cellStyleXfs>
  <cellXfs count="208">
    <xf numFmtId="0" fontId="0" fillId="0" borderId="0" xfId="0"/>
    <xf numFmtId="0" fontId="3" fillId="2" borderId="4" xfId="1" applyFont="1" applyFill="1" applyBorder="1"/>
    <xf numFmtId="0" fontId="2" fillId="0" borderId="0" xfId="1"/>
    <xf numFmtId="0" fontId="3" fillId="2" borderId="0" xfId="1" applyFont="1" applyFill="1" applyBorder="1" applyAlignment="1">
      <alignment wrapText="1"/>
    </xf>
    <xf numFmtId="0" fontId="3" fillId="2" borderId="0" xfId="1" applyFont="1" applyFill="1" applyBorder="1"/>
    <xf numFmtId="0" fontId="4" fillId="2" borderId="0" xfId="1" applyFont="1" applyFill="1" applyBorder="1"/>
    <xf numFmtId="0" fontId="5" fillId="2" borderId="0" xfId="1" applyFont="1" applyFill="1" applyBorder="1"/>
    <xf numFmtId="164" fontId="3" fillId="2" borderId="5" xfId="1" applyNumberFormat="1" applyFont="1" applyFill="1" applyBorder="1"/>
    <xf numFmtId="0" fontId="2" fillId="2" borderId="0" xfId="1" applyFill="1" applyBorder="1"/>
    <xf numFmtId="0" fontId="2" fillId="2" borderId="5" xfId="1" applyFill="1" applyBorder="1"/>
    <xf numFmtId="0" fontId="2" fillId="2" borderId="0" xfId="1" applyFill="1" applyBorder="1" applyAlignment="1">
      <alignment wrapText="1"/>
    </xf>
    <xf numFmtId="0" fontId="2" fillId="0" borderId="5" xfId="1" applyBorder="1"/>
    <xf numFmtId="0" fontId="2" fillId="0" borderId="0" xfId="1" applyBorder="1" applyAlignment="1">
      <alignment wrapText="1"/>
    </xf>
    <xf numFmtId="0" fontId="2" fillId="0" borderId="0" xfId="1" applyBorder="1"/>
    <xf numFmtId="0" fontId="7" fillId="2" borderId="0" xfId="1" applyFont="1" applyFill="1" applyBorder="1"/>
    <xf numFmtId="0" fontId="7" fillId="2" borderId="0" xfId="1" applyFont="1" applyFill="1" applyBorder="1" applyAlignment="1">
      <alignment wrapText="1"/>
    </xf>
    <xf numFmtId="0" fontId="2" fillId="0" borderId="0" xfId="1" applyAlignment="1">
      <alignment wrapText="1"/>
    </xf>
    <xf numFmtId="0" fontId="6" fillId="2" borderId="5" xfId="1" applyFont="1" applyFill="1" applyBorder="1"/>
    <xf numFmtId="0" fontId="8" fillId="0" borderId="0" xfId="1" applyFont="1"/>
    <xf numFmtId="0" fontId="6" fillId="0" borderId="0" xfId="1" applyFont="1"/>
    <xf numFmtId="0" fontId="2" fillId="0" borderId="0" xfId="1" applyFont="1" applyAlignment="1">
      <alignment wrapText="1"/>
    </xf>
    <xf numFmtId="0" fontId="0" fillId="0" borderId="0" xfId="0" applyBorder="1"/>
    <xf numFmtId="0" fontId="2" fillId="2" borderId="1" xfId="1" applyFont="1" applyFill="1" applyBorder="1"/>
    <xf numFmtId="164" fontId="2" fillId="0" borderId="1" xfId="1" applyNumberFormat="1" applyBorder="1" applyAlignment="1">
      <alignment vertical="top" wrapText="1"/>
    </xf>
    <xf numFmtId="0" fontId="10" fillId="0" borderId="19" xfId="0" applyFont="1" applyBorder="1" applyAlignment="1">
      <alignment horizontal="center" vertical="center"/>
    </xf>
    <xf numFmtId="0" fontId="0" fillId="0" borderId="7" xfId="0" applyBorder="1"/>
    <xf numFmtId="0" fontId="0" fillId="0" borderId="7" xfId="0" applyFill="1" applyBorder="1"/>
    <xf numFmtId="0" fontId="0" fillId="0" borderId="7" xfId="0" applyBorder="1" applyAlignment="1">
      <alignment horizontal="center" vertical="center"/>
    </xf>
    <xf numFmtId="0" fontId="0" fillId="0" borderId="0" xfId="0" applyBorder="1" applyAlignment="1">
      <alignment horizontal="center" vertical="center"/>
    </xf>
    <xf numFmtId="0" fontId="0" fillId="0" borderId="0" xfId="0" applyFill="1" applyBorder="1"/>
    <xf numFmtId="0" fontId="11" fillId="4" borderId="7" xfId="0" applyFont="1" applyFill="1" applyBorder="1" applyAlignment="1">
      <alignment horizontal="center" vertical="center"/>
    </xf>
    <xf numFmtId="0" fontId="8" fillId="0" borderId="8" xfId="0" applyFont="1" applyFill="1" applyBorder="1" applyAlignment="1">
      <alignment horizontal="left"/>
    </xf>
    <xf numFmtId="0" fontId="0" fillId="3" borderId="21" xfId="0" applyFill="1" applyBorder="1"/>
    <xf numFmtId="0" fontId="0" fillId="3" borderId="22" xfId="0" applyFill="1" applyBorder="1"/>
    <xf numFmtId="49" fontId="0" fillId="3" borderId="20" xfId="0" applyNumberFormat="1" applyFill="1" applyBorder="1" applyAlignment="1">
      <alignment horizontal="left"/>
    </xf>
    <xf numFmtId="49" fontId="0" fillId="3" borderId="21" xfId="0" applyNumberFormat="1" applyFill="1" applyBorder="1"/>
    <xf numFmtId="49" fontId="0" fillId="3" borderId="22" xfId="0" applyNumberFormat="1" applyFill="1" applyBorder="1"/>
    <xf numFmtId="0" fontId="14" fillId="3" borderId="20" xfId="0" applyFont="1" applyFill="1" applyBorder="1"/>
    <xf numFmtId="0" fontId="0" fillId="0" borderId="0" xfId="0" applyAlignment="1">
      <alignment vertical="top"/>
    </xf>
    <xf numFmtId="0" fontId="0" fillId="0" borderId="1" xfId="0" applyBorder="1" applyAlignment="1">
      <alignment vertical="top"/>
    </xf>
    <xf numFmtId="0" fontId="0" fillId="0" borderId="2" xfId="0" applyBorder="1" applyAlignment="1">
      <alignment vertical="top"/>
    </xf>
    <xf numFmtId="0" fontId="16" fillId="0" borderId="23" xfId="0" applyFont="1" applyBorder="1" applyAlignment="1">
      <alignment horizontal="center" vertical="top" wrapText="1"/>
    </xf>
    <xf numFmtId="0" fontId="16" fillId="0" borderId="24" xfId="0" applyFont="1" applyBorder="1" applyAlignment="1">
      <alignment horizontal="center" vertical="top" wrapText="1"/>
    </xf>
    <xf numFmtId="0" fontId="16" fillId="0" borderId="25" xfId="0" applyFont="1" applyBorder="1" applyAlignment="1">
      <alignment horizontal="center" vertical="top" wrapText="1"/>
    </xf>
    <xf numFmtId="0" fontId="19" fillId="0" borderId="0" xfId="0" applyFont="1"/>
    <xf numFmtId="0" fontId="17" fillId="7" borderId="0" xfId="0" applyFont="1" applyFill="1" applyAlignment="1">
      <alignment horizontal="center" vertical="top"/>
    </xf>
    <xf numFmtId="0" fontId="17" fillId="0" borderId="0" xfId="0" applyFont="1"/>
    <xf numFmtId="0" fontId="17" fillId="0" borderId="0" xfId="0" applyFont="1" applyFill="1" applyAlignment="1">
      <alignment horizontal="left" vertical="top" wrapText="1"/>
    </xf>
    <xf numFmtId="0" fontId="17" fillId="0" borderId="0" xfId="0" applyFont="1" applyFill="1" applyAlignment="1">
      <alignment vertical="top"/>
    </xf>
    <xf numFmtId="0" fontId="17" fillId="0" borderId="0" xfId="0" applyFont="1" applyAlignment="1">
      <alignment horizontal="center"/>
    </xf>
    <xf numFmtId="0" fontId="20" fillId="8" borderId="0" xfId="0" applyFont="1" applyFill="1" applyAlignment="1">
      <alignment horizontal="center" vertical="center"/>
    </xf>
    <xf numFmtId="0" fontId="2" fillId="0" borderId="0" xfId="0" applyFont="1"/>
    <xf numFmtId="0" fontId="2" fillId="0" borderId="0" xfId="0" applyFont="1" applyFill="1" applyAlignment="1">
      <alignment horizontal="center" vertical="center"/>
    </xf>
    <xf numFmtId="49" fontId="0" fillId="3" borderId="20" xfId="0" applyNumberFormat="1" applyFill="1" applyBorder="1"/>
    <xf numFmtId="14" fontId="8" fillId="5" borderId="14" xfId="0" applyNumberFormat="1" applyFont="1" applyFill="1" applyBorder="1" applyAlignment="1">
      <alignment horizontal="left"/>
    </xf>
    <xf numFmtId="0" fontId="2" fillId="0" borderId="1" xfId="1" applyBorder="1" applyAlignment="1">
      <alignment vertical="top"/>
    </xf>
    <xf numFmtId="165" fontId="2" fillId="0" borderId="1" xfId="1" applyNumberFormat="1" applyFont="1" applyBorder="1" applyAlignment="1">
      <alignment horizontal="left" vertical="top"/>
    </xf>
    <xf numFmtId="0" fontId="21" fillId="2" borderId="5" xfId="1" applyFont="1" applyFill="1" applyBorder="1"/>
    <xf numFmtId="49" fontId="0" fillId="3" borderId="20" xfId="0" applyNumberFormat="1" applyFill="1" applyBorder="1" applyAlignment="1">
      <alignment horizontal="left" vertical="top" wrapText="1"/>
    </xf>
    <xf numFmtId="49" fontId="0" fillId="0" borderId="15" xfId="0" applyNumberFormat="1" applyBorder="1" applyAlignment="1">
      <alignment horizontal="left" vertical="top" wrapText="1"/>
    </xf>
    <xf numFmtId="49" fontId="0" fillId="0" borderId="0" xfId="0" applyNumberFormat="1" applyBorder="1" applyAlignment="1">
      <alignment horizontal="left" vertical="top" wrapText="1"/>
    </xf>
    <xf numFmtId="49" fontId="0" fillId="0" borderId="6" xfId="0" applyNumberFormat="1" applyBorder="1" applyAlignment="1">
      <alignment horizontal="left" vertical="top" wrapText="1"/>
    </xf>
    <xf numFmtId="49" fontId="0" fillId="0" borderId="2" xfId="0" applyNumberFormat="1" applyBorder="1" applyAlignment="1">
      <alignment horizontal="left" vertical="top" wrapText="1"/>
    </xf>
    <xf numFmtId="0" fontId="0" fillId="0" borderId="6" xfId="0" applyBorder="1" applyAlignment="1">
      <alignment vertical="top" wrapText="1"/>
    </xf>
    <xf numFmtId="49" fontId="0" fillId="0" borderId="6" xfId="0" applyNumberFormat="1" applyFill="1" applyBorder="1" applyAlignment="1">
      <alignment horizontal="left" vertical="top" wrapText="1"/>
    </xf>
    <xf numFmtId="0" fontId="0" fillId="0" borderId="0" xfId="0" applyFont="1" applyFill="1"/>
    <xf numFmtId="49" fontId="0" fillId="0" borderId="8" xfId="0" applyNumberFormat="1" applyFont="1" applyFill="1" applyBorder="1" applyAlignment="1">
      <alignment horizontal="left" vertical="top" wrapText="1"/>
    </xf>
    <xf numFmtId="49" fontId="0" fillId="0" borderId="1" xfId="0" applyNumberFormat="1" applyFont="1" applyFill="1" applyBorder="1" applyAlignment="1">
      <alignment horizontal="left" vertical="top" wrapText="1"/>
    </xf>
    <xf numFmtId="49" fontId="0" fillId="3" borderId="21" xfId="0" applyNumberFormat="1" applyFill="1" applyBorder="1" applyAlignment="1">
      <alignment horizontal="center" vertical="top" wrapText="1"/>
    </xf>
    <xf numFmtId="0" fontId="0" fillId="3" borderId="21" xfId="0" applyFill="1" applyBorder="1" applyAlignment="1">
      <alignment horizontal="left" vertical="top" wrapText="1"/>
    </xf>
    <xf numFmtId="49" fontId="0" fillId="3" borderId="22" xfId="0" applyNumberFormat="1" applyFill="1" applyBorder="1" applyAlignment="1">
      <alignment horizontal="left" vertical="top" wrapText="1"/>
    </xf>
    <xf numFmtId="49" fontId="0" fillId="9" borderId="1" xfId="0" applyNumberFormat="1" applyFill="1" applyBorder="1" applyAlignment="1">
      <alignment vertical="top" wrapText="1"/>
    </xf>
    <xf numFmtId="49" fontId="0" fillId="0" borderId="1" xfId="0" applyNumberFormat="1" applyFill="1" applyBorder="1" applyAlignment="1">
      <alignment horizontal="left" vertical="top" wrapText="1"/>
    </xf>
    <xf numFmtId="0" fontId="17" fillId="10" borderId="0" xfId="0" applyFont="1" applyFill="1" applyAlignment="1">
      <alignment horizontal="center" vertical="top"/>
    </xf>
    <xf numFmtId="0" fontId="17" fillId="11" borderId="0" xfId="0" applyFont="1" applyFill="1" applyAlignment="1">
      <alignment horizontal="center"/>
    </xf>
    <xf numFmtId="0" fontId="0" fillId="0" borderId="26" xfId="0" applyBorder="1" applyAlignment="1">
      <alignment vertical="top"/>
    </xf>
    <xf numFmtId="0" fontId="0" fillId="0" borderId="1" xfId="0" applyFill="1" applyBorder="1" applyAlignment="1">
      <alignment vertical="top"/>
    </xf>
    <xf numFmtId="0" fontId="18" fillId="0" borderId="20" xfId="0" applyFont="1" applyFill="1" applyBorder="1" applyAlignment="1">
      <alignment horizontal="center" vertical="top" wrapText="1"/>
    </xf>
    <xf numFmtId="0" fontId="0" fillId="0" borderId="2" xfId="0"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15" fillId="0" borderId="2" xfId="0" applyFont="1" applyBorder="1" applyAlignment="1">
      <alignment horizontal="center" vertical="top"/>
    </xf>
    <xf numFmtId="14" fontId="2" fillId="0" borderId="1" xfId="1" applyNumberFormat="1" applyBorder="1" applyAlignment="1">
      <alignment vertical="top" wrapText="1"/>
    </xf>
    <xf numFmtId="0" fontId="2" fillId="12" borderId="0" xfId="1" applyFill="1"/>
    <xf numFmtId="0" fontId="22" fillId="2" borderId="0" xfId="1" applyFont="1" applyFill="1" applyBorder="1"/>
    <xf numFmtId="0" fontId="23" fillId="2" borderId="5" xfId="1" applyFont="1" applyFill="1" applyBorder="1"/>
    <xf numFmtId="0" fontId="2" fillId="12" borderId="0" xfId="1" applyFill="1" applyAlignment="1">
      <alignment horizontal="center"/>
    </xf>
    <xf numFmtId="0" fontId="3" fillId="2" borderId="5" xfId="1" applyFont="1" applyFill="1" applyBorder="1"/>
    <xf numFmtId="0" fontId="2" fillId="0" borderId="20" xfId="1" applyBorder="1" applyAlignment="1">
      <alignment horizontal="left" vertical="top" wrapText="1"/>
    </xf>
    <xf numFmtId="0" fontId="2" fillId="0" borderId="21" xfId="1" applyBorder="1" applyAlignment="1">
      <alignment horizontal="left" vertical="top" wrapText="1"/>
    </xf>
    <xf numFmtId="0" fontId="2" fillId="0" borderId="22" xfId="1" applyBorder="1" applyAlignment="1">
      <alignment horizontal="left" vertical="top" wrapText="1"/>
    </xf>
    <xf numFmtId="0" fontId="3" fillId="9" borderId="3" xfId="1" applyFont="1" applyFill="1" applyBorder="1"/>
    <xf numFmtId="0" fontId="3" fillId="9" borderId="4" xfId="1" applyFont="1" applyFill="1" applyBorder="1"/>
    <xf numFmtId="0" fontId="2" fillId="0" borderId="5" xfId="0" applyFont="1" applyBorder="1" applyAlignment="1">
      <alignment horizontal="left" wrapText="1"/>
    </xf>
    <xf numFmtId="0" fontId="0" fillId="0" borderId="0" xfId="0" applyBorder="1" applyAlignment="1">
      <alignment horizontal="left" wrapText="1"/>
    </xf>
    <xf numFmtId="0" fontId="2" fillId="2" borderId="20" xfId="1" applyFont="1" applyFill="1" applyBorder="1" applyAlignment="1">
      <alignment horizontal="left" vertical="top"/>
    </xf>
    <xf numFmtId="0" fontId="2" fillId="2" borderId="21" xfId="1" applyFont="1" applyFill="1" applyBorder="1" applyAlignment="1">
      <alignment horizontal="left" vertical="top"/>
    </xf>
    <xf numFmtId="0" fontId="2" fillId="2" borderId="22" xfId="1" applyFont="1" applyFill="1" applyBorder="1" applyAlignment="1">
      <alignment horizontal="left" vertical="top"/>
    </xf>
    <xf numFmtId="0" fontId="7" fillId="2" borderId="11" xfId="1" applyFont="1" applyFill="1" applyBorder="1" applyAlignment="1">
      <alignment horizontal="center"/>
    </xf>
    <xf numFmtId="0" fontId="2" fillId="0" borderId="1" xfId="1" applyFont="1" applyBorder="1" applyAlignment="1">
      <alignment horizontal="left" vertical="top" wrapText="1"/>
    </xf>
    <xf numFmtId="49" fontId="0" fillId="0" borderId="6" xfId="0" applyNumberFormat="1" applyFill="1" applyBorder="1" applyAlignment="1">
      <alignment horizontal="left" vertical="top" wrapText="1"/>
    </xf>
    <xf numFmtId="49" fontId="0" fillId="0" borderId="2" xfId="0" applyNumberFormat="1" applyFill="1" applyBorder="1" applyAlignment="1">
      <alignment horizontal="left" vertical="top" wrapText="1"/>
    </xf>
    <xf numFmtId="49" fontId="0" fillId="0" borderId="16" xfId="0" applyNumberFormat="1" applyFill="1" applyBorder="1" applyAlignment="1">
      <alignment horizontal="left" vertical="top" wrapText="1"/>
    </xf>
    <xf numFmtId="0" fontId="0" fillId="0" borderId="6" xfId="0" applyBorder="1" applyAlignment="1">
      <alignment vertical="top" wrapText="1"/>
    </xf>
    <xf numFmtId="0" fontId="0" fillId="0" borderId="2" xfId="0" applyBorder="1" applyAlignment="1">
      <alignment vertical="top" wrapText="1"/>
    </xf>
    <xf numFmtId="0" fontId="0" fillId="0" borderId="17" xfId="0" applyBorder="1" applyAlignment="1">
      <alignment horizontal="left" vertical="top" wrapText="1"/>
    </xf>
    <xf numFmtId="0" fontId="0" fillId="0" borderId="8" xfId="0" applyBorder="1" applyAlignment="1">
      <alignment horizontal="left" vertical="top" wrapText="1"/>
    </xf>
    <xf numFmtId="0" fontId="0" fillId="0" borderId="17"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left" vertical="top" wrapText="1"/>
    </xf>
    <xf numFmtId="49" fontId="0" fillId="0" borderId="7" xfId="0" applyNumberFormat="1" applyFill="1" applyBorder="1" applyAlignment="1">
      <alignment horizontal="left" vertical="top" wrapText="1"/>
    </xf>
    <xf numFmtId="49" fontId="0" fillId="0" borderId="8" xfId="0" applyNumberFormat="1" applyFill="1" applyBorder="1" applyAlignment="1">
      <alignment horizontal="left" vertical="top" wrapText="1"/>
    </xf>
    <xf numFmtId="49" fontId="0" fillId="0" borderId="0" xfId="0" applyNumberFormat="1" applyFill="1" applyBorder="1" applyAlignment="1">
      <alignment horizontal="left" vertical="top" wrapText="1"/>
    </xf>
    <xf numFmtId="49" fontId="0" fillId="0" borderId="14" xfId="0" applyNumberFormat="1" applyFill="1" applyBorder="1" applyAlignment="1">
      <alignment horizontal="left" vertical="top" wrapText="1"/>
    </xf>
    <xf numFmtId="49" fontId="0" fillId="0" borderId="11" xfId="0" applyNumberFormat="1" applyFill="1" applyBorder="1" applyAlignment="1">
      <alignment horizontal="left" vertical="top" wrapText="1"/>
    </xf>
    <xf numFmtId="49" fontId="0" fillId="0" borderId="12" xfId="0" applyNumberFormat="1" applyFill="1" applyBorder="1" applyAlignment="1">
      <alignment horizontal="left" vertical="top" wrapText="1"/>
    </xf>
    <xf numFmtId="49" fontId="0" fillId="0" borderId="17" xfId="0" applyNumberFormat="1" applyBorder="1" applyAlignment="1">
      <alignment horizontal="left" vertical="top" wrapText="1"/>
    </xf>
    <xf numFmtId="49" fontId="0" fillId="0" borderId="8" xfId="0" applyNumberFormat="1" applyBorder="1" applyAlignment="1">
      <alignment horizontal="left" vertical="top" wrapText="1"/>
    </xf>
    <xf numFmtId="0" fontId="0" fillId="0" borderId="20" xfId="0" applyBorder="1" applyAlignment="1">
      <alignment horizontal="left" vertical="top" wrapText="1"/>
    </xf>
    <xf numFmtId="0" fontId="0" fillId="0" borderId="22" xfId="0" applyBorder="1" applyAlignment="1">
      <alignment horizontal="left" vertical="top" wrapText="1"/>
    </xf>
    <xf numFmtId="0" fontId="0" fillId="0" borderId="20" xfId="0" applyBorder="1" applyAlignment="1">
      <alignment vertical="top" wrapText="1"/>
    </xf>
    <xf numFmtId="0" fontId="0" fillId="0" borderId="22" xfId="0" applyBorder="1" applyAlignment="1">
      <alignment vertical="top" wrapText="1"/>
    </xf>
    <xf numFmtId="0" fontId="0" fillId="0" borderId="20" xfId="0" applyFill="1" applyBorder="1" applyAlignment="1">
      <alignment horizontal="left" vertical="top" wrapText="1"/>
    </xf>
    <xf numFmtId="0" fontId="0" fillId="0" borderId="22" xfId="0" applyFill="1" applyBorder="1" applyAlignment="1">
      <alignment horizontal="left" vertical="top" wrapText="1"/>
    </xf>
    <xf numFmtId="0" fontId="0" fillId="0" borderId="17" xfId="0" applyFill="1" applyBorder="1" applyAlignment="1">
      <alignment horizontal="left" vertical="top" wrapText="1"/>
    </xf>
    <xf numFmtId="0" fontId="0" fillId="0" borderId="7" xfId="0" applyFill="1" applyBorder="1" applyAlignment="1">
      <alignment horizontal="left" vertical="top" wrapText="1"/>
    </xf>
    <xf numFmtId="0" fontId="0" fillId="0" borderId="8" xfId="0" applyFill="1" applyBorder="1" applyAlignment="1">
      <alignment horizontal="left" vertical="top" wrapText="1"/>
    </xf>
    <xf numFmtId="0" fontId="0" fillId="0" borderId="15" xfId="0" applyFill="1" applyBorder="1" applyAlignment="1">
      <alignment horizontal="left" vertical="top" wrapText="1"/>
    </xf>
    <xf numFmtId="0" fontId="0" fillId="0" borderId="0" xfId="0" applyFill="1" applyBorder="1" applyAlignment="1">
      <alignment horizontal="left" vertical="top" wrapText="1"/>
    </xf>
    <xf numFmtId="0" fontId="0" fillId="0" borderId="14" xfId="0" applyFill="1" applyBorder="1" applyAlignment="1">
      <alignment horizontal="left" vertical="top" wrapText="1"/>
    </xf>
    <xf numFmtId="0" fontId="0" fillId="0" borderId="13" xfId="0" applyFill="1" applyBorder="1" applyAlignment="1">
      <alignment horizontal="left" vertical="top" wrapText="1"/>
    </xf>
    <xf numFmtId="0" fontId="0" fillId="0" borderId="11" xfId="0" applyFill="1" applyBorder="1" applyAlignment="1">
      <alignment horizontal="left" vertical="top" wrapText="1"/>
    </xf>
    <xf numFmtId="0" fontId="0" fillId="0" borderId="12" xfId="0" applyFill="1" applyBorder="1" applyAlignment="1">
      <alignment horizontal="left" vertical="top" wrapText="1"/>
    </xf>
    <xf numFmtId="0" fontId="0" fillId="0" borderId="17" xfId="0" applyBorder="1" applyAlignment="1">
      <alignment vertical="top" wrapText="1"/>
    </xf>
    <xf numFmtId="0" fontId="0" fillId="0" borderId="8" xfId="0" applyBorder="1" applyAlignment="1">
      <alignment vertical="top" wrapText="1"/>
    </xf>
    <xf numFmtId="0" fontId="0" fillId="0" borderId="15" xfId="0" applyBorder="1" applyAlignment="1">
      <alignment vertical="top" wrapText="1"/>
    </xf>
    <xf numFmtId="0" fontId="0" fillId="0" borderId="14" xfId="0" applyBorder="1" applyAlignment="1">
      <alignment vertical="top" wrapText="1"/>
    </xf>
    <xf numFmtId="0" fontId="0" fillId="0" borderId="13" xfId="0"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0" borderId="0" xfId="0" applyBorder="1" applyAlignment="1">
      <alignment vertical="top" wrapText="1"/>
    </xf>
    <xf numFmtId="0" fontId="0" fillId="0" borderId="11" xfId="0" applyBorder="1" applyAlignment="1">
      <alignment vertical="top" wrapText="1"/>
    </xf>
    <xf numFmtId="0" fontId="1" fillId="6" borderId="17"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1" fillId="6" borderId="13" xfId="0" applyFont="1" applyFill="1" applyBorder="1" applyAlignment="1">
      <alignment horizontal="center" vertical="center" wrapText="1"/>
    </xf>
    <xf numFmtId="0" fontId="1" fillId="6" borderId="12" xfId="0" applyFont="1" applyFill="1" applyBorder="1" applyAlignment="1">
      <alignment horizontal="center" vertical="center" wrapText="1"/>
    </xf>
    <xf numFmtId="49" fontId="0" fillId="0" borderId="17" xfId="0" applyNumberFormat="1" applyFont="1" applyFill="1" applyBorder="1" applyAlignment="1">
      <alignment horizontal="left" vertical="top" wrapText="1"/>
    </xf>
    <xf numFmtId="49" fontId="0" fillId="0" borderId="8" xfId="0" applyNumberFormat="1" applyFont="1" applyFill="1" applyBorder="1" applyAlignment="1">
      <alignment horizontal="left" vertical="top" wrapText="1"/>
    </xf>
    <xf numFmtId="49" fontId="0" fillId="0" borderId="15" xfId="0" applyNumberFormat="1" applyFont="1" applyFill="1" applyBorder="1" applyAlignment="1">
      <alignment horizontal="left" vertical="top" wrapText="1"/>
    </xf>
    <xf numFmtId="49" fontId="0" fillId="0" borderId="14" xfId="0" applyNumberFormat="1" applyFont="1" applyFill="1" applyBorder="1" applyAlignment="1">
      <alignment horizontal="left" vertical="top" wrapText="1"/>
    </xf>
    <xf numFmtId="49" fontId="0" fillId="0" borderId="13" xfId="0" applyNumberFormat="1" applyFont="1" applyFill="1" applyBorder="1" applyAlignment="1">
      <alignment horizontal="left" vertical="top" wrapText="1"/>
    </xf>
    <xf numFmtId="49" fontId="0" fillId="0" borderId="12" xfId="0" applyNumberFormat="1" applyFont="1" applyFill="1" applyBorder="1" applyAlignment="1">
      <alignment horizontal="left" vertical="top" wrapText="1"/>
    </xf>
    <xf numFmtId="49" fontId="0" fillId="0" borderId="7" xfId="0" applyNumberFormat="1" applyFont="1" applyFill="1" applyBorder="1" applyAlignment="1">
      <alignment horizontal="left" vertical="top" wrapText="1"/>
    </xf>
    <xf numFmtId="49" fontId="0" fillId="0" borderId="0" xfId="0" applyNumberFormat="1" applyFont="1" applyFill="1" applyBorder="1" applyAlignment="1">
      <alignment horizontal="left" vertical="top" wrapText="1"/>
    </xf>
    <xf numFmtId="49" fontId="0" fillId="0" borderId="11" xfId="0" applyNumberFormat="1" applyFont="1" applyFill="1" applyBorder="1" applyAlignment="1">
      <alignment horizontal="left" vertical="top" wrapText="1"/>
    </xf>
    <xf numFmtId="49" fontId="0" fillId="0" borderId="7" xfId="0" applyNumberFormat="1" applyBorder="1" applyAlignment="1">
      <alignment horizontal="left" vertical="top" wrapText="1"/>
    </xf>
    <xf numFmtId="49" fontId="0" fillId="0" borderId="15" xfId="0" applyNumberFormat="1" applyBorder="1" applyAlignment="1">
      <alignment horizontal="left" vertical="top" wrapText="1"/>
    </xf>
    <xf numFmtId="49" fontId="0" fillId="0" borderId="0" xfId="0" applyNumberFormat="1" applyBorder="1" applyAlignment="1">
      <alignment horizontal="left" vertical="top" wrapText="1"/>
    </xf>
    <xf numFmtId="49" fontId="0" fillId="0" borderId="17" xfId="0" applyNumberFormat="1" applyBorder="1" applyAlignment="1">
      <alignment horizontal="center" vertical="center" wrapText="1"/>
    </xf>
    <xf numFmtId="49" fontId="0" fillId="0" borderId="8" xfId="0" applyNumberFormat="1" applyBorder="1" applyAlignment="1">
      <alignment horizontal="center" vertical="center" wrapText="1"/>
    </xf>
    <xf numFmtId="0" fontId="0" fillId="0" borderId="13"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9" fillId="0" borderId="17" xfId="0" applyFont="1" applyBorder="1" applyAlignment="1">
      <alignment horizontal="center" vertical="center" wrapText="1"/>
    </xf>
    <xf numFmtId="0" fontId="0" fillId="0" borderId="1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8" fillId="0" borderId="17" xfId="0" applyFont="1" applyBorder="1" applyAlignment="1">
      <alignment horizontal="left"/>
    </xf>
    <xf numFmtId="0" fontId="8" fillId="0" borderId="7" xfId="0" applyFont="1" applyBorder="1" applyAlignment="1">
      <alignment horizontal="left"/>
    </xf>
    <xf numFmtId="0" fontId="6" fillId="5" borderId="15" xfId="0" applyFont="1" applyFill="1" applyBorder="1" applyAlignment="1">
      <alignment horizontal="left"/>
    </xf>
    <xf numFmtId="0" fontId="6" fillId="5" borderId="0" xfId="0" applyFont="1" applyFill="1" applyBorder="1" applyAlignment="1">
      <alignment horizontal="left"/>
    </xf>
    <xf numFmtId="0" fontId="6" fillId="5" borderId="0" xfId="0" applyFont="1" applyFill="1" applyBorder="1" applyAlignment="1"/>
    <xf numFmtId="0" fontId="6" fillId="5" borderId="14" xfId="0" applyFont="1" applyFill="1" applyBorder="1" applyAlignment="1"/>
    <xf numFmtId="0" fontId="11" fillId="5" borderId="15" xfId="0" applyFont="1" applyFill="1" applyBorder="1" applyAlignment="1"/>
    <xf numFmtId="0" fontId="13" fillId="5" borderId="0" xfId="0" applyFont="1" applyFill="1" applyBorder="1" applyAlignment="1"/>
    <xf numFmtId="0" fontId="12" fillId="0" borderId="9" xfId="0" applyFont="1" applyFill="1" applyBorder="1" applyAlignment="1">
      <alignment horizontal="center" vertical="center"/>
    </xf>
    <xf numFmtId="0" fontId="12" fillId="0" borderId="0" xfId="0" applyFont="1" applyFill="1" applyBorder="1" applyAlignment="1">
      <alignment horizontal="center" vertical="center"/>
    </xf>
    <xf numFmtId="0" fontId="15" fillId="0" borderId="17" xfId="0" applyFont="1" applyBorder="1" applyAlignment="1">
      <alignment horizontal="center" vertical="top" wrapText="1"/>
    </xf>
    <xf numFmtId="0" fontId="15" fillId="0" borderId="7" xfId="0" applyFont="1" applyBorder="1" applyAlignment="1">
      <alignment horizontal="center" vertical="top" wrapText="1"/>
    </xf>
    <xf numFmtId="0" fontId="15" fillId="0" borderId="8" xfId="0" applyFont="1" applyBorder="1" applyAlignment="1">
      <alignment horizontal="center" vertical="top" wrapText="1"/>
    </xf>
    <xf numFmtId="0" fontId="15" fillId="0" borderId="15" xfId="0" applyFont="1" applyBorder="1" applyAlignment="1">
      <alignment horizontal="center" vertical="top" wrapText="1"/>
    </xf>
    <xf numFmtId="0" fontId="15" fillId="0" borderId="0" xfId="0" applyFont="1" applyBorder="1" applyAlignment="1">
      <alignment horizontal="center" vertical="top" wrapText="1"/>
    </xf>
    <xf numFmtId="0" fontId="15" fillId="0" borderId="14" xfId="0" applyFont="1" applyBorder="1" applyAlignment="1">
      <alignment horizontal="center" vertical="top" wrapText="1"/>
    </xf>
    <xf numFmtId="0" fontId="15" fillId="0" borderId="13" xfId="0" applyFont="1" applyBorder="1" applyAlignment="1">
      <alignment horizontal="center" vertical="top" wrapText="1"/>
    </xf>
    <xf numFmtId="0" fontId="15" fillId="0" borderId="11" xfId="0" applyFont="1" applyBorder="1" applyAlignment="1">
      <alignment horizontal="center" vertical="top" wrapText="1"/>
    </xf>
    <xf numFmtId="0" fontId="15" fillId="0" borderId="12" xfId="0" applyFont="1" applyBorder="1" applyAlignment="1">
      <alignment horizontal="center" vertical="top" wrapText="1"/>
    </xf>
    <xf numFmtId="0" fontId="8" fillId="0" borderId="15" xfId="0" applyFont="1" applyBorder="1" applyAlignment="1">
      <alignment horizontal="left"/>
    </xf>
    <xf numFmtId="0" fontId="8" fillId="0" borderId="0" xfId="0" applyFont="1" applyBorder="1" applyAlignment="1">
      <alignment horizontal="left"/>
    </xf>
    <xf numFmtId="0" fontId="8" fillId="0" borderId="14" xfId="0" applyFont="1" applyBorder="1" applyAlignment="1">
      <alignment horizontal="left"/>
    </xf>
    <xf numFmtId="0" fontId="1" fillId="6" borderId="15" xfId="0" applyFont="1" applyFill="1" applyBorder="1" applyAlignment="1">
      <alignment horizontal="center" vertical="center"/>
    </xf>
    <xf numFmtId="0" fontId="1" fillId="6" borderId="0"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13" xfId="0" applyFont="1" applyFill="1" applyBorder="1" applyAlignment="1">
      <alignment horizontal="center" vertical="center"/>
    </xf>
    <xf numFmtId="0" fontId="1" fillId="6" borderId="11" xfId="0" applyFont="1" applyFill="1" applyBorder="1" applyAlignment="1">
      <alignment horizontal="center" vertical="center"/>
    </xf>
    <xf numFmtId="0" fontId="1" fillId="6" borderId="12" xfId="0" applyFont="1" applyFill="1" applyBorder="1" applyAlignment="1">
      <alignment horizontal="center" vertical="center"/>
    </xf>
    <xf numFmtId="0" fontId="1" fillId="6" borderId="16"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0" fillId="0" borderId="21" xfId="0" applyBorder="1" applyAlignment="1">
      <alignment horizontal="left" vertical="top" wrapText="1"/>
    </xf>
    <xf numFmtId="0" fontId="0" fillId="0" borderId="21" xfId="0" applyFill="1" applyBorder="1" applyAlignment="1">
      <alignment horizontal="left" vertical="top" wrapText="1"/>
    </xf>
    <xf numFmtId="0" fontId="0" fillId="0" borderId="20" xfId="0" applyBorder="1" applyAlignment="1">
      <alignment vertical="top"/>
    </xf>
    <xf numFmtId="0" fontId="0" fillId="0" borderId="22" xfId="0" applyBorder="1" applyAlignment="1">
      <alignment vertical="top"/>
    </xf>
    <xf numFmtId="0" fontId="0" fillId="0" borderId="20" xfId="0" applyFill="1" applyBorder="1" applyAlignment="1">
      <alignment horizontal="center" vertical="center" wrapText="1"/>
    </xf>
    <xf numFmtId="0" fontId="0" fillId="0" borderId="22" xfId="0" applyFill="1" applyBorder="1" applyAlignment="1">
      <alignment horizontal="center" vertical="center" wrapText="1"/>
    </xf>
    <xf numFmtId="0" fontId="16" fillId="0" borderId="0" xfId="0" applyFont="1" applyAlignment="1">
      <alignment horizontal="left" vertical="top" wrapText="1"/>
    </xf>
    <xf numFmtId="0" fontId="17" fillId="0" borderId="0" xfId="0" applyFont="1" applyFill="1" applyAlignment="1">
      <alignment horizontal="left" vertical="top" wrapText="1"/>
    </xf>
    <xf numFmtId="0" fontId="17" fillId="0" borderId="0" xfId="0" applyFont="1" applyAlignment="1">
      <alignment horizontal="left" vertical="top" wrapText="1"/>
    </xf>
  </cellXfs>
  <cellStyles count="2">
    <cellStyle name="Normal" xfId="0" builtinId="0"/>
    <cellStyle name="Normal 2" xfId="1" xr:uid="{00000000-0005-0000-0000-000001000000}"/>
  </cellStyles>
  <dxfs count="4">
    <dxf>
      <font>
        <strike/>
      </font>
      <fill>
        <patternFill>
          <bgColor rgb="FFFF0000"/>
        </patternFill>
      </fill>
    </dxf>
    <dxf>
      <fill>
        <patternFill>
          <bgColor theme="7" tint="0.59996337778862885"/>
        </patternFill>
      </fill>
    </dxf>
    <dxf>
      <fill>
        <patternFill>
          <bgColor rgb="FFFFFFCC"/>
        </patternFill>
      </fill>
    </dxf>
    <dxf>
      <fill>
        <patternFill>
          <bgColor rgb="FFFFCCCC"/>
        </patternFill>
      </fill>
    </dxf>
  </dxfs>
  <tableStyles count="0" defaultTableStyle="TableStyleMedium9" defaultPivotStyle="PivotStyleLight16"/>
  <colors>
    <mruColors>
      <color rgb="FFFFFFCC"/>
      <color rgb="FFFFCCCC"/>
      <color rgb="FFF98B8B"/>
      <color rgb="FF9966FF"/>
      <color rgb="FFCCCC00"/>
      <color rgb="FFFFCF37"/>
      <color rgb="FFFF9999"/>
      <color rgb="FFE2D7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0</xdr:row>
      <xdr:rowOff>57150</xdr:rowOff>
    </xdr:from>
    <xdr:ext cx="2120546" cy="635000"/>
    <xdr:pic>
      <xdr:nvPicPr>
        <xdr:cNvPr id="2" name="Picture 1">
          <a:extLst>
            <a:ext uri="{FF2B5EF4-FFF2-40B4-BE49-F238E27FC236}">
              <a16:creationId xmlns:a16="http://schemas.microsoft.com/office/drawing/2014/main" id="{B8091214-82AF-48F8-8CCE-887580CEC7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1950" y="57150"/>
          <a:ext cx="2120546" cy="635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D2D1-53D7-4382-B6BB-49613772AE4D}">
  <sheetPr>
    <pageSetUpPr fitToPage="1"/>
  </sheetPr>
  <dimension ref="A1:F31"/>
  <sheetViews>
    <sheetView tabSelected="1" zoomScaleNormal="100" workbookViewId="0">
      <selection activeCell="A15" sqref="A15"/>
    </sheetView>
  </sheetViews>
  <sheetFormatPr defaultColWidth="8.85546875" defaultRowHeight="12.75" x14ac:dyDescent="0.2"/>
  <cols>
    <col min="1" max="1" width="21.85546875" style="2" customWidth="1"/>
    <col min="2" max="2" width="18.140625" style="2" customWidth="1"/>
    <col min="3" max="3" width="23.7109375" style="2" customWidth="1"/>
    <col min="4" max="4" width="14" style="2" customWidth="1"/>
    <col min="5" max="5" width="8.85546875" style="2"/>
    <col min="6" max="6" width="53.42578125" style="2" customWidth="1"/>
    <col min="7" max="16384" width="8.85546875" style="2"/>
  </cols>
  <sheetData>
    <row r="1" spans="1:6" ht="58.5" customHeight="1" x14ac:dyDescent="0.45">
      <c r="A1" s="91"/>
      <c r="B1" s="92"/>
      <c r="C1" s="1"/>
      <c r="D1" s="1"/>
      <c r="E1" s="83"/>
      <c r="F1" s="83"/>
    </row>
    <row r="2" spans="1:6" ht="29.25" customHeight="1" x14ac:dyDescent="0.45">
      <c r="A2" s="87"/>
      <c r="B2" s="3"/>
      <c r="C2" s="4"/>
      <c r="D2" s="4"/>
      <c r="E2" s="83"/>
      <c r="F2" s="83"/>
    </row>
    <row r="3" spans="1:6" ht="22.5" x14ac:dyDescent="0.45">
      <c r="A3" s="57" t="s">
        <v>92</v>
      </c>
      <c r="B3" s="3"/>
      <c r="C3" s="4"/>
      <c r="D3" s="5"/>
      <c r="E3" s="83"/>
      <c r="F3" s="83"/>
    </row>
    <row r="4" spans="1:6" ht="22.5" x14ac:dyDescent="0.45">
      <c r="A4" s="57" t="s">
        <v>5</v>
      </c>
      <c r="B4" s="3"/>
      <c r="C4" s="6"/>
      <c r="D4" s="4"/>
      <c r="E4" s="86"/>
      <c r="F4" s="83"/>
    </row>
    <row r="5" spans="1:6" ht="22.5" x14ac:dyDescent="0.45">
      <c r="A5" s="7"/>
      <c r="B5" s="3"/>
      <c r="C5" s="6"/>
      <c r="D5" s="8"/>
      <c r="E5" s="83"/>
      <c r="F5" s="83"/>
    </row>
    <row r="6" spans="1:6" ht="22.5" x14ac:dyDescent="0.45">
      <c r="A6" s="85" t="s">
        <v>135</v>
      </c>
      <c r="B6" s="3"/>
      <c r="C6" s="6"/>
      <c r="D6" s="83"/>
      <c r="E6" s="83"/>
      <c r="F6" s="84" t="s">
        <v>91</v>
      </c>
    </row>
    <row r="7" spans="1:6" x14ac:dyDescent="0.2">
      <c r="A7" s="9"/>
      <c r="B7" s="10"/>
      <c r="C7" s="8"/>
      <c r="D7" s="8"/>
      <c r="E7" s="83"/>
      <c r="F7" s="83"/>
    </row>
    <row r="8" spans="1:6" ht="68.25" customHeight="1" x14ac:dyDescent="0.25">
      <c r="A8" s="93" t="s">
        <v>90</v>
      </c>
      <c r="B8" s="94"/>
      <c r="C8" s="13"/>
      <c r="D8" s="13"/>
    </row>
    <row r="9" spans="1:6" x14ac:dyDescent="0.2">
      <c r="A9" s="11"/>
      <c r="B9" s="12"/>
      <c r="C9" s="13"/>
      <c r="D9" s="13"/>
    </row>
    <row r="10" spans="1:6" x14ac:dyDescent="0.2">
      <c r="A10" s="17" t="s">
        <v>0</v>
      </c>
      <c r="B10" s="15"/>
      <c r="C10" s="14"/>
      <c r="D10" s="98"/>
      <c r="E10" s="98"/>
      <c r="F10" s="98"/>
    </row>
    <row r="11" spans="1:6" x14ac:dyDescent="0.2">
      <c r="A11" s="22" t="s">
        <v>1</v>
      </c>
      <c r="B11" s="22" t="s">
        <v>2</v>
      </c>
      <c r="C11" s="22" t="s">
        <v>3</v>
      </c>
      <c r="D11" s="95" t="s">
        <v>4</v>
      </c>
      <c r="E11" s="96"/>
      <c r="F11" s="97"/>
    </row>
    <row r="12" spans="1:6" ht="12.75" customHeight="1" x14ac:dyDescent="0.2">
      <c r="A12" s="56">
        <v>1</v>
      </c>
      <c r="B12" s="23" t="s">
        <v>89</v>
      </c>
      <c r="C12" s="55" t="s">
        <v>33</v>
      </c>
      <c r="D12" s="99" t="s">
        <v>88</v>
      </c>
      <c r="E12" s="99"/>
      <c r="F12" s="99"/>
    </row>
    <row r="13" spans="1:6" x14ac:dyDescent="0.2">
      <c r="A13" s="56">
        <v>1.1000000000000001</v>
      </c>
      <c r="B13" s="82" t="s">
        <v>87</v>
      </c>
      <c r="C13" s="55" t="s">
        <v>33</v>
      </c>
      <c r="D13" s="88" t="s">
        <v>86</v>
      </c>
      <c r="E13" s="89"/>
      <c r="F13" s="90"/>
    </row>
    <row r="14" spans="1:6" ht="15" customHeight="1" x14ac:dyDescent="0.2">
      <c r="A14" s="56">
        <v>2</v>
      </c>
      <c r="B14" s="82" t="s">
        <v>94</v>
      </c>
      <c r="C14" s="55" t="s">
        <v>33</v>
      </c>
      <c r="D14" s="88" t="s">
        <v>71</v>
      </c>
      <c r="E14" s="89"/>
      <c r="F14" s="90"/>
    </row>
    <row r="15" spans="1:6" x14ac:dyDescent="0.2">
      <c r="A15" s="13"/>
      <c r="B15" s="12"/>
      <c r="C15" s="13"/>
      <c r="D15" s="13"/>
    </row>
    <row r="16" spans="1:6" x14ac:dyDescent="0.2">
      <c r="A16" s="18" t="s">
        <v>93</v>
      </c>
      <c r="B16" s="16"/>
    </row>
    <row r="20" spans="1:3" x14ac:dyDescent="0.2">
      <c r="A20" s="19"/>
      <c r="B20" s="20"/>
      <c r="C20" s="16"/>
    </row>
    <row r="21" spans="1:3" x14ac:dyDescent="0.2">
      <c r="A21" s="19"/>
      <c r="B21" s="20"/>
      <c r="C21" s="16"/>
    </row>
    <row r="22" spans="1:3" x14ac:dyDescent="0.2">
      <c r="A22" s="19"/>
      <c r="B22" s="20"/>
      <c r="C22" s="16"/>
    </row>
    <row r="23" spans="1:3" x14ac:dyDescent="0.2">
      <c r="A23" s="19"/>
      <c r="B23" s="20"/>
      <c r="C23" s="16"/>
    </row>
    <row r="24" spans="1:3" x14ac:dyDescent="0.2">
      <c r="A24" s="19"/>
      <c r="B24" s="20"/>
      <c r="C24" s="16"/>
    </row>
    <row r="25" spans="1:3" x14ac:dyDescent="0.2">
      <c r="A25" s="19"/>
      <c r="B25" s="20"/>
      <c r="C25" s="16"/>
    </row>
    <row r="26" spans="1:3" x14ac:dyDescent="0.2">
      <c r="A26" s="19"/>
      <c r="B26" s="20"/>
      <c r="C26" s="16"/>
    </row>
    <row r="27" spans="1:3" x14ac:dyDescent="0.2">
      <c r="A27" s="19"/>
      <c r="B27" s="20"/>
      <c r="C27" s="16"/>
    </row>
    <row r="28" spans="1:3" x14ac:dyDescent="0.2">
      <c r="A28" s="19"/>
      <c r="B28" s="20"/>
      <c r="C28" s="16"/>
    </row>
    <row r="29" spans="1:3" x14ac:dyDescent="0.2">
      <c r="A29" s="19"/>
      <c r="B29" s="20"/>
      <c r="C29" s="16"/>
    </row>
    <row r="30" spans="1:3" x14ac:dyDescent="0.2">
      <c r="A30" s="19"/>
      <c r="B30" s="20"/>
      <c r="C30" s="16"/>
    </row>
    <row r="31" spans="1:3" x14ac:dyDescent="0.2">
      <c r="A31" s="19"/>
      <c r="B31" s="20"/>
      <c r="C31" s="16"/>
    </row>
  </sheetData>
  <mergeCells count="7">
    <mergeCell ref="D14:F14"/>
    <mergeCell ref="A1:B1"/>
    <mergeCell ref="D13:F13"/>
    <mergeCell ref="A8:B8"/>
    <mergeCell ref="D11:F11"/>
    <mergeCell ref="D10:F10"/>
    <mergeCell ref="D12:F12"/>
  </mergeCells>
  <pageMargins left="0.75" right="0.75" top="1" bottom="1" header="0.5" footer="0.5"/>
  <pageSetup paperSize="9" scale="49" fitToWidth="5"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8"/>
  <sheetViews>
    <sheetView zoomScaleNormal="100" workbookViewId="0">
      <pane ySplit="6" topLeftCell="A7" activePane="bottomLeft" state="frozen"/>
      <selection pane="bottomLeft" activeCell="I13" sqref="I13:K13"/>
    </sheetView>
  </sheetViews>
  <sheetFormatPr defaultRowHeight="15" outlineLevelCol="1" x14ac:dyDescent="0.25"/>
  <cols>
    <col min="1" max="1" width="13.7109375" customWidth="1"/>
    <col min="2" max="2" width="8.140625" customWidth="1"/>
    <col min="3" max="3" width="12.85546875" customWidth="1"/>
    <col min="4" max="4" width="17.42578125" customWidth="1"/>
    <col min="5" max="5" width="10.5703125" customWidth="1"/>
    <col min="6" max="6" width="12.42578125" customWidth="1"/>
    <col min="7" max="7" width="11.140625" customWidth="1"/>
    <col min="8" max="9" width="14.28515625" customWidth="1"/>
    <col min="10" max="10" width="10.28515625" customWidth="1"/>
    <col min="11" max="11" width="9.5703125" customWidth="1"/>
    <col min="12" max="12" width="61.5703125" customWidth="1"/>
    <col min="17" max="19" width="0" hidden="1" customWidth="1" outlineLevel="1"/>
    <col min="20" max="20" width="9.140625" collapsed="1"/>
  </cols>
  <sheetData>
    <row r="1" spans="1:19" ht="15.75" x14ac:dyDescent="0.25">
      <c r="A1" s="165" t="s">
        <v>9</v>
      </c>
      <c r="B1" s="166"/>
      <c r="C1" s="24"/>
      <c r="D1" s="25"/>
      <c r="E1" s="26"/>
      <c r="F1" s="25"/>
      <c r="G1" s="25"/>
      <c r="H1" s="27"/>
      <c r="I1" s="169" t="s">
        <v>6</v>
      </c>
      <c r="J1" s="170"/>
      <c r="K1" s="30"/>
      <c r="L1" s="31"/>
      <c r="Q1" s="179" t="s">
        <v>16</v>
      </c>
      <c r="R1" s="180"/>
      <c r="S1" s="181"/>
    </row>
    <row r="2" spans="1:19" ht="20.25" customHeight="1" x14ac:dyDescent="0.25">
      <c r="A2" s="167"/>
      <c r="B2" s="168"/>
      <c r="C2" s="177" t="s">
        <v>10</v>
      </c>
      <c r="D2" s="178"/>
      <c r="E2" s="178"/>
      <c r="F2" s="178"/>
      <c r="G2" s="178"/>
      <c r="H2" s="178"/>
      <c r="I2" s="171" t="s">
        <v>112</v>
      </c>
      <c r="J2" s="172"/>
      <c r="K2" s="173"/>
      <c r="L2" s="174"/>
      <c r="Q2" s="182"/>
      <c r="R2" s="183"/>
      <c r="S2" s="184"/>
    </row>
    <row r="3" spans="1:19" x14ac:dyDescent="0.25">
      <c r="A3" s="167"/>
      <c r="B3" s="168"/>
      <c r="C3" s="177"/>
      <c r="D3" s="178"/>
      <c r="E3" s="178"/>
      <c r="F3" s="178"/>
      <c r="G3" s="178"/>
      <c r="H3" s="178"/>
      <c r="I3" s="188" t="s">
        <v>7</v>
      </c>
      <c r="J3" s="189"/>
      <c r="K3" s="189"/>
      <c r="L3" s="190"/>
      <c r="Q3" s="182"/>
      <c r="R3" s="183"/>
      <c r="S3" s="184"/>
    </row>
    <row r="4" spans="1:19" x14ac:dyDescent="0.25">
      <c r="A4" s="167"/>
      <c r="B4" s="168"/>
      <c r="C4" s="28"/>
      <c r="D4" s="21"/>
      <c r="E4" s="29"/>
      <c r="F4" s="21"/>
      <c r="G4" s="21"/>
      <c r="H4" s="28"/>
      <c r="I4" s="175" t="s">
        <v>33</v>
      </c>
      <c r="J4" s="176"/>
      <c r="K4" s="176"/>
      <c r="L4" s="54"/>
      <c r="Q4" s="182"/>
      <c r="R4" s="183"/>
      <c r="S4" s="184"/>
    </row>
    <row r="5" spans="1:19" x14ac:dyDescent="0.25">
      <c r="A5" s="142" t="s">
        <v>22</v>
      </c>
      <c r="B5" s="143"/>
      <c r="C5" s="142" t="s">
        <v>23</v>
      </c>
      <c r="D5" s="143"/>
      <c r="E5" s="142" t="s">
        <v>24</v>
      </c>
      <c r="F5" s="143"/>
      <c r="G5" s="142" t="s">
        <v>25</v>
      </c>
      <c r="H5" s="143"/>
      <c r="I5" s="191" t="s">
        <v>26</v>
      </c>
      <c r="J5" s="192"/>
      <c r="K5" s="193"/>
      <c r="L5" s="197" t="s">
        <v>27</v>
      </c>
      <c r="Q5" s="182"/>
      <c r="R5" s="183"/>
      <c r="S5" s="184"/>
    </row>
    <row r="6" spans="1:19" x14ac:dyDescent="0.25">
      <c r="A6" s="144"/>
      <c r="B6" s="145"/>
      <c r="C6" s="144"/>
      <c r="D6" s="145"/>
      <c r="E6" s="144"/>
      <c r="F6" s="145"/>
      <c r="G6" s="144"/>
      <c r="H6" s="145"/>
      <c r="I6" s="194"/>
      <c r="J6" s="195"/>
      <c r="K6" s="196"/>
      <c r="L6" s="198"/>
      <c r="Q6" s="185"/>
      <c r="R6" s="186"/>
      <c r="S6" s="187"/>
    </row>
    <row r="7" spans="1:19" x14ac:dyDescent="0.25">
      <c r="A7" s="34" t="s">
        <v>8</v>
      </c>
      <c r="B7" s="35"/>
      <c r="C7" s="35"/>
      <c r="D7" s="35"/>
      <c r="E7" s="35"/>
      <c r="F7" s="35"/>
      <c r="G7" s="53"/>
      <c r="H7" s="36"/>
      <c r="I7" s="35"/>
      <c r="J7" s="35"/>
      <c r="K7" s="35"/>
      <c r="L7" s="36"/>
    </row>
    <row r="8" spans="1:19" s="65" customFormat="1" ht="49.5" customHeight="1" x14ac:dyDescent="0.25">
      <c r="A8" s="116" t="s">
        <v>34</v>
      </c>
      <c r="B8" s="155"/>
      <c r="C8" s="146" t="s">
        <v>56</v>
      </c>
      <c r="D8" s="147"/>
      <c r="E8" s="146" t="s">
        <v>113</v>
      </c>
      <c r="F8" s="147"/>
      <c r="G8" s="146" t="s">
        <v>114</v>
      </c>
      <c r="H8" s="147"/>
      <c r="I8" s="146" t="s">
        <v>58</v>
      </c>
      <c r="J8" s="152"/>
      <c r="K8" s="147"/>
      <c r="L8" s="67" t="s">
        <v>130</v>
      </c>
      <c r="Q8" t="b">
        <f>IF(ISBLANK($L8),FALSE,ISNA(VLOOKUP($L8,'Requirements derivation'!$A$2:$A$193,1,FALSE)))</f>
        <v>0</v>
      </c>
      <c r="R8" t="b">
        <f>IF(ISBLANK($L8),FALSE,(ISBLANK(VLOOKUP($L8,'Requirements derivation'!$A$2:$B$193,2,FALSE))))</f>
        <v>0</v>
      </c>
      <c r="S8" t="b">
        <f>IF(ISBLANK($L8),FALSE,(ISBLANK(VLOOKUP($L8,'Requirements derivation'!$A$2:$C$193,3,FALSE))))</f>
        <v>0</v>
      </c>
    </row>
    <row r="9" spans="1:19" s="65" customFormat="1" ht="62.25" customHeight="1" x14ac:dyDescent="0.25">
      <c r="A9" s="156"/>
      <c r="B9" s="157"/>
      <c r="C9" s="148"/>
      <c r="D9" s="149"/>
      <c r="E9" s="148"/>
      <c r="F9" s="149"/>
      <c r="G9" s="148"/>
      <c r="H9" s="149"/>
      <c r="I9" s="148"/>
      <c r="J9" s="153"/>
      <c r="K9" s="149"/>
      <c r="L9" s="67" t="s">
        <v>131</v>
      </c>
      <c r="M9" s="59"/>
      <c r="N9" s="60"/>
      <c r="O9" s="60"/>
      <c r="Q9" t="b">
        <f>IF(ISBLANK($L9),FALSE,ISNA(VLOOKUP($L9,'Requirements derivation'!$A$2:$A$193,1,FALSE)))</f>
        <v>0</v>
      </c>
      <c r="R9" t="b">
        <f>IF(ISBLANK($L9),FALSE,(ISBLANK(VLOOKUP($L9,'Requirements derivation'!$A$2:$B$193,2,FALSE))))</f>
        <v>0</v>
      </c>
      <c r="S9" t="b">
        <f>IF(ISBLANK($L9),FALSE,(ISBLANK(VLOOKUP($L9,'Requirements derivation'!$A$2:$C$193,3,FALSE))))</f>
        <v>0</v>
      </c>
    </row>
    <row r="10" spans="1:19" s="65" customFormat="1" ht="49.5" customHeight="1" x14ac:dyDescent="0.25">
      <c r="A10" s="156"/>
      <c r="B10" s="157"/>
      <c r="C10" s="148"/>
      <c r="D10" s="149"/>
      <c r="E10" s="148"/>
      <c r="F10" s="149"/>
      <c r="G10" s="148"/>
      <c r="H10" s="149"/>
      <c r="I10" s="148"/>
      <c r="J10" s="153"/>
      <c r="K10" s="149"/>
      <c r="L10" s="67" t="s">
        <v>63</v>
      </c>
      <c r="M10" s="59"/>
      <c r="N10" s="60"/>
      <c r="O10" s="60"/>
      <c r="Q10" t="b">
        <f>IF(ISBLANK($L10),FALSE,ISNA(VLOOKUP($L10,'Requirements derivation'!$A$2:$A$193,1,FALSE)))</f>
        <v>0</v>
      </c>
      <c r="R10" t="b">
        <f>IF(ISBLANK($L10),FALSE,(ISBLANK(VLOOKUP($L10,'Requirements derivation'!$A$2:$B$193,2,FALSE))))</f>
        <v>0</v>
      </c>
      <c r="S10" t="b">
        <f>IF(ISBLANK($L10),FALSE,(ISBLANK(VLOOKUP($L10,'Requirements derivation'!$A$2:$C$193,3,FALSE))))</f>
        <v>0</v>
      </c>
    </row>
    <row r="11" spans="1:19" s="65" customFormat="1" ht="60.75" customHeight="1" x14ac:dyDescent="0.25">
      <c r="A11" s="156"/>
      <c r="B11" s="157"/>
      <c r="C11" s="148"/>
      <c r="D11" s="149"/>
      <c r="E11" s="148"/>
      <c r="F11" s="149"/>
      <c r="G11" s="148"/>
      <c r="H11" s="149"/>
      <c r="I11" s="148"/>
      <c r="J11" s="153"/>
      <c r="K11" s="149"/>
      <c r="L11" s="67" t="s">
        <v>64</v>
      </c>
      <c r="M11" s="59"/>
      <c r="N11" s="60"/>
      <c r="O11" s="60"/>
      <c r="Q11" t="b">
        <f>IF(ISBLANK($L11),FALSE,ISNA(VLOOKUP($L11,'Requirements derivation'!$A$2:$A$193,1,FALSE)))</f>
        <v>0</v>
      </c>
      <c r="R11" t="b">
        <f>IF(ISBLANK($L11),FALSE,(ISBLANK(VLOOKUP($L11,'Requirements derivation'!$A$2:$B$193,2,FALSE))))</f>
        <v>0</v>
      </c>
      <c r="S11" t="b">
        <f>IF(ISBLANK($L11),FALSE,(ISBLANK(VLOOKUP($L11,'Requirements derivation'!$A$2:$C$193,3,FALSE))))</f>
        <v>0</v>
      </c>
    </row>
    <row r="12" spans="1:19" s="65" customFormat="1" ht="51" customHeight="1" x14ac:dyDescent="0.25">
      <c r="A12" s="156"/>
      <c r="B12" s="157"/>
      <c r="C12" s="150"/>
      <c r="D12" s="151"/>
      <c r="E12" s="150"/>
      <c r="F12" s="151"/>
      <c r="G12" s="150"/>
      <c r="H12" s="151"/>
      <c r="I12" s="150"/>
      <c r="J12" s="154"/>
      <c r="K12" s="151"/>
      <c r="L12" s="66" t="s">
        <v>73</v>
      </c>
      <c r="M12" s="59"/>
      <c r="N12" s="60"/>
      <c r="O12" s="60"/>
      <c r="Q12" t="b">
        <f>IF(ISBLANK($L12),FALSE,ISNA(VLOOKUP($L12,'Requirements derivation'!$A$2:$A$193,1,FALSE)))</f>
        <v>0</v>
      </c>
      <c r="R12" t="b">
        <f>IF(ISBLANK($L12),FALSE,(ISBLANK(VLOOKUP($L12,'Requirements derivation'!$A$2:$B$193,2,FALSE))))</f>
        <v>0</v>
      </c>
      <c r="S12" t="b">
        <f>IF(ISBLANK($L12),FALSE,(ISBLANK(VLOOKUP($L12,'Requirements derivation'!$A$2:$C$193,3,FALSE))))</f>
        <v>0</v>
      </c>
    </row>
    <row r="13" spans="1:19" ht="78" customHeight="1" x14ac:dyDescent="0.25">
      <c r="A13" s="156"/>
      <c r="B13" s="157"/>
      <c r="C13" s="116" t="s">
        <v>115</v>
      </c>
      <c r="D13" s="117"/>
      <c r="E13" s="116" t="s">
        <v>31</v>
      </c>
      <c r="F13" s="117"/>
      <c r="G13" s="158" t="s">
        <v>32</v>
      </c>
      <c r="H13" s="159"/>
      <c r="I13" s="105" t="s">
        <v>57</v>
      </c>
      <c r="J13" s="109"/>
      <c r="K13" s="109"/>
      <c r="L13" s="71" t="s">
        <v>132</v>
      </c>
      <c r="Q13" t="b">
        <f>IF(ISBLANK($L13),FALSE,ISNA(VLOOKUP($L13,'Requirements derivation'!$A$2:$A$193,1,FALSE)))</f>
        <v>0</v>
      </c>
      <c r="R13" t="b">
        <f>IF(ISBLANK($L13),FALSE,(ISBLANK(VLOOKUP($L13,'Requirements derivation'!$A$2:$B$193,2,FALSE))))</f>
        <v>0</v>
      </c>
      <c r="S13" t="b">
        <f>IF(ISBLANK($L13),FALSE,(ISBLANK(VLOOKUP($L13,'Requirements derivation'!$A$2:$C$193,3,FALSE))))</f>
        <v>0</v>
      </c>
    </row>
    <row r="14" spans="1:19" ht="97.5" customHeight="1" x14ac:dyDescent="0.25">
      <c r="A14" s="156"/>
      <c r="B14" s="157"/>
      <c r="C14" s="122" t="s">
        <v>116</v>
      </c>
      <c r="D14" s="123"/>
      <c r="E14" s="118" t="s">
        <v>117</v>
      </c>
      <c r="F14" s="119"/>
      <c r="G14" s="107" t="s">
        <v>32</v>
      </c>
      <c r="H14" s="108"/>
      <c r="I14" s="118" t="s">
        <v>142</v>
      </c>
      <c r="J14" s="199"/>
      <c r="K14" s="119"/>
      <c r="L14" s="61" t="s">
        <v>74</v>
      </c>
      <c r="Q14" t="b">
        <f>IF(ISBLANK($L14),FALSE,ISNA(VLOOKUP($L14,'Requirements derivation'!$A$2:$A$193,1,FALSE)))</f>
        <v>0</v>
      </c>
      <c r="R14" t="b">
        <f>IF(ISBLANK($L14),FALSE,(ISBLANK(VLOOKUP($L14,'Requirements derivation'!$A$2:$B$193,2,FALSE))))</f>
        <v>0</v>
      </c>
      <c r="S14" t="b">
        <f>IF(ISBLANK($L14),FALSE,(ISBLANK(VLOOKUP($L14,'Requirements derivation'!$A$2:$C$193,3,FALSE))))</f>
        <v>0</v>
      </c>
    </row>
    <row r="15" spans="1:19" ht="51" customHeight="1" x14ac:dyDescent="0.25">
      <c r="A15" s="156"/>
      <c r="B15" s="157"/>
      <c r="C15" s="124" t="s">
        <v>59</v>
      </c>
      <c r="D15" s="126"/>
      <c r="E15" s="105" t="s">
        <v>118</v>
      </c>
      <c r="F15" s="106"/>
      <c r="G15" s="107" t="s">
        <v>32</v>
      </c>
      <c r="H15" s="108"/>
      <c r="I15" s="105" t="s">
        <v>60</v>
      </c>
      <c r="J15" s="109"/>
      <c r="K15" s="106"/>
      <c r="L15" s="61" t="s">
        <v>133</v>
      </c>
      <c r="Q15" t="b">
        <f>IF(ISBLANK($L15),FALSE,ISNA(VLOOKUP($L15,'Requirements derivation'!$A$2:$A$193,1,FALSE)))</f>
        <v>0</v>
      </c>
      <c r="R15" t="b">
        <f>IF(ISBLANK($L15),FALSE,(ISBLANK(VLOOKUP($L15,'Requirements derivation'!$A$2:$B$193,2,FALSE))))</f>
        <v>0</v>
      </c>
      <c r="S15" t="b">
        <f>IF(ISBLANK($L15),FALSE,(ISBLANK(VLOOKUP($L15,'Requirements derivation'!$A$2:$C$193,3,FALSE))))</f>
        <v>0</v>
      </c>
    </row>
    <row r="16" spans="1:19" ht="66.75" customHeight="1" x14ac:dyDescent="0.25">
      <c r="A16" s="156"/>
      <c r="B16" s="157"/>
      <c r="C16" s="130"/>
      <c r="D16" s="132"/>
      <c r="E16" s="160"/>
      <c r="F16" s="162"/>
      <c r="G16" s="163"/>
      <c r="H16" s="164"/>
      <c r="I16" s="160"/>
      <c r="J16" s="161"/>
      <c r="K16" s="162"/>
      <c r="L16" s="61" t="s">
        <v>134</v>
      </c>
      <c r="Q16" t="b">
        <f>IF(ISBLANK($L16),FALSE,ISNA(VLOOKUP($L16,'Requirements derivation'!$A$2:$A$193,1,FALSE)))</f>
        <v>0</v>
      </c>
      <c r="R16" t="b">
        <f>IF(ISBLANK($L16),FALSE,(ISBLANK(VLOOKUP($L16,'Requirements derivation'!$A$2:$B$193,2,FALSE))))</f>
        <v>0</v>
      </c>
      <c r="S16" t="b">
        <f>IF(ISBLANK($L16),FALSE,(ISBLANK(VLOOKUP($L16,'Requirements derivation'!$A$2:$C$193,3,FALSE))))</f>
        <v>0</v>
      </c>
    </row>
    <row r="17" spans="1:19" x14ac:dyDescent="0.25">
      <c r="A17" s="58" t="s">
        <v>35</v>
      </c>
      <c r="B17" s="68"/>
      <c r="C17" s="69"/>
      <c r="D17" s="69"/>
      <c r="E17" s="69"/>
      <c r="F17" s="69"/>
      <c r="G17" s="69"/>
      <c r="H17" s="69"/>
      <c r="I17" s="69"/>
      <c r="J17" s="69"/>
      <c r="K17" s="69"/>
      <c r="L17" s="70"/>
      <c r="Q17" t="b">
        <f>IF(ISBLANK($L17),FALSE,ISNA(VLOOKUP($L17,'Requirements derivation'!$A$2:$A$193,1,FALSE)))</f>
        <v>0</v>
      </c>
      <c r="R17" t="b">
        <f>IF(ISBLANK($L17),FALSE,(ISBLANK(VLOOKUP($L17,'Requirements derivation'!$A$2:$B$193,2,FALSE))))</f>
        <v>0</v>
      </c>
      <c r="S17" t="b">
        <f>IF(ISBLANK($L17),FALSE,(ISBLANK(VLOOKUP($L17,'Requirements derivation'!$A$2:$C$193,3,FALSE))))</f>
        <v>0</v>
      </c>
    </row>
    <row r="18" spans="1:19" ht="52.5" customHeight="1" x14ac:dyDescent="0.25">
      <c r="A18" s="110" t="s">
        <v>36</v>
      </c>
      <c r="B18" s="111"/>
      <c r="C18" s="124" t="s">
        <v>119</v>
      </c>
      <c r="D18" s="126"/>
      <c r="E18" s="122" t="s">
        <v>43</v>
      </c>
      <c r="F18" s="123"/>
      <c r="G18" s="124" t="s">
        <v>120</v>
      </c>
      <c r="H18" s="126"/>
      <c r="I18" s="124" t="s">
        <v>141</v>
      </c>
      <c r="J18" s="125"/>
      <c r="K18" s="126"/>
      <c r="L18" s="64" t="s">
        <v>66</v>
      </c>
      <c r="Q18" t="b">
        <f>IF(ISBLANK($L18),FALSE,ISNA(VLOOKUP($L18,'Requirements derivation'!$A$2:$A$193,1,FALSE)))</f>
        <v>0</v>
      </c>
      <c r="R18" t="b">
        <f>IF(ISBLANK($L18),FALSE,(ISBLANK(VLOOKUP($L18,'Requirements derivation'!$A$2:$B$193,2,FALSE))))</f>
        <v>0</v>
      </c>
      <c r="S18" t="b">
        <f>IF(ISBLANK($L18),FALSE,(ISBLANK(VLOOKUP($L18,'Requirements derivation'!$A$2:$C$193,3,FALSE))))</f>
        <v>0</v>
      </c>
    </row>
    <row r="19" spans="1:19" ht="39.75" customHeight="1" x14ac:dyDescent="0.25">
      <c r="A19" s="112"/>
      <c r="B19" s="113"/>
      <c r="C19" s="127"/>
      <c r="D19" s="129"/>
      <c r="E19" s="120" t="s">
        <v>45</v>
      </c>
      <c r="F19" s="121"/>
      <c r="G19" s="127"/>
      <c r="H19" s="129"/>
      <c r="I19" s="127"/>
      <c r="J19" s="128"/>
      <c r="K19" s="129"/>
      <c r="L19" s="100" t="s">
        <v>72</v>
      </c>
      <c r="Q19" t="b">
        <f>IF(ISBLANK($L19),FALSE,ISNA(VLOOKUP($L19,'Requirements derivation'!$A$2:$A$193,1,FALSE)))</f>
        <v>0</v>
      </c>
      <c r="R19" t="b">
        <f>IF(ISBLANK($L19),FALSE,(ISBLANK(VLOOKUP($L19,'Requirements derivation'!$A$2:$B$193,2,FALSE))))</f>
        <v>0</v>
      </c>
      <c r="S19" t="b">
        <f>IF(ISBLANK($L19),FALSE,(ISBLANK(VLOOKUP($L19,'Requirements derivation'!$A$2:$C$193,3,FALSE))))</f>
        <v>0</v>
      </c>
    </row>
    <row r="20" spans="1:19" ht="64.5" customHeight="1" x14ac:dyDescent="0.25">
      <c r="A20" s="112"/>
      <c r="B20" s="113"/>
      <c r="C20" s="130"/>
      <c r="D20" s="132"/>
      <c r="E20" s="118" t="s">
        <v>121</v>
      </c>
      <c r="F20" s="119"/>
      <c r="G20" s="130"/>
      <c r="H20" s="132"/>
      <c r="I20" s="130"/>
      <c r="J20" s="131"/>
      <c r="K20" s="132"/>
      <c r="L20" s="101"/>
      <c r="Q20" t="b">
        <f>IF(ISBLANK($L20),FALSE,ISNA(VLOOKUP($L20,'Requirements derivation'!$A$2:$A$193,1,FALSE)))</f>
        <v>0</v>
      </c>
      <c r="R20" t="b">
        <f>IF(ISBLANK($L20),FALSE,(ISBLANK(VLOOKUP($L20,'Requirements derivation'!$A$2:$B$193,2,FALSE))))</f>
        <v>0</v>
      </c>
      <c r="S20" t="b">
        <f>IF(ISBLANK($L20),FALSE,(ISBLANK(VLOOKUP($L20,'Requirements derivation'!$A$2:$C$193,3,FALSE))))</f>
        <v>0</v>
      </c>
    </row>
    <row r="21" spans="1:19" ht="65.25" customHeight="1" x14ac:dyDescent="0.25">
      <c r="A21" s="112"/>
      <c r="B21" s="113"/>
      <c r="C21" s="124" t="s">
        <v>122</v>
      </c>
      <c r="D21" s="126"/>
      <c r="E21" s="122" t="s">
        <v>43</v>
      </c>
      <c r="F21" s="123"/>
      <c r="G21" s="203" t="s">
        <v>32</v>
      </c>
      <c r="H21" s="204"/>
      <c r="I21" s="124" t="s">
        <v>140</v>
      </c>
      <c r="J21" s="125"/>
      <c r="K21" s="126"/>
      <c r="L21" s="64" t="s">
        <v>67</v>
      </c>
      <c r="Q21" t="b">
        <f>IF(ISBLANK($L21),FALSE,ISNA(VLOOKUP($L21,'Requirements derivation'!$A$2:$A$193,1,FALSE)))</f>
        <v>0</v>
      </c>
      <c r="R21" t="b">
        <f>IF(ISBLANK($L21),FALSE,(ISBLANK(VLOOKUP($L21,'Requirements derivation'!$A$2:$B$193,2,FALSE))))</f>
        <v>0</v>
      </c>
      <c r="S21" t="b">
        <f>IF(ISBLANK($L21),FALSE,(ISBLANK(VLOOKUP($L21,'Requirements derivation'!$A$2:$C$193,3,FALSE))))</f>
        <v>0</v>
      </c>
    </row>
    <row r="22" spans="1:19" ht="65.25" customHeight="1" x14ac:dyDescent="0.25">
      <c r="A22" s="112"/>
      <c r="B22" s="113"/>
      <c r="C22" s="130"/>
      <c r="D22" s="132"/>
      <c r="E22" s="118" t="s">
        <v>121</v>
      </c>
      <c r="F22" s="119"/>
      <c r="G22" s="203" t="s">
        <v>32</v>
      </c>
      <c r="H22" s="204"/>
      <c r="I22" s="130"/>
      <c r="J22" s="131"/>
      <c r="K22" s="132"/>
      <c r="L22" s="72" t="s">
        <v>72</v>
      </c>
      <c r="Q22" t="b">
        <f>IF(ISBLANK($L22),FALSE,ISNA(VLOOKUP($L22,'Requirements derivation'!$A$2:$A$193,1,FALSE)))</f>
        <v>0</v>
      </c>
      <c r="R22" t="b">
        <f>IF(ISBLANK($L22),FALSE,(ISBLANK(VLOOKUP($L22,'Requirements derivation'!$A$2:$B$193,2,FALSE))))</f>
        <v>0</v>
      </c>
      <c r="S22" t="b">
        <f>IF(ISBLANK($L22),FALSE,(ISBLANK(VLOOKUP($L22,'Requirements derivation'!$A$2:$C$193,3,FALSE))))</f>
        <v>0</v>
      </c>
    </row>
    <row r="23" spans="1:19" ht="50.25" customHeight="1" x14ac:dyDescent="0.25">
      <c r="A23" s="112"/>
      <c r="B23" s="113"/>
      <c r="C23" s="124" t="s">
        <v>123</v>
      </c>
      <c r="D23" s="126"/>
      <c r="E23" s="133" t="s">
        <v>43</v>
      </c>
      <c r="F23" s="134"/>
      <c r="G23" s="122" t="s">
        <v>41</v>
      </c>
      <c r="H23" s="123"/>
      <c r="I23" s="124" t="s">
        <v>53</v>
      </c>
      <c r="J23" s="125"/>
      <c r="K23" s="126"/>
      <c r="L23" s="100" t="s">
        <v>68</v>
      </c>
      <c r="Q23" t="b">
        <f>IF(ISBLANK($L23),FALSE,ISNA(VLOOKUP($L23,'Requirements derivation'!$A$2:$A$193,1,FALSE)))</f>
        <v>0</v>
      </c>
      <c r="R23" t="b">
        <f>IF(ISBLANK($L23),FALSE,(ISBLANK(VLOOKUP($L23,'Requirements derivation'!$A$2:$B$193,2,FALSE))))</f>
        <v>0</v>
      </c>
      <c r="S23" t="b">
        <f>IF(ISBLANK($L23),FALSE,(ISBLANK(VLOOKUP($L23,'Requirements derivation'!$A$2:$C$193,3,FALSE))))</f>
        <v>0</v>
      </c>
    </row>
    <row r="24" spans="1:19" ht="62.25" customHeight="1" x14ac:dyDescent="0.25">
      <c r="A24" s="112"/>
      <c r="B24" s="113"/>
      <c r="C24" s="127"/>
      <c r="D24" s="129"/>
      <c r="E24" s="135"/>
      <c r="F24" s="136"/>
      <c r="G24" s="122" t="s">
        <v>37</v>
      </c>
      <c r="H24" s="123"/>
      <c r="I24" s="127"/>
      <c r="J24" s="128"/>
      <c r="K24" s="129"/>
      <c r="L24" s="102"/>
      <c r="Q24" t="b">
        <f>IF(ISBLANK($L24),FALSE,ISNA(VLOOKUP($L24,'Requirements derivation'!$A$2:$A$193,1,FALSE)))</f>
        <v>0</v>
      </c>
      <c r="R24" t="b">
        <f>IF(ISBLANK($L24),FALSE,(ISBLANK(VLOOKUP($L24,'Requirements derivation'!$A$2:$B$193,2,FALSE))))</f>
        <v>0</v>
      </c>
      <c r="S24" t="b">
        <f>IF(ISBLANK($L24),FALSE,(ISBLANK(VLOOKUP($L24,'Requirements derivation'!$A$2:$C$193,3,FALSE))))</f>
        <v>0</v>
      </c>
    </row>
    <row r="25" spans="1:19" ht="69" customHeight="1" x14ac:dyDescent="0.25">
      <c r="A25" s="112"/>
      <c r="B25" s="113"/>
      <c r="C25" s="127"/>
      <c r="D25" s="129"/>
      <c r="E25" s="137"/>
      <c r="F25" s="138"/>
      <c r="G25" s="120" t="s">
        <v>40</v>
      </c>
      <c r="H25" s="121"/>
      <c r="I25" s="127"/>
      <c r="J25" s="128"/>
      <c r="K25" s="129"/>
      <c r="L25" s="102"/>
      <c r="Q25" t="b">
        <f>IF(ISBLANK($L25),FALSE,ISNA(VLOOKUP($L25,'Requirements derivation'!$A$2:$A$193,1,FALSE)))</f>
        <v>0</v>
      </c>
      <c r="R25" t="b">
        <f>IF(ISBLANK($L25),FALSE,(ISBLANK(VLOOKUP($L25,'Requirements derivation'!$A$2:$B$193,2,FALSE))))</f>
        <v>0</v>
      </c>
      <c r="S25" t="b">
        <f>IF(ISBLANK($L25),FALSE,(ISBLANK(VLOOKUP($L25,'Requirements derivation'!$A$2:$C$193,3,FALSE))))</f>
        <v>0</v>
      </c>
    </row>
    <row r="26" spans="1:19" ht="68.25" customHeight="1" x14ac:dyDescent="0.25">
      <c r="A26" s="112"/>
      <c r="B26" s="113"/>
      <c r="C26" s="127"/>
      <c r="D26" s="129"/>
      <c r="E26" s="201" t="s">
        <v>42</v>
      </c>
      <c r="F26" s="202"/>
      <c r="G26" s="116" t="s">
        <v>38</v>
      </c>
      <c r="H26" s="117"/>
      <c r="I26" s="127"/>
      <c r="J26" s="128"/>
      <c r="K26" s="129"/>
      <c r="L26" s="100" t="s">
        <v>72</v>
      </c>
      <c r="Q26" t="b">
        <f>IF(ISBLANK($L26),FALSE,ISNA(VLOOKUP($L26,'Requirements derivation'!$A$2:$A$193,1,FALSE)))</f>
        <v>0</v>
      </c>
      <c r="R26" t="b">
        <f>IF(ISBLANK($L26),FALSE,(ISBLANK(VLOOKUP($L26,'Requirements derivation'!$A$2:$B$193,2,FALSE))))</f>
        <v>0</v>
      </c>
      <c r="S26" t="b">
        <f>IF(ISBLANK($L26),FALSE,(ISBLANK(VLOOKUP($L26,'Requirements derivation'!$A$2:$C$193,3,FALSE))))</f>
        <v>0</v>
      </c>
    </row>
    <row r="27" spans="1:19" ht="77.25" customHeight="1" x14ac:dyDescent="0.25">
      <c r="A27" s="112"/>
      <c r="B27" s="113"/>
      <c r="C27" s="130"/>
      <c r="D27" s="132"/>
      <c r="E27" s="120" t="s">
        <v>121</v>
      </c>
      <c r="F27" s="121"/>
      <c r="G27" s="118" t="s">
        <v>39</v>
      </c>
      <c r="H27" s="119"/>
      <c r="I27" s="130"/>
      <c r="J27" s="131"/>
      <c r="K27" s="132"/>
      <c r="L27" s="101"/>
      <c r="Q27" t="b">
        <f>IF(ISBLANK($L27),FALSE,ISNA(VLOOKUP($L27,'Requirements derivation'!$A$2:$A$193,1,FALSE)))</f>
        <v>0</v>
      </c>
      <c r="R27" t="b">
        <f>IF(ISBLANK($L27),FALSE,(ISBLANK(VLOOKUP($L27,'Requirements derivation'!$A$2:$B$193,2,FALSE))))</f>
        <v>0</v>
      </c>
      <c r="S27" t="b">
        <f>IF(ISBLANK($L27),FALSE,(ISBLANK(VLOOKUP($L27,'Requirements derivation'!$A$2:$C$193,3,FALSE))))</f>
        <v>0</v>
      </c>
    </row>
    <row r="28" spans="1:19" ht="85.5" customHeight="1" x14ac:dyDescent="0.25">
      <c r="A28" s="112"/>
      <c r="B28" s="113"/>
      <c r="C28" s="124" t="s">
        <v>124</v>
      </c>
      <c r="D28" s="126"/>
      <c r="E28" s="120" t="s">
        <v>43</v>
      </c>
      <c r="F28" s="121"/>
      <c r="G28" s="122" t="s">
        <v>54</v>
      </c>
      <c r="H28" s="200"/>
      <c r="I28" s="124" t="s">
        <v>51</v>
      </c>
      <c r="J28" s="125"/>
      <c r="K28" s="126"/>
      <c r="L28" s="64" t="s">
        <v>69</v>
      </c>
      <c r="Q28" t="b">
        <f>IF(ISBLANK($L28),FALSE,ISNA(VLOOKUP($L28,'Requirements derivation'!$A$2:$A$193,1,FALSE)))</f>
        <v>0</v>
      </c>
      <c r="R28" t="b">
        <f>IF(ISBLANK($L28),FALSE,(ISBLANK(VLOOKUP($L28,'Requirements derivation'!$A$2:$B$193,2,FALSE))))</f>
        <v>0</v>
      </c>
      <c r="S28" t="b">
        <f>IF(ISBLANK($L28),FALSE,(ISBLANK(VLOOKUP($L28,'Requirements derivation'!$A$2:$C$193,3,FALSE))))</f>
        <v>0</v>
      </c>
    </row>
    <row r="29" spans="1:19" ht="62.25" customHeight="1" x14ac:dyDescent="0.25">
      <c r="A29" s="112"/>
      <c r="B29" s="113"/>
      <c r="C29" s="127"/>
      <c r="D29" s="129"/>
      <c r="E29" s="120" t="s">
        <v>42</v>
      </c>
      <c r="F29" s="121"/>
      <c r="G29" s="120" t="s">
        <v>49</v>
      </c>
      <c r="H29" s="121"/>
      <c r="I29" s="127"/>
      <c r="J29" s="128"/>
      <c r="K29" s="129"/>
      <c r="L29" s="100" t="s">
        <v>72</v>
      </c>
      <c r="Q29" t="b">
        <f>IF(ISBLANK($L29),FALSE,ISNA(VLOOKUP($L29,'Requirements derivation'!$A$2:$A$193,1,FALSE)))</f>
        <v>0</v>
      </c>
      <c r="R29" t="b">
        <f>IF(ISBLANK($L29),FALSE,(ISBLANK(VLOOKUP($L29,'Requirements derivation'!$A$2:$B$193,2,FALSE))))</f>
        <v>0</v>
      </c>
      <c r="S29" t="b">
        <f>IF(ISBLANK($L29),FALSE,(ISBLANK(VLOOKUP($L29,'Requirements derivation'!$A$2:$C$193,3,FALSE))))</f>
        <v>0</v>
      </c>
    </row>
    <row r="30" spans="1:19" ht="92.25" customHeight="1" x14ac:dyDescent="0.25">
      <c r="A30" s="112"/>
      <c r="B30" s="113"/>
      <c r="C30" s="130"/>
      <c r="D30" s="132"/>
      <c r="E30" s="120" t="s">
        <v>121</v>
      </c>
      <c r="F30" s="121"/>
      <c r="G30" s="122" t="s">
        <v>50</v>
      </c>
      <c r="H30" s="123"/>
      <c r="I30" s="130"/>
      <c r="J30" s="131"/>
      <c r="K30" s="132"/>
      <c r="L30" s="101"/>
      <c r="Q30" t="b">
        <f>IF(ISBLANK($L30),FALSE,ISNA(VLOOKUP($L30,'Requirements derivation'!$A$2:$A$193,1,FALSE)))</f>
        <v>0</v>
      </c>
      <c r="R30" t="b">
        <f>IF(ISBLANK($L30),FALSE,(ISBLANK(VLOOKUP($L30,'Requirements derivation'!$A$2:$B$193,2,FALSE))))</f>
        <v>0</v>
      </c>
      <c r="S30" t="b">
        <f>IF(ISBLANK($L30),FALSE,(ISBLANK(VLOOKUP($L30,'Requirements derivation'!$A$2:$C$193,3,FALSE))))</f>
        <v>0</v>
      </c>
    </row>
    <row r="31" spans="1:19" ht="81" customHeight="1" x14ac:dyDescent="0.25">
      <c r="A31" s="112"/>
      <c r="B31" s="113"/>
      <c r="C31" s="124" t="s">
        <v>125</v>
      </c>
      <c r="D31" s="126"/>
      <c r="E31" s="120" t="s">
        <v>44</v>
      </c>
      <c r="F31" s="121"/>
      <c r="G31" s="122" t="s">
        <v>126</v>
      </c>
      <c r="H31" s="123"/>
      <c r="I31" s="124" t="s">
        <v>139</v>
      </c>
      <c r="J31" s="125"/>
      <c r="K31" s="126"/>
      <c r="L31" s="64" t="s">
        <v>70</v>
      </c>
      <c r="Q31" t="b">
        <f>IF(ISBLANK($L31),FALSE,ISNA(VLOOKUP($L31,'Requirements derivation'!$A$2:$A$193,1,FALSE)))</f>
        <v>0</v>
      </c>
      <c r="R31" t="b">
        <f>IF(ISBLANK($L31),FALSE,(ISBLANK(VLOOKUP($L31,'Requirements derivation'!$A$2:$B$193,2,FALSE))))</f>
        <v>0</v>
      </c>
      <c r="S31" t="b">
        <f>IF(ISBLANK($L31),FALSE,(ISBLANK(VLOOKUP($L31,'Requirements derivation'!$A$2:$C$193,3,FALSE))))</f>
        <v>0</v>
      </c>
    </row>
    <row r="32" spans="1:19" ht="78.75" customHeight="1" x14ac:dyDescent="0.25">
      <c r="A32" s="112"/>
      <c r="B32" s="113"/>
      <c r="C32" s="127"/>
      <c r="D32" s="129"/>
      <c r="E32" s="118" t="s">
        <v>121</v>
      </c>
      <c r="F32" s="119"/>
      <c r="G32" s="122" t="s">
        <v>126</v>
      </c>
      <c r="H32" s="123"/>
      <c r="I32" s="127"/>
      <c r="J32" s="128"/>
      <c r="K32" s="129"/>
      <c r="L32" s="100" t="s">
        <v>72</v>
      </c>
      <c r="Q32" t="b">
        <f>IF(ISBLANK($L32),FALSE,ISNA(VLOOKUP($L32,'Requirements derivation'!$A$2:$A$193,1,FALSE)))</f>
        <v>0</v>
      </c>
      <c r="R32" t="b">
        <f>IF(ISBLANK($L32),FALSE,(ISBLANK(VLOOKUP($L32,'Requirements derivation'!$A$2:$B$193,2,FALSE))))</f>
        <v>0</v>
      </c>
      <c r="S32" t="b">
        <f>IF(ISBLANK($L32),FALSE,(ISBLANK(VLOOKUP($L32,'Requirements derivation'!$A$2:$C$193,3,FALSE))))</f>
        <v>0</v>
      </c>
    </row>
    <row r="33" spans="1:19" ht="59.25" customHeight="1" x14ac:dyDescent="0.25">
      <c r="A33" s="112"/>
      <c r="B33" s="113"/>
      <c r="C33" s="130"/>
      <c r="D33" s="132"/>
      <c r="E33" s="120" t="s">
        <v>42</v>
      </c>
      <c r="F33" s="121"/>
      <c r="G33" s="122" t="s">
        <v>55</v>
      </c>
      <c r="H33" s="123"/>
      <c r="I33" s="130"/>
      <c r="J33" s="131"/>
      <c r="K33" s="132"/>
      <c r="L33" s="101"/>
      <c r="Q33" t="b">
        <f>IF(ISBLANK($L33),FALSE,ISNA(VLOOKUP($L33,'Requirements derivation'!$A$2:$A$193,1,FALSE)))</f>
        <v>0</v>
      </c>
      <c r="R33" t="b">
        <f>IF(ISBLANK($L33),FALSE,(ISBLANK(VLOOKUP($L33,'Requirements derivation'!$A$2:$B$193,2,FALSE))))</f>
        <v>0</v>
      </c>
      <c r="S33" t="b">
        <f>IF(ISBLANK($L33),FALSE,(ISBLANK(VLOOKUP($L33,'Requirements derivation'!$A$2:$C$193,3,FALSE))))</f>
        <v>0</v>
      </c>
    </row>
    <row r="34" spans="1:19" ht="63" customHeight="1" x14ac:dyDescent="0.25">
      <c r="A34" s="112"/>
      <c r="B34" s="113"/>
      <c r="C34" s="133" t="s">
        <v>127</v>
      </c>
      <c r="D34" s="134"/>
      <c r="E34" s="118" t="s">
        <v>44</v>
      </c>
      <c r="F34" s="119"/>
      <c r="G34" s="105" t="s">
        <v>47</v>
      </c>
      <c r="H34" s="106"/>
      <c r="I34" s="133" t="s">
        <v>52</v>
      </c>
      <c r="J34" s="139"/>
      <c r="K34" s="139"/>
      <c r="L34" s="63" t="s">
        <v>137</v>
      </c>
      <c r="Q34" t="b">
        <f>IF(ISBLANK($L34),FALSE,ISNA(VLOOKUP($L34,'Requirements derivation'!$A$2:$A$193,1,FALSE)))</f>
        <v>0</v>
      </c>
      <c r="R34" t="b">
        <f>IF(ISBLANK($L34),FALSE,(ISBLANK(VLOOKUP($L34,'Requirements derivation'!$A$2:$B$193,2,FALSE))))</f>
        <v>0</v>
      </c>
      <c r="S34" t="b">
        <f>IF(ISBLANK($L34),FALSE,(ISBLANK(VLOOKUP($L34,'Requirements derivation'!$A$2:$C$193,3,FALSE))))</f>
        <v>0</v>
      </c>
    </row>
    <row r="35" spans="1:19" ht="48.75" customHeight="1" x14ac:dyDescent="0.25">
      <c r="A35" s="112"/>
      <c r="B35" s="113"/>
      <c r="C35" s="135"/>
      <c r="D35" s="136"/>
      <c r="E35" s="118" t="s">
        <v>46</v>
      </c>
      <c r="F35" s="119"/>
      <c r="G35" s="160"/>
      <c r="H35" s="162"/>
      <c r="I35" s="135"/>
      <c r="J35" s="140"/>
      <c r="K35" s="140"/>
      <c r="L35" s="103" t="s">
        <v>72</v>
      </c>
      <c r="Q35" t="b">
        <f>IF(ISBLANK($L35),FALSE,ISNA(VLOOKUP($L35,'Requirements derivation'!$A$2:$A$193,1,FALSE)))</f>
        <v>0</v>
      </c>
      <c r="R35" t="b">
        <f>IF(ISBLANK($L35),FALSE,(ISBLANK(VLOOKUP($L35,'Requirements derivation'!$A$2:$B$193,2,FALSE))))</f>
        <v>0</v>
      </c>
      <c r="S35" t="b">
        <f>IF(ISBLANK($L35),FALSE,(ISBLANK(VLOOKUP($L35,'Requirements derivation'!$A$2:$C$193,3,FALSE))))</f>
        <v>0</v>
      </c>
    </row>
    <row r="36" spans="1:19" ht="71.25" customHeight="1" x14ac:dyDescent="0.25">
      <c r="A36" s="112"/>
      <c r="B36" s="113"/>
      <c r="C36" s="137"/>
      <c r="D36" s="138"/>
      <c r="E36" s="118" t="s">
        <v>121</v>
      </c>
      <c r="F36" s="119"/>
      <c r="G36" s="118" t="s">
        <v>48</v>
      </c>
      <c r="H36" s="119"/>
      <c r="I36" s="137"/>
      <c r="J36" s="141"/>
      <c r="K36" s="141"/>
      <c r="L36" s="104"/>
      <c r="Q36" t="b">
        <f>IF(ISBLANK($L36),FALSE,ISNA(VLOOKUP($L36,'Requirements derivation'!$A$2:$A$193,1,FALSE)))</f>
        <v>0</v>
      </c>
      <c r="R36" t="b">
        <f>IF(ISBLANK($L36),FALSE,(ISBLANK(VLOOKUP($L36,'Requirements derivation'!$A$2:$B$193,2,FALSE))))</f>
        <v>0</v>
      </c>
      <c r="S36" t="b">
        <f>IF(ISBLANK($L36),FALSE,(ISBLANK(VLOOKUP($L36,'Requirements derivation'!$A$2:$C$193,3,FALSE))))</f>
        <v>0</v>
      </c>
    </row>
    <row r="37" spans="1:19" ht="81" customHeight="1" x14ac:dyDescent="0.25">
      <c r="A37" s="114"/>
      <c r="B37" s="115"/>
      <c r="C37" s="105" t="s">
        <v>128</v>
      </c>
      <c r="D37" s="106"/>
      <c r="E37" s="105" t="s">
        <v>129</v>
      </c>
      <c r="F37" s="106"/>
      <c r="G37" s="107" t="s">
        <v>32</v>
      </c>
      <c r="H37" s="108"/>
      <c r="I37" s="105" t="s">
        <v>138</v>
      </c>
      <c r="J37" s="109"/>
      <c r="K37" s="106"/>
      <c r="L37" s="61" t="s">
        <v>73</v>
      </c>
      <c r="Q37" t="b">
        <f>IF(ISBLANK($L37),FALSE,ISNA(VLOOKUP($L37,'Requirements derivation'!$A$2:$A$193,1,FALSE)))</f>
        <v>0</v>
      </c>
      <c r="R37" t="b">
        <f>IF(ISBLANK($L37),FALSE,(ISBLANK(VLOOKUP($L37,'Requirements derivation'!$A$2:$B$193,2,FALSE))))</f>
        <v>0</v>
      </c>
      <c r="S37" t="b">
        <f>IF(ISBLANK($L37),FALSE,(ISBLANK(VLOOKUP($L37,'Requirements derivation'!$A$2:$C$193,3,FALSE))))</f>
        <v>0</v>
      </c>
    </row>
    <row r="38" spans="1:19" x14ac:dyDescent="0.25">
      <c r="A38" s="37" t="s">
        <v>11</v>
      </c>
      <c r="B38" s="32"/>
      <c r="C38" s="32"/>
      <c r="D38" s="32"/>
      <c r="E38" s="32"/>
      <c r="F38" s="32"/>
      <c r="G38" s="32"/>
      <c r="H38" s="32"/>
      <c r="I38" s="32"/>
      <c r="J38" s="32"/>
      <c r="K38" s="32"/>
      <c r="L38" s="33"/>
    </row>
  </sheetData>
  <dataConsolidate/>
  <mergeCells count="86">
    <mergeCell ref="I21:K22"/>
    <mergeCell ref="G21:H21"/>
    <mergeCell ref="G22:H22"/>
    <mergeCell ref="G18:H20"/>
    <mergeCell ref="I18:K20"/>
    <mergeCell ref="E21:F21"/>
    <mergeCell ref="E19:F19"/>
    <mergeCell ref="C18:D20"/>
    <mergeCell ref="E20:F20"/>
    <mergeCell ref="E30:F30"/>
    <mergeCell ref="E23:F25"/>
    <mergeCell ref="E27:F27"/>
    <mergeCell ref="E26:F26"/>
    <mergeCell ref="C28:D30"/>
    <mergeCell ref="E28:F28"/>
    <mergeCell ref="E22:F22"/>
    <mergeCell ref="E18:F18"/>
    <mergeCell ref="C21:D22"/>
    <mergeCell ref="C23:D27"/>
    <mergeCell ref="E29:F29"/>
    <mergeCell ref="G36:H36"/>
    <mergeCell ref="G34:H35"/>
    <mergeCell ref="E31:F31"/>
    <mergeCell ref="I28:K30"/>
    <mergeCell ref="G30:H30"/>
    <mergeCell ref="G31:H31"/>
    <mergeCell ref="G29:H29"/>
    <mergeCell ref="G28:H28"/>
    <mergeCell ref="C31:D33"/>
    <mergeCell ref="I31:K33"/>
    <mergeCell ref="E32:F32"/>
    <mergeCell ref="G33:H33"/>
    <mergeCell ref="E35:F35"/>
    <mergeCell ref="E34:F34"/>
    <mergeCell ref="L19:L20"/>
    <mergeCell ref="Q1:S6"/>
    <mergeCell ref="E5:F6"/>
    <mergeCell ref="G5:H6"/>
    <mergeCell ref="I3:L3"/>
    <mergeCell ref="E8:F12"/>
    <mergeCell ref="I5:K6"/>
    <mergeCell ref="L5:L6"/>
    <mergeCell ref="I14:K14"/>
    <mergeCell ref="I13:K13"/>
    <mergeCell ref="A1:B4"/>
    <mergeCell ref="I1:J1"/>
    <mergeCell ref="I2:L2"/>
    <mergeCell ref="I4:K4"/>
    <mergeCell ref="C2:H3"/>
    <mergeCell ref="A5:B6"/>
    <mergeCell ref="C5:D6"/>
    <mergeCell ref="C8:D12"/>
    <mergeCell ref="G8:H12"/>
    <mergeCell ref="I8:K12"/>
    <mergeCell ref="A8:B16"/>
    <mergeCell ref="G14:H14"/>
    <mergeCell ref="G13:H13"/>
    <mergeCell ref="E13:F13"/>
    <mergeCell ref="C15:D16"/>
    <mergeCell ref="C13:D13"/>
    <mergeCell ref="C14:D14"/>
    <mergeCell ref="E14:F14"/>
    <mergeCell ref="I15:K16"/>
    <mergeCell ref="E15:F16"/>
    <mergeCell ref="G15:H16"/>
    <mergeCell ref="C37:D37"/>
    <mergeCell ref="E37:F37"/>
    <mergeCell ref="G37:H37"/>
    <mergeCell ref="I37:K37"/>
    <mergeCell ref="A18:B37"/>
    <mergeCell ref="G26:H26"/>
    <mergeCell ref="G27:H27"/>
    <mergeCell ref="G25:H25"/>
    <mergeCell ref="G23:H23"/>
    <mergeCell ref="G24:H24"/>
    <mergeCell ref="I23:K27"/>
    <mergeCell ref="E36:F36"/>
    <mergeCell ref="C34:D36"/>
    <mergeCell ref="I34:K36"/>
    <mergeCell ref="E33:F33"/>
    <mergeCell ref="G32:H32"/>
    <mergeCell ref="L26:L27"/>
    <mergeCell ref="L23:L25"/>
    <mergeCell ref="L32:L33"/>
    <mergeCell ref="L35:L36"/>
    <mergeCell ref="L29:L30"/>
  </mergeCells>
  <conditionalFormatting sqref="L8:L37">
    <cfRule type="expression" dxfId="3" priority="1">
      <formula>$Q8</formula>
    </cfRule>
    <cfRule type="expression" dxfId="2" priority="2">
      <formula>$R8</formula>
    </cfRule>
    <cfRule type="expression" dxfId="1" priority="3">
      <formula>$S8</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topLeftCell="A13" workbookViewId="0">
      <selection activeCell="A17" sqref="A17"/>
    </sheetView>
  </sheetViews>
  <sheetFormatPr defaultRowHeight="15" outlineLevelCol="1" x14ac:dyDescent="0.25"/>
  <cols>
    <col min="1" max="1" width="52.85546875" customWidth="1"/>
    <col min="2" max="2" width="35.5703125" customWidth="1"/>
    <col min="3" max="3" width="31.140625" customWidth="1"/>
    <col min="5" max="5" width="25.42578125" hidden="1" customWidth="1" outlineLevel="1"/>
    <col min="6" max="6" width="48" hidden="1" customWidth="1" outlineLevel="1"/>
    <col min="7" max="7" width="9.85546875" customWidth="1" collapsed="1"/>
  </cols>
  <sheetData>
    <row r="1" spans="1:6" ht="24" customHeight="1" thickBot="1" x14ac:dyDescent="0.3">
      <c r="A1" s="41" t="s">
        <v>13</v>
      </c>
      <c r="B1" s="42" t="s">
        <v>65</v>
      </c>
      <c r="C1" s="43" t="s">
        <v>12</v>
      </c>
      <c r="E1" s="77" t="s">
        <v>15</v>
      </c>
      <c r="F1" s="81" t="s">
        <v>85</v>
      </c>
    </row>
    <row r="2" spans="1:6" ht="60" x14ac:dyDescent="0.25">
      <c r="A2" s="62" t="s">
        <v>130</v>
      </c>
      <c r="B2" s="40" t="s">
        <v>95</v>
      </c>
      <c r="C2" s="75" t="s">
        <v>111</v>
      </c>
      <c r="D2" s="38"/>
      <c r="E2" s="39" t="b">
        <f t="shared" ref="E2:E17" si="0">IF(ISBLANK($B2), FALSE, MATCH($B2,$B$2:$B$193,0)&lt;&gt;(ROW()-1))</f>
        <v>0</v>
      </c>
      <c r="F2" s="78" t="s">
        <v>84</v>
      </c>
    </row>
    <row r="3" spans="1:6" ht="75" x14ac:dyDescent="0.25">
      <c r="A3" s="62" t="s">
        <v>131</v>
      </c>
      <c r="B3" s="40" t="s">
        <v>96</v>
      </c>
      <c r="C3" s="39" t="s">
        <v>111</v>
      </c>
      <c r="D3" s="38"/>
      <c r="E3" s="39" t="b">
        <f t="shared" si="0"/>
        <v>0</v>
      </c>
      <c r="F3" s="79" t="s">
        <v>84</v>
      </c>
    </row>
    <row r="4" spans="1:6" ht="60" x14ac:dyDescent="0.25">
      <c r="A4" s="62" t="s">
        <v>63</v>
      </c>
      <c r="B4" s="40" t="s">
        <v>97</v>
      </c>
      <c r="C4" s="39" t="s">
        <v>14</v>
      </c>
      <c r="E4" s="39" t="b">
        <f t="shared" si="0"/>
        <v>0</v>
      </c>
      <c r="F4" s="80" t="s">
        <v>63</v>
      </c>
    </row>
    <row r="5" spans="1:6" ht="75" x14ac:dyDescent="0.25">
      <c r="A5" s="62" t="s">
        <v>64</v>
      </c>
      <c r="B5" s="40" t="s">
        <v>98</v>
      </c>
      <c r="C5" s="39" t="s">
        <v>14</v>
      </c>
      <c r="E5" s="39" t="b">
        <f t="shared" si="0"/>
        <v>0</v>
      </c>
      <c r="F5" s="80" t="s">
        <v>83</v>
      </c>
    </row>
    <row r="6" spans="1:6" ht="90" x14ac:dyDescent="0.25">
      <c r="A6" s="62" t="s">
        <v>73</v>
      </c>
      <c r="B6" s="40" t="s">
        <v>99</v>
      </c>
      <c r="C6" s="39" t="s">
        <v>14</v>
      </c>
      <c r="D6" s="38"/>
      <c r="E6" s="39" t="b">
        <f t="shared" si="0"/>
        <v>0</v>
      </c>
      <c r="F6" s="80" t="s">
        <v>82</v>
      </c>
    </row>
    <row r="7" spans="1:6" ht="94.5" customHeight="1" x14ac:dyDescent="0.25">
      <c r="A7" s="62" t="s">
        <v>132</v>
      </c>
      <c r="B7" s="40" t="s">
        <v>100</v>
      </c>
      <c r="C7" s="39" t="s">
        <v>111</v>
      </c>
      <c r="D7" s="38"/>
      <c r="E7" s="39" t="b">
        <f t="shared" si="0"/>
        <v>0</v>
      </c>
      <c r="F7" s="79" t="s">
        <v>84</v>
      </c>
    </row>
    <row r="8" spans="1:6" ht="105" x14ac:dyDescent="0.25">
      <c r="A8" s="62" t="s">
        <v>74</v>
      </c>
      <c r="B8" s="40" t="s">
        <v>101</v>
      </c>
      <c r="C8" s="39" t="s">
        <v>14</v>
      </c>
      <c r="D8" s="38"/>
      <c r="E8" s="39" t="b">
        <f t="shared" si="0"/>
        <v>0</v>
      </c>
      <c r="F8" s="80" t="s">
        <v>75</v>
      </c>
    </row>
    <row r="9" spans="1:6" ht="45" x14ac:dyDescent="0.25">
      <c r="A9" s="62" t="s">
        <v>133</v>
      </c>
      <c r="B9" s="40" t="s">
        <v>102</v>
      </c>
      <c r="C9" s="39" t="s">
        <v>111</v>
      </c>
      <c r="D9" s="38"/>
      <c r="E9" s="39" t="b">
        <f t="shared" si="0"/>
        <v>0</v>
      </c>
      <c r="F9" s="79" t="s">
        <v>84</v>
      </c>
    </row>
    <row r="10" spans="1:6" ht="45" x14ac:dyDescent="0.25">
      <c r="A10" s="62" t="s">
        <v>134</v>
      </c>
      <c r="B10" s="40" t="s">
        <v>103</v>
      </c>
      <c r="C10" s="39" t="s">
        <v>111</v>
      </c>
      <c r="D10" s="38"/>
      <c r="E10" s="39" t="b">
        <f t="shared" si="0"/>
        <v>0</v>
      </c>
      <c r="F10" s="79" t="s">
        <v>84</v>
      </c>
    </row>
    <row r="11" spans="1:6" ht="90" x14ac:dyDescent="0.25">
      <c r="A11" s="62" t="s">
        <v>66</v>
      </c>
      <c r="B11" s="40" t="s">
        <v>104</v>
      </c>
      <c r="C11" s="76" t="s">
        <v>14</v>
      </c>
      <c r="E11" s="39" t="b">
        <f t="shared" si="0"/>
        <v>0</v>
      </c>
      <c r="F11" s="80" t="s">
        <v>76</v>
      </c>
    </row>
    <row r="12" spans="1:6" ht="120" x14ac:dyDescent="0.25">
      <c r="A12" s="62" t="s">
        <v>72</v>
      </c>
      <c r="B12" s="40" t="s">
        <v>105</v>
      </c>
      <c r="C12" s="76" t="s">
        <v>14</v>
      </c>
      <c r="E12" s="39" t="b">
        <f t="shared" si="0"/>
        <v>0</v>
      </c>
      <c r="F12" s="80" t="s">
        <v>77</v>
      </c>
    </row>
    <row r="13" spans="1:6" ht="90" x14ac:dyDescent="0.25">
      <c r="A13" s="62" t="s">
        <v>67</v>
      </c>
      <c r="B13" s="40" t="s">
        <v>106</v>
      </c>
      <c r="C13" s="76" t="s">
        <v>14</v>
      </c>
      <c r="E13" s="39" t="b">
        <f t="shared" si="0"/>
        <v>0</v>
      </c>
      <c r="F13" s="80" t="s">
        <v>78</v>
      </c>
    </row>
    <row r="14" spans="1:6" ht="105" x14ac:dyDescent="0.25">
      <c r="A14" s="62" t="s">
        <v>68</v>
      </c>
      <c r="B14" s="40" t="s">
        <v>107</v>
      </c>
      <c r="C14" s="76" t="s">
        <v>14</v>
      </c>
      <c r="E14" s="39" t="b">
        <f t="shared" si="0"/>
        <v>0</v>
      </c>
      <c r="F14" s="80" t="s">
        <v>79</v>
      </c>
    </row>
    <row r="15" spans="1:6" ht="105" x14ac:dyDescent="0.25">
      <c r="A15" s="62" t="s">
        <v>69</v>
      </c>
      <c r="B15" s="40" t="s">
        <v>108</v>
      </c>
      <c r="C15" s="76" t="s">
        <v>14</v>
      </c>
      <c r="E15" s="39" t="b">
        <f t="shared" si="0"/>
        <v>0</v>
      </c>
      <c r="F15" s="80" t="s">
        <v>80</v>
      </c>
    </row>
    <row r="16" spans="1:6" ht="105" x14ac:dyDescent="0.25">
      <c r="A16" s="62" t="s">
        <v>70</v>
      </c>
      <c r="B16" s="40" t="s">
        <v>109</v>
      </c>
      <c r="C16" s="76" t="s">
        <v>14</v>
      </c>
      <c r="E16" s="39" t="b">
        <f t="shared" si="0"/>
        <v>0</v>
      </c>
      <c r="F16" s="80" t="s">
        <v>81</v>
      </c>
    </row>
    <row r="17" spans="1:6" ht="105" x14ac:dyDescent="0.25">
      <c r="A17" s="62" t="s">
        <v>137</v>
      </c>
      <c r="B17" s="40" t="s">
        <v>110</v>
      </c>
      <c r="C17" s="76" t="s">
        <v>14</v>
      </c>
      <c r="E17" s="39" t="b">
        <f t="shared" si="0"/>
        <v>0</v>
      </c>
      <c r="F17" s="80" t="s">
        <v>136</v>
      </c>
    </row>
  </sheetData>
  <autoFilter ref="A1:C17" xr:uid="{00000000-0009-0000-0000-000002000000}"/>
  <conditionalFormatting sqref="B2:B193">
    <cfRule type="expression" dxfId="0" priority="1">
      <formula>$E2</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
  <sheetViews>
    <sheetView workbookViewId="0">
      <selection activeCell="C21" sqref="C21"/>
    </sheetView>
  </sheetViews>
  <sheetFormatPr defaultRowHeight="15" x14ac:dyDescent="0.25"/>
  <sheetData>
    <row r="1" spans="1:11" x14ac:dyDescent="0.25">
      <c r="A1" s="205" t="s">
        <v>28</v>
      </c>
      <c r="B1" s="205"/>
      <c r="C1" s="205"/>
      <c r="D1" s="205"/>
      <c r="E1" s="205"/>
      <c r="F1" s="205"/>
      <c r="G1" s="205"/>
      <c r="H1" s="205"/>
      <c r="I1" s="205"/>
      <c r="J1" s="205"/>
      <c r="K1" s="205"/>
    </row>
    <row r="2" spans="1:11" x14ac:dyDescent="0.25">
      <c r="A2" s="205"/>
      <c r="B2" s="205"/>
      <c r="C2" s="205"/>
      <c r="D2" s="205"/>
      <c r="E2" s="205"/>
      <c r="F2" s="205"/>
      <c r="G2" s="205"/>
      <c r="H2" s="205"/>
      <c r="I2" s="205"/>
      <c r="J2" s="205"/>
      <c r="K2" s="205"/>
    </row>
    <row r="3" spans="1:11" x14ac:dyDescent="0.25">
      <c r="A3" s="44"/>
      <c r="B3" s="44"/>
      <c r="C3" s="44"/>
      <c r="D3" s="44"/>
      <c r="E3" s="44"/>
      <c r="F3" s="44"/>
      <c r="G3" s="44"/>
      <c r="H3" s="44"/>
      <c r="I3" s="44"/>
      <c r="J3" s="44"/>
      <c r="K3" s="44"/>
    </row>
    <row r="4" spans="1:11" x14ac:dyDescent="0.25">
      <c r="A4" s="45" t="s">
        <v>17</v>
      </c>
      <c r="B4" s="206" t="s">
        <v>29</v>
      </c>
      <c r="C4" s="206"/>
      <c r="D4" s="206"/>
      <c r="E4" s="206"/>
      <c r="F4" s="206"/>
      <c r="G4" s="206"/>
      <c r="H4" s="206"/>
      <c r="I4" s="206"/>
      <c r="J4" s="206"/>
      <c r="K4" s="206"/>
    </row>
    <row r="5" spans="1:11" x14ac:dyDescent="0.25">
      <c r="A5" s="46"/>
      <c r="B5" s="47"/>
      <c r="C5" s="47"/>
      <c r="D5" s="47"/>
      <c r="E5" s="47"/>
      <c r="F5" s="47"/>
      <c r="G5" s="47"/>
      <c r="H5" s="47"/>
      <c r="I5" s="47"/>
      <c r="J5" s="47"/>
      <c r="K5" s="47"/>
    </row>
    <row r="6" spans="1:11" x14ac:dyDescent="0.25">
      <c r="A6" s="73" t="s">
        <v>17</v>
      </c>
      <c r="B6" s="206" t="s">
        <v>61</v>
      </c>
      <c r="C6" s="206"/>
      <c r="D6" s="206"/>
      <c r="E6" s="206"/>
      <c r="F6" s="206"/>
      <c r="G6" s="206"/>
      <c r="H6" s="206"/>
      <c r="I6" s="206"/>
      <c r="J6" s="206"/>
      <c r="K6" s="206"/>
    </row>
    <row r="7" spans="1:11" x14ac:dyDescent="0.25">
      <c r="A7" s="48"/>
      <c r="B7" s="206"/>
      <c r="C7" s="206"/>
      <c r="D7" s="206"/>
      <c r="E7" s="206"/>
      <c r="F7" s="206"/>
      <c r="G7" s="206"/>
      <c r="H7" s="206"/>
      <c r="I7" s="206"/>
      <c r="J7" s="206"/>
      <c r="K7" s="206"/>
    </row>
    <row r="8" spans="1:11" x14ac:dyDescent="0.25">
      <c r="A8" s="46"/>
      <c r="B8" s="206"/>
      <c r="C8" s="206"/>
      <c r="D8" s="206"/>
      <c r="E8" s="206"/>
      <c r="F8" s="206"/>
      <c r="G8" s="206"/>
      <c r="H8" s="206"/>
      <c r="I8" s="206"/>
      <c r="J8" s="206"/>
      <c r="K8" s="206"/>
    </row>
    <row r="9" spans="1:11" x14ac:dyDescent="0.25">
      <c r="A9" s="74" t="s">
        <v>17</v>
      </c>
      <c r="B9" s="206" t="s">
        <v>62</v>
      </c>
      <c r="C9" s="206"/>
      <c r="D9" s="206"/>
      <c r="E9" s="206"/>
      <c r="F9" s="206"/>
      <c r="G9" s="206"/>
      <c r="H9" s="206"/>
      <c r="I9" s="206"/>
      <c r="J9" s="206"/>
      <c r="K9" s="206"/>
    </row>
    <row r="10" spans="1:11" x14ac:dyDescent="0.25">
      <c r="A10" s="46"/>
      <c r="B10" s="206"/>
      <c r="C10" s="206"/>
      <c r="D10" s="206"/>
      <c r="E10" s="206"/>
      <c r="F10" s="206"/>
      <c r="G10" s="206"/>
      <c r="H10" s="206"/>
      <c r="I10" s="206"/>
      <c r="J10" s="206"/>
      <c r="K10" s="206"/>
    </row>
    <row r="11" spans="1:11" x14ac:dyDescent="0.25">
      <c r="A11" s="46"/>
      <c r="B11" s="206"/>
      <c r="C11" s="206"/>
      <c r="D11" s="206"/>
      <c r="E11" s="206"/>
      <c r="F11" s="206"/>
      <c r="G11" s="206"/>
      <c r="H11" s="206"/>
      <c r="I11" s="206"/>
      <c r="J11" s="206"/>
      <c r="K11" s="206"/>
    </row>
    <row r="12" spans="1:11" x14ac:dyDescent="0.25">
      <c r="A12" s="46"/>
      <c r="B12" s="47"/>
      <c r="C12" s="47"/>
      <c r="D12" s="47"/>
      <c r="E12" s="47"/>
      <c r="F12" s="47"/>
      <c r="G12" s="47"/>
      <c r="H12" s="47"/>
      <c r="I12" s="47"/>
      <c r="J12" s="47"/>
      <c r="K12" s="47"/>
    </row>
    <row r="13" spans="1:11" x14ac:dyDescent="0.25">
      <c r="A13" s="49" t="s">
        <v>17</v>
      </c>
      <c r="B13" s="207" t="s">
        <v>30</v>
      </c>
      <c r="C13" s="207"/>
      <c r="D13" s="207"/>
      <c r="E13" s="207"/>
      <c r="F13" s="207"/>
      <c r="G13" s="207"/>
      <c r="H13" s="207"/>
      <c r="I13" s="207"/>
      <c r="J13" s="207"/>
      <c r="K13" s="207"/>
    </row>
    <row r="16" spans="1:11" x14ac:dyDescent="0.25">
      <c r="A16" s="205" t="s">
        <v>18</v>
      </c>
      <c r="B16" s="205"/>
      <c r="C16" s="205"/>
      <c r="D16" s="205"/>
      <c r="E16" s="205"/>
      <c r="F16" s="205"/>
      <c r="G16" s="205"/>
      <c r="H16" s="205"/>
      <c r="I16" s="205"/>
      <c r="J16" s="205"/>
      <c r="K16" s="205"/>
    </row>
    <row r="17" spans="1:11" x14ac:dyDescent="0.25">
      <c r="A17" s="205"/>
      <c r="B17" s="205"/>
      <c r="C17" s="205"/>
      <c r="D17" s="205"/>
      <c r="E17" s="205"/>
      <c r="F17" s="205"/>
      <c r="G17" s="205"/>
      <c r="H17" s="205"/>
      <c r="I17" s="205"/>
      <c r="J17" s="205"/>
      <c r="K17" s="205"/>
    </row>
    <row r="19" spans="1:11" x14ac:dyDescent="0.25">
      <c r="A19" s="50" t="s">
        <v>19</v>
      </c>
      <c r="B19" s="51" t="s">
        <v>20</v>
      </c>
    </row>
    <row r="20" spans="1:11" x14ac:dyDescent="0.25">
      <c r="A20" s="52" t="s">
        <v>19</v>
      </c>
      <c r="B20" s="51" t="s">
        <v>21</v>
      </c>
    </row>
  </sheetData>
  <mergeCells count="6">
    <mergeCell ref="A16:K17"/>
    <mergeCell ref="A1:K2"/>
    <mergeCell ref="B4:K4"/>
    <mergeCell ref="B6:K8"/>
    <mergeCell ref="B13:K13"/>
    <mergeCell ref="B9:K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Revision History</vt:lpstr>
      <vt:lpstr>Software FMEA</vt:lpstr>
      <vt:lpstr>Requirements derivation</vt:lpstr>
      <vt:lpstr>Consist. Checks</vt:lpstr>
      <vt:lpstr>'Revision History'!Print_Area</vt:lpstr>
    </vt:vector>
  </TitlesOfParts>
  <Company>Freescale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Oleksandr Sakada</dc:creator>
  <cp:lastModifiedBy>Roman Chovanec</cp:lastModifiedBy>
  <cp:lastPrinted>2010-09-21T07:40:34Z</cp:lastPrinted>
  <dcterms:created xsi:type="dcterms:W3CDTF">2010-07-20T14:20:11Z</dcterms:created>
  <dcterms:modified xsi:type="dcterms:W3CDTF">2020-02-25T16:18:06Z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-1036960651</vt:i4>
  </property>
  <property fmtid="{D5CDD505-2E9C-101B-9397-08002B2CF9AE}" pid="3" name="_NewReviewCycle">
    <vt:lpwstr/>
  </property>
  <property fmtid="{D5CDD505-2E9C-101B-9397-08002B2CF9AE}" pid="4" name="_EmailSubject">
    <vt:lpwstr>Fault Analysis review for CST SW component</vt:lpwstr>
  </property>
  <property fmtid="{D5CDD505-2E9C-101B-9397-08002B2CF9AE}" pid="5" name="_AuthorEmail">
    <vt:lpwstr>R09115@freescale.com</vt:lpwstr>
  </property>
  <property fmtid="{D5CDD505-2E9C-101B-9397-08002B2CF9AE}" pid="6" name="_AuthorEmailDisplayName">
    <vt:lpwstr>Sakada Oleksandr-R09115</vt:lpwstr>
  </property>
  <property fmtid="{D5CDD505-2E9C-101B-9397-08002B2CF9AE}" pid="7" name="_ReviewingToolsShownOnce">
    <vt:lpwstr/>
  </property>
</Properties>
</file>