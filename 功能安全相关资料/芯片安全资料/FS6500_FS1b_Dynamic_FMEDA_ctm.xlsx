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vsd" ContentType="application/vnd.visi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3.xml" ContentType="application/vnd.openxmlformats-officedocument.spreadsheetml.comments+xml"/>
  <Override PartName="/xl/tables/table5.xml" ContentType="application/vnd.openxmlformats-officedocument.spreadsheetml.table+xml"/>
  <Override PartName="/xl/comments4.xml" ContentType="application/vnd.openxmlformats-officedocument.spreadsheetml.comments+xml"/>
  <Override PartName="/xl/tables/table6.xml" ContentType="application/vnd.openxmlformats-officedocument.spreadsheetml.table+xml"/>
  <Override PartName="/xl/comments5.xml" ContentType="application/vnd.openxmlformats-officedocument.spreadsheetml.comments+xml"/>
  <Override PartName="/xl/drawings/drawing4.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codeName="ThisWorkbook" defaultThemeVersion="124226"/>
  <mc:AlternateContent xmlns:mc="http://schemas.openxmlformats.org/markup-compatibility/2006">
    <mc:Choice Requires="x15">
      <x15ac:absPath xmlns:x15ac="http://schemas.microsoft.com/office/spreadsheetml/2010/11/ac" url="C:\Users\nxf46441\OneDrive - NXP\3-FS45&amp;FS65\3-Safety Document\Documentation\9-FMEDA\"/>
    </mc:Choice>
  </mc:AlternateContent>
  <xr:revisionPtr revIDLastSave="198" documentId="10_ncr:100000_{CF4CFFA8-4E40-4C74-92FA-7A7E08170A5A}" xr6:coauthVersionLast="44" xr6:coauthVersionMax="44" xr10:uidLastSave="{A293C441-F1FD-4A90-81CE-C6D7D5776E32}"/>
  <bookViews>
    <workbookView xWindow="-108" yWindow="-108" windowWidth="23256" windowHeight="12576" tabRatio="792" firstSheet="1" activeTab="7" xr2:uid="{00000000-000D-0000-FFFF-FFFF00000000}"/>
  </bookViews>
  <sheets>
    <sheet name="Cover sheet" sheetId="5" r:id="rId1"/>
    <sheet name="Change History" sheetId="8" r:id="rId2"/>
    <sheet name="User guide" sheetId="7" r:id="rId3"/>
    <sheet name="Simplified Functional Block" sheetId="11" r:id="rId4"/>
    <sheet name="Block Failure Rate" sheetId="1" r:id="rId5"/>
    <sheet name="System Assumptions" sheetId="12" r:id="rId6"/>
    <sheet name="Safety Functions" sheetId="4" r:id="rId7"/>
    <sheet name="Safety Mechanisms" sheetId="3" r:id="rId8"/>
    <sheet name="FMEDA_OP" sheetId="2" r:id="rId9"/>
    <sheet name="FMEDA_PWRUP" sheetId="13" r:id="rId10"/>
    <sheet name="Metrics_summary" sheetId="14" r:id="rId11"/>
  </sheets>
  <externalReferences>
    <externalReference r:id="rId12"/>
  </externalReferences>
  <definedNames>
    <definedName name="_xlnm._FilterDatabase" localSheetId="8" hidden="1">FMEDA_OP!$A$2:$A$234</definedName>
    <definedName name="_xlnm._FilterDatabase" localSheetId="9" hidden="1">FMEDA_PWRUP!$A$2:$A$234</definedName>
    <definedName name="_xlnm._FilterDatabase" localSheetId="10" hidden="1">Metrics_summary!$B$26:$K$51</definedName>
    <definedName name="ActionStatus">[1]Settings!$A$2:$A$3</definedName>
    <definedName name="Author" localSheetId="0">'Cover sheet'!$D$10</definedName>
    <definedName name="Author_Dept" localSheetId="0">'Cover sheet'!$D$11</definedName>
    <definedName name="Date" localSheetId="0">'Cover sheet'!$D$12</definedName>
    <definedName name="Document_Name" localSheetId="0">'Cover sheet'!$D$4</definedName>
    <definedName name="Excel_BuiltIn_Print_Area_1_1" localSheetId="9">#REF!</definedName>
    <definedName name="Excel_BuiltIn_Print_Area_1_1" localSheetId="2">#REF!</definedName>
    <definedName name="Excel_BuiltIn_Print_Area_1_1">#REF!</definedName>
    <definedName name="Excel_builtin_print_area_1_2" localSheetId="9">#REF!</definedName>
    <definedName name="Excel_builtin_print_area_1_2">#REF!</definedName>
    <definedName name="_xlnm.Print_Area" localSheetId="0">'Cover sheet'!$B$1:$F$24</definedName>
    <definedName name="ProductFailureRate" localSheetId="9">'Block Failure Rate'!#REF!</definedName>
    <definedName name="ProductFailureRate">'Block Failure Rate'!#REF!</definedName>
    <definedName name="Project_Name" localSheetId="0">'Cover sheet'!$D$9</definedName>
    <definedName name="ReviewStatus">[1]Settings!$C$2:$C$4</definedName>
    <definedName name="SMX" localSheetId="9">Table3['#]</definedName>
    <definedName name="SMX" localSheetId="2">Table3['#]</definedName>
    <definedName name="SMX">Table3['#]</definedName>
    <definedName name="SMY" localSheetId="9">Table3['#]</definedName>
    <definedName name="SMY">Table3['#]</definedName>
    <definedName name="Status" localSheetId="0">'Cover sheet'!$D$8</definedName>
    <definedName name="Status" localSheetId="9">#REF!</definedName>
    <definedName name="Status" localSheetId="2">#REF!</definedName>
    <definedName name="Status">#REF!</definedName>
    <definedName name="Status1" localSheetId="9">#REF!</definedName>
    <definedName name="Status1" localSheetId="2">#REF!</definedName>
    <definedName name="Status1">#REF!</definedName>
    <definedName name="Tlifetime">Metrics_summary!$C$10</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X158" i="13" l="1"/>
  <c r="Q166" i="2"/>
  <c r="Q165" i="2"/>
  <c r="Q164" i="2"/>
  <c r="Q162" i="2"/>
  <c r="Q163" i="2"/>
  <c r="Q161" i="2"/>
  <c r="Q160" i="2"/>
  <c r="X158" i="2"/>
  <c r="Q130" i="13"/>
  <c r="Q129" i="13"/>
  <c r="Q128" i="13"/>
  <c r="Q126" i="13"/>
  <c r="Q132" i="2"/>
  <c r="Q129" i="2"/>
  <c r="Q131" i="2"/>
  <c r="Q130" i="2"/>
  <c r="Q128" i="2"/>
  <c r="Q126" i="2"/>
  <c r="X126" i="13" l="1"/>
  <c r="X126" i="2"/>
  <c r="B95" i="7" l="1"/>
  <c r="E34" i="1" l="1"/>
  <c r="J127" i="13" l="1"/>
  <c r="J128" i="13"/>
  <c r="J129" i="13"/>
  <c r="J130" i="13"/>
  <c r="J131" i="13"/>
  <c r="J132" i="13"/>
  <c r="J126" i="13"/>
  <c r="Y132" i="13"/>
  <c r="V132" i="13"/>
  <c r="P132" i="13"/>
  <c r="N132" i="13"/>
  <c r="M132" i="13"/>
  <c r="J127" i="2"/>
  <c r="J128" i="2"/>
  <c r="J129" i="2"/>
  <c r="J130" i="2"/>
  <c r="J131" i="2"/>
  <c r="J132" i="2"/>
  <c r="J126" i="2"/>
  <c r="Y132" i="2"/>
  <c r="T132" i="2"/>
  <c r="P132" i="2"/>
  <c r="N132" i="2"/>
  <c r="M132" i="2"/>
  <c r="F19" i="3" l="1"/>
  <c r="Y166" i="13" l="1"/>
  <c r="Y165" i="13"/>
  <c r="Y164" i="13"/>
  <c r="Y163" i="13"/>
  <c r="Y162" i="13"/>
  <c r="Y161" i="13"/>
  <c r="Y160" i="13"/>
  <c r="Y159" i="13"/>
  <c r="P166" i="13"/>
  <c r="N166" i="13"/>
  <c r="P165" i="13"/>
  <c r="N165" i="13"/>
  <c r="P164" i="13"/>
  <c r="N164" i="13"/>
  <c r="P163" i="13"/>
  <c r="N163" i="13"/>
  <c r="P162" i="13"/>
  <c r="N162" i="13"/>
  <c r="P161" i="13"/>
  <c r="N161" i="13"/>
  <c r="P160" i="13"/>
  <c r="N160" i="13"/>
  <c r="P159" i="13"/>
  <c r="N159" i="13"/>
  <c r="P158" i="13"/>
  <c r="N158" i="13"/>
  <c r="M166" i="13"/>
  <c r="M165" i="13"/>
  <c r="M164" i="13"/>
  <c r="M163" i="13"/>
  <c r="M162" i="13"/>
  <c r="M161" i="13"/>
  <c r="M160" i="13"/>
  <c r="M159" i="13"/>
  <c r="M158" i="13"/>
  <c r="J166" i="13"/>
  <c r="J165" i="13"/>
  <c r="J164" i="13"/>
  <c r="J163" i="13"/>
  <c r="J162" i="13"/>
  <c r="J161" i="13"/>
  <c r="J160" i="13"/>
  <c r="J159" i="13"/>
  <c r="J158" i="13"/>
  <c r="Y4" i="2"/>
  <c r="Y5" i="2"/>
  <c r="Y6" i="2"/>
  <c r="Y7" i="2"/>
  <c r="Y8" i="2"/>
  <c r="Y9" i="2"/>
  <c r="Y10" i="2"/>
  <c r="Y11" i="2"/>
  <c r="Y12" i="2"/>
  <c r="Y13" i="2"/>
  <c r="Y14" i="2"/>
  <c r="Y15" i="2"/>
  <c r="Y18" i="2"/>
  <c r="Y19" i="2"/>
  <c r="Y20" i="2"/>
  <c r="Y21" i="2"/>
  <c r="Y22" i="2"/>
  <c r="Y23" i="2"/>
  <c r="Y24" i="2"/>
  <c r="Y27" i="2"/>
  <c r="Y28" i="2"/>
  <c r="Y29" i="2"/>
  <c r="Y30" i="2"/>
  <c r="Y31" i="2"/>
  <c r="Y32" i="2"/>
  <c r="Y33" i="2"/>
  <c r="Y34" i="2"/>
  <c r="Y37" i="2"/>
  <c r="Y38" i="2"/>
  <c r="Y39" i="2"/>
  <c r="Y40" i="2"/>
  <c r="Y41" i="2"/>
  <c r="Y42" i="2"/>
  <c r="Y43" i="2"/>
  <c r="Y44" i="2"/>
  <c r="Y47" i="2"/>
  <c r="Y48" i="2"/>
  <c r="Y49" i="2"/>
  <c r="Y52" i="2"/>
  <c r="Y53" i="2"/>
  <c r="Y54" i="2"/>
  <c r="Y55" i="2"/>
  <c r="Y56" i="2"/>
  <c r="Y57" i="2"/>
  <c r="Y58" i="2"/>
  <c r="Y59" i="2"/>
  <c r="Y62" i="2"/>
  <c r="Y63" i="2"/>
  <c r="Y64" i="2"/>
  <c r="Y65" i="2"/>
  <c r="Y68" i="2"/>
  <c r="Y69" i="2"/>
  <c r="Y70" i="2"/>
  <c r="Y71" i="2"/>
  <c r="Y72" i="2"/>
  <c r="Y73" i="2"/>
  <c r="Y74" i="2"/>
  <c r="Y75" i="2"/>
  <c r="Y76" i="2"/>
  <c r="Y77" i="2"/>
  <c r="Y78" i="2"/>
  <c r="Y79" i="2"/>
  <c r="Y82" i="2"/>
  <c r="Y83" i="2"/>
  <c r="Y84" i="2"/>
  <c r="Y85" i="2"/>
  <c r="Y86" i="2"/>
  <c r="Y87" i="2"/>
  <c r="Y88" i="2"/>
  <c r="Y89" i="2"/>
  <c r="Y90" i="2"/>
  <c r="Y91" i="2"/>
  <c r="Y92" i="2"/>
  <c r="Y93" i="2"/>
  <c r="Y94" i="2"/>
  <c r="Y95" i="2"/>
  <c r="Y96" i="2"/>
  <c r="Y97" i="2"/>
  <c r="Y98" i="2"/>
  <c r="Y101" i="2"/>
  <c r="Y102" i="2"/>
  <c r="Y103" i="2"/>
  <c r="Y104" i="2"/>
  <c r="Y106" i="2"/>
  <c r="Y107" i="2"/>
  <c r="Y108" i="2"/>
  <c r="Y109" i="2"/>
  <c r="Y110" i="2"/>
  <c r="Y112" i="2"/>
  <c r="Y113" i="2"/>
  <c r="Y114" i="2"/>
  <c r="Y115" i="2"/>
  <c r="Y116" i="2"/>
  <c r="Y119" i="2"/>
  <c r="Y120" i="2"/>
  <c r="Y121" i="2"/>
  <c r="Y122" i="2"/>
  <c r="Y123" i="2"/>
  <c r="Y124" i="2"/>
  <c r="Y127" i="2"/>
  <c r="Y128" i="2"/>
  <c r="Y129" i="2"/>
  <c r="Y130" i="2"/>
  <c r="Y131" i="2"/>
  <c r="Y134" i="2"/>
  <c r="Y135" i="2"/>
  <c r="Y136" i="2"/>
  <c r="Y138" i="2"/>
  <c r="Y139" i="2"/>
  <c r="Y140" i="2"/>
  <c r="Y141" i="2"/>
  <c r="Y142" i="2"/>
  <c r="Y143" i="2"/>
  <c r="Y144" i="2"/>
  <c r="Y145" i="2"/>
  <c r="Y146" i="2"/>
  <c r="Y149" i="2"/>
  <c r="Y150" i="2"/>
  <c r="Y151" i="2"/>
  <c r="Y152" i="2"/>
  <c r="Y153" i="2"/>
  <c r="Y154" i="2"/>
  <c r="Y155" i="2"/>
  <c r="Y156" i="2"/>
  <c r="Y159" i="2"/>
  <c r="Y160" i="2"/>
  <c r="Y161" i="2"/>
  <c r="Y162" i="2"/>
  <c r="Y163" i="2"/>
  <c r="Y164" i="2"/>
  <c r="Y165" i="2"/>
  <c r="Y166" i="2"/>
  <c r="Y169" i="2"/>
  <c r="Y170" i="2"/>
  <c r="Y171" i="2"/>
  <c r="Y173" i="2"/>
  <c r="Y174" i="2"/>
  <c r="Y175" i="2"/>
  <c r="Y176" i="2"/>
  <c r="Y177" i="2"/>
  <c r="Y178" i="2"/>
  <c r="Y179" i="2"/>
  <c r="Y180" i="2"/>
  <c r="Y181" i="2"/>
  <c r="Y182" i="2"/>
  <c r="Y183" i="2"/>
  <c r="Y184" i="2"/>
  <c r="Y185" i="2"/>
  <c r="Y186" i="2"/>
  <c r="Y187" i="2"/>
  <c r="Y188" i="2"/>
  <c r="Y189" i="2"/>
  <c r="Y190" i="2"/>
  <c r="Y191" i="2"/>
  <c r="Y193" i="2"/>
  <c r="Y194" i="2"/>
  <c r="Y195" i="2"/>
  <c r="Y196" i="2"/>
  <c r="Y198" i="2"/>
  <c r="Y199" i="2"/>
  <c r="Y200" i="2"/>
  <c r="Y201" i="2"/>
  <c r="Y202" i="2"/>
  <c r="Y203" i="2"/>
  <c r="Y204" i="2"/>
  <c r="Y205" i="2"/>
  <c r="Y206" i="2"/>
  <c r="Y207" i="2"/>
  <c r="Y208" i="2"/>
  <c r="Y209" i="2"/>
  <c r="Y211" i="2"/>
  <c r="Y212" i="2"/>
  <c r="Y213" i="2"/>
  <c r="Y214" i="2"/>
  <c r="Y215" i="2"/>
  <c r="Y216" i="2"/>
  <c r="Y217" i="2"/>
  <c r="Y218" i="2"/>
  <c r="Y219" i="2"/>
  <c r="Y220" i="2"/>
  <c r="Y221" i="2"/>
  <c r="Y222" i="2"/>
  <c r="Y223" i="2"/>
  <c r="Y224" i="2"/>
  <c r="Y225" i="2"/>
  <c r="Y226" i="2"/>
  <c r="Y229" i="2"/>
  <c r="Y230" i="2"/>
  <c r="Y231" i="2"/>
  <c r="Y232" i="2"/>
  <c r="Y233" i="2"/>
  <c r="F18" i="3"/>
  <c r="U160" i="2" s="1"/>
  <c r="T166" i="2"/>
  <c r="T165" i="2"/>
  <c r="T164" i="2"/>
  <c r="T163" i="2"/>
  <c r="T162" i="2"/>
  <c r="T161" i="2"/>
  <c r="T160" i="2"/>
  <c r="F13" i="3"/>
  <c r="U162" i="2" s="1"/>
  <c r="F2" i="3"/>
  <c r="F3" i="3"/>
  <c r="F4" i="3"/>
  <c r="F5" i="3"/>
  <c r="F6" i="3"/>
  <c r="F7" i="3"/>
  <c r="F8" i="3"/>
  <c r="F9" i="3"/>
  <c r="F10" i="3"/>
  <c r="F11" i="3"/>
  <c r="F12" i="3"/>
  <c r="U131" i="2" s="1"/>
  <c r="F14" i="3"/>
  <c r="F15" i="3"/>
  <c r="F16" i="3"/>
  <c r="U129" i="2" s="1"/>
  <c r="F17" i="3"/>
  <c r="U132" i="2" s="1"/>
  <c r="U166" i="2"/>
  <c r="P166" i="2"/>
  <c r="P165" i="2"/>
  <c r="P164" i="2"/>
  <c r="P163" i="2"/>
  <c r="P162" i="2"/>
  <c r="P161" i="2"/>
  <c r="P160" i="2"/>
  <c r="P159" i="2"/>
  <c r="P158" i="2"/>
  <c r="N166" i="2"/>
  <c r="N165" i="2"/>
  <c r="N164" i="2"/>
  <c r="N163" i="2"/>
  <c r="N162" i="2"/>
  <c r="N161" i="2"/>
  <c r="N160" i="2"/>
  <c r="N159" i="2"/>
  <c r="N158" i="2"/>
  <c r="N156" i="2"/>
  <c r="M166" i="2"/>
  <c r="M165" i="2"/>
  <c r="M164" i="2"/>
  <c r="M163" i="2"/>
  <c r="M162" i="2"/>
  <c r="M161" i="2"/>
  <c r="M160" i="2"/>
  <c r="M159" i="2"/>
  <c r="M158" i="2"/>
  <c r="J166" i="2"/>
  <c r="J165" i="2"/>
  <c r="J164" i="2"/>
  <c r="J163" i="2"/>
  <c r="J162" i="2"/>
  <c r="J161" i="2"/>
  <c r="J160" i="2"/>
  <c r="J159" i="2"/>
  <c r="J158" i="2"/>
  <c r="U126" i="2" l="1"/>
  <c r="U128" i="2"/>
  <c r="U130" i="2"/>
  <c r="O164" i="13"/>
  <c r="O132" i="2"/>
  <c r="O132" i="13"/>
  <c r="U161" i="2"/>
  <c r="U163" i="2"/>
  <c r="O166" i="13"/>
  <c r="O158" i="13"/>
  <c r="O161" i="13"/>
  <c r="O165" i="13"/>
  <c r="O162" i="13"/>
  <c r="O159" i="13"/>
  <c r="O163" i="13"/>
  <c r="O160" i="13"/>
  <c r="U164" i="2"/>
  <c r="U165" i="2"/>
  <c r="V221" i="13" l="1"/>
  <c r="V221" i="2"/>
  <c r="Y131" i="13" l="1"/>
  <c r="J169" i="13"/>
  <c r="J170" i="13"/>
  <c r="J171" i="13"/>
  <c r="J168" i="13"/>
  <c r="J174" i="13"/>
  <c r="J175" i="13"/>
  <c r="J176" i="13"/>
  <c r="J177" i="13"/>
  <c r="J178" i="13"/>
  <c r="J179" i="13"/>
  <c r="J180" i="13"/>
  <c r="J181" i="13"/>
  <c r="J182" i="13"/>
  <c r="J183" i="13"/>
  <c r="J184" i="13"/>
  <c r="J185" i="13"/>
  <c r="J186" i="13"/>
  <c r="J187" i="13"/>
  <c r="J188" i="13"/>
  <c r="J189" i="13"/>
  <c r="J190" i="13"/>
  <c r="J191" i="13"/>
  <c r="J173" i="13"/>
  <c r="Y220" i="13"/>
  <c r="Y221" i="13"/>
  <c r="Y222" i="13"/>
  <c r="Y223" i="13"/>
  <c r="V220" i="13"/>
  <c r="N221" i="13"/>
  <c r="M221" i="13"/>
  <c r="J221" i="13"/>
  <c r="Y199" i="13"/>
  <c r="Y200" i="13"/>
  <c r="Y201" i="13"/>
  <c r="Y202" i="13"/>
  <c r="Y203" i="13"/>
  <c r="Y204" i="13"/>
  <c r="Y205" i="13"/>
  <c r="Y206" i="13"/>
  <c r="Y207" i="13"/>
  <c r="Y208" i="13"/>
  <c r="Y209" i="13"/>
  <c r="Y198" i="13"/>
  <c r="V209" i="13"/>
  <c r="V208" i="13"/>
  <c r="V207" i="13"/>
  <c r="V206" i="13"/>
  <c r="V205" i="13"/>
  <c r="V204" i="13"/>
  <c r="V203" i="13"/>
  <c r="V202" i="13"/>
  <c r="V201" i="13"/>
  <c r="V200" i="13"/>
  <c r="V199" i="13"/>
  <c r="V198" i="13"/>
  <c r="P209" i="13"/>
  <c r="N209" i="13"/>
  <c r="M209" i="13"/>
  <c r="P208" i="13"/>
  <c r="N208" i="13"/>
  <c r="M208" i="13"/>
  <c r="P207" i="13"/>
  <c r="N207" i="13"/>
  <c r="M207" i="13"/>
  <c r="P206" i="13"/>
  <c r="N206" i="13"/>
  <c r="M206" i="13"/>
  <c r="P205" i="13"/>
  <c r="N205" i="13"/>
  <c r="M205" i="13"/>
  <c r="P204" i="13"/>
  <c r="N204" i="13"/>
  <c r="M204" i="13"/>
  <c r="P203" i="13"/>
  <c r="N203" i="13"/>
  <c r="M203" i="13"/>
  <c r="P202" i="13"/>
  <c r="N202" i="13"/>
  <c r="M202" i="13"/>
  <c r="P201" i="13"/>
  <c r="N201" i="13"/>
  <c r="M201" i="13"/>
  <c r="P200" i="13"/>
  <c r="N200" i="13"/>
  <c r="M200" i="13"/>
  <c r="P199" i="13"/>
  <c r="N199" i="13"/>
  <c r="M199" i="13"/>
  <c r="P198" i="13"/>
  <c r="N198" i="13"/>
  <c r="M198" i="13"/>
  <c r="J209" i="13"/>
  <c r="J208" i="13"/>
  <c r="J207" i="13"/>
  <c r="J206" i="13"/>
  <c r="J205" i="13"/>
  <c r="J204" i="13"/>
  <c r="J203" i="13"/>
  <c r="J202" i="13"/>
  <c r="J201" i="13"/>
  <c r="J200" i="13"/>
  <c r="J199" i="13"/>
  <c r="J198" i="13"/>
  <c r="V209" i="2"/>
  <c r="V208" i="2"/>
  <c r="V207" i="2"/>
  <c r="V206" i="2"/>
  <c r="V205" i="2"/>
  <c r="V204" i="2"/>
  <c r="V203" i="2"/>
  <c r="V202" i="2"/>
  <c r="V201" i="2"/>
  <c r="V200" i="2"/>
  <c r="V199" i="2"/>
  <c r="V198" i="2"/>
  <c r="P209" i="2"/>
  <c r="N209" i="2"/>
  <c r="M209" i="2"/>
  <c r="P208" i="2"/>
  <c r="N208" i="2"/>
  <c r="M208" i="2"/>
  <c r="P207" i="2"/>
  <c r="N207" i="2"/>
  <c r="M207" i="2"/>
  <c r="P206" i="2"/>
  <c r="N206" i="2"/>
  <c r="M206" i="2"/>
  <c r="P205" i="2"/>
  <c r="N205" i="2"/>
  <c r="M205" i="2"/>
  <c r="P204" i="2"/>
  <c r="N204" i="2"/>
  <c r="M204" i="2"/>
  <c r="P203" i="2"/>
  <c r="N203" i="2"/>
  <c r="M203" i="2"/>
  <c r="P202" i="2"/>
  <c r="N202" i="2"/>
  <c r="M202" i="2"/>
  <c r="P201" i="2"/>
  <c r="N201" i="2"/>
  <c r="M201" i="2"/>
  <c r="P200" i="2"/>
  <c r="N200" i="2"/>
  <c r="M200" i="2"/>
  <c r="P199" i="2"/>
  <c r="N199" i="2"/>
  <c r="M199" i="2"/>
  <c r="P198" i="2"/>
  <c r="N198" i="2"/>
  <c r="M198" i="2"/>
  <c r="J209" i="2"/>
  <c r="J208" i="2"/>
  <c r="J207" i="2"/>
  <c r="J206" i="2"/>
  <c r="J205" i="2"/>
  <c r="J204" i="2"/>
  <c r="J203" i="2"/>
  <c r="J202" i="2"/>
  <c r="J201" i="2"/>
  <c r="J200" i="2"/>
  <c r="J199" i="2"/>
  <c r="J198" i="2"/>
  <c r="J171" i="2" l="1"/>
  <c r="J170" i="2"/>
  <c r="J169" i="2"/>
  <c r="J168" i="2"/>
  <c r="J174" i="2"/>
  <c r="J175" i="2"/>
  <c r="J176" i="2"/>
  <c r="J177" i="2"/>
  <c r="J178" i="2"/>
  <c r="J179" i="2"/>
  <c r="J180" i="2"/>
  <c r="J181" i="2"/>
  <c r="J182" i="2"/>
  <c r="J183" i="2"/>
  <c r="J184" i="2"/>
  <c r="J185" i="2"/>
  <c r="J186" i="2"/>
  <c r="J187" i="2"/>
  <c r="J188" i="2"/>
  <c r="J189" i="2"/>
  <c r="J190" i="2"/>
  <c r="J191" i="2"/>
  <c r="J173" i="2"/>
  <c r="N221" i="2"/>
  <c r="M221" i="2"/>
  <c r="J221" i="2"/>
  <c r="P221" i="13" l="1"/>
  <c r="T232" i="13"/>
  <c r="T233" i="13"/>
  <c r="T128" i="13"/>
  <c r="T128" i="2"/>
  <c r="V131" i="13"/>
  <c r="V119" i="13"/>
  <c r="T49" i="13"/>
  <c r="T48" i="13"/>
  <c r="V46" i="13"/>
  <c r="U46" i="13"/>
  <c r="Y233" i="13" l="1"/>
  <c r="P233" i="13"/>
  <c r="N233" i="13"/>
  <c r="M233" i="13"/>
  <c r="J233" i="13"/>
  <c r="Y232" i="13"/>
  <c r="P232" i="13"/>
  <c r="N232" i="13"/>
  <c r="M232" i="13"/>
  <c r="J232" i="13"/>
  <c r="Y231" i="13"/>
  <c r="V231" i="13"/>
  <c r="P231" i="13"/>
  <c r="N231" i="13"/>
  <c r="M231" i="13"/>
  <c r="J231" i="13"/>
  <c r="Y230" i="13"/>
  <c r="V230" i="13"/>
  <c r="P230" i="13"/>
  <c r="N230" i="13"/>
  <c r="M230" i="13"/>
  <c r="J230" i="13"/>
  <c r="Y229" i="13"/>
  <c r="V229" i="13"/>
  <c r="P229" i="13"/>
  <c r="N229" i="13"/>
  <c r="M229" i="13"/>
  <c r="J229" i="13"/>
  <c r="V228" i="13"/>
  <c r="P228" i="13"/>
  <c r="N228" i="13"/>
  <c r="M228" i="13"/>
  <c r="J228" i="13"/>
  <c r="Y226" i="13"/>
  <c r="V226" i="13"/>
  <c r="P226" i="13"/>
  <c r="N226" i="13"/>
  <c r="M226" i="13"/>
  <c r="J226" i="13"/>
  <c r="Y225" i="13"/>
  <c r="V225" i="13"/>
  <c r="P225" i="13"/>
  <c r="N225" i="13"/>
  <c r="M225" i="13"/>
  <c r="J225" i="13"/>
  <c r="Y224" i="13"/>
  <c r="V224" i="13"/>
  <c r="P224" i="13"/>
  <c r="N224" i="13"/>
  <c r="M224" i="13"/>
  <c r="J224" i="13"/>
  <c r="V223" i="13"/>
  <c r="P223" i="13"/>
  <c r="N223" i="13"/>
  <c r="M223" i="13"/>
  <c r="J223" i="13"/>
  <c r="V222" i="13"/>
  <c r="P222" i="13"/>
  <c r="N222" i="13"/>
  <c r="M222" i="13"/>
  <c r="J222" i="13"/>
  <c r="P220" i="13"/>
  <c r="N220" i="13"/>
  <c r="M220" i="13"/>
  <c r="J220" i="13"/>
  <c r="Y219" i="13"/>
  <c r="V219" i="13"/>
  <c r="P219" i="13"/>
  <c r="N219" i="13"/>
  <c r="M219" i="13"/>
  <c r="J219" i="13"/>
  <c r="Y218" i="13"/>
  <c r="V218" i="13"/>
  <c r="P218" i="13"/>
  <c r="N218" i="13"/>
  <c r="M218" i="13"/>
  <c r="J218" i="13"/>
  <c r="Y217" i="13"/>
  <c r="V217" i="13"/>
  <c r="P217" i="13"/>
  <c r="N217" i="13"/>
  <c r="M217" i="13"/>
  <c r="J217" i="13"/>
  <c r="Y216" i="13"/>
  <c r="V216" i="13"/>
  <c r="P216" i="13"/>
  <c r="N216" i="13"/>
  <c r="M216" i="13"/>
  <c r="J216" i="13"/>
  <c r="Y215" i="13"/>
  <c r="V215" i="13"/>
  <c r="P215" i="13"/>
  <c r="N215" i="13"/>
  <c r="M215" i="13"/>
  <c r="J215" i="13"/>
  <c r="Y214" i="13"/>
  <c r="V214" i="13"/>
  <c r="P214" i="13"/>
  <c r="N214" i="13"/>
  <c r="M214" i="13"/>
  <c r="J214" i="13"/>
  <c r="Y213" i="13"/>
  <c r="V213" i="13"/>
  <c r="P213" i="13"/>
  <c r="N213" i="13"/>
  <c r="M213" i="13"/>
  <c r="J213" i="13"/>
  <c r="Y212" i="13"/>
  <c r="V212" i="13"/>
  <c r="P212" i="13"/>
  <c r="N212" i="13"/>
  <c r="M212" i="13"/>
  <c r="J212" i="13"/>
  <c r="Y211" i="13"/>
  <c r="V211" i="13"/>
  <c r="P211" i="13"/>
  <c r="N211" i="13"/>
  <c r="M211" i="13"/>
  <c r="J211" i="13"/>
  <c r="Y196" i="13"/>
  <c r="V196" i="13"/>
  <c r="P196" i="13"/>
  <c r="N196" i="13"/>
  <c r="M196" i="13"/>
  <c r="J196" i="13"/>
  <c r="Y195" i="13"/>
  <c r="V195" i="13"/>
  <c r="P195" i="13"/>
  <c r="N195" i="13"/>
  <c r="M195" i="13"/>
  <c r="J195" i="13"/>
  <c r="Y194" i="13"/>
  <c r="V194" i="13"/>
  <c r="P194" i="13"/>
  <c r="N194" i="13"/>
  <c r="M194" i="13"/>
  <c r="J194" i="13"/>
  <c r="Y193" i="13"/>
  <c r="V193" i="13"/>
  <c r="P193" i="13"/>
  <c r="N193" i="13"/>
  <c r="M193" i="13"/>
  <c r="J193" i="13"/>
  <c r="Y191" i="13"/>
  <c r="V191" i="13"/>
  <c r="P191" i="13"/>
  <c r="N191" i="13"/>
  <c r="M191" i="13"/>
  <c r="Y190" i="13"/>
  <c r="V190" i="13"/>
  <c r="P190" i="13"/>
  <c r="N190" i="13"/>
  <c r="M190" i="13"/>
  <c r="Y189" i="13"/>
  <c r="V189" i="13"/>
  <c r="P189" i="13"/>
  <c r="N189" i="13"/>
  <c r="M189" i="13"/>
  <c r="Y188" i="13"/>
  <c r="V188" i="13"/>
  <c r="P188" i="13"/>
  <c r="N188" i="13"/>
  <c r="M188" i="13"/>
  <c r="Y187" i="13"/>
  <c r="V187" i="13"/>
  <c r="P187" i="13"/>
  <c r="N187" i="13"/>
  <c r="M187" i="13"/>
  <c r="Y186" i="13"/>
  <c r="V186" i="13"/>
  <c r="P186" i="13"/>
  <c r="N186" i="13"/>
  <c r="M186" i="13"/>
  <c r="Y185" i="13"/>
  <c r="V185" i="13"/>
  <c r="P185" i="13"/>
  <c r="N185" i="13"/>
  <c r="M185" i="13"/>
  <c r="Y184" i="13"/>
  <c r="V184" i="13"/>
  <c r="P184" i="13"/>
  <c r="N184" i="13"/>
  <c r="M184" i="13"/>
  <c r="Y183" i="13"/>
  <c r="V183" i="13"/>
  <c r="P183" i="13"/>
  <c r="N183" i="13"/>
  <c r="M183" i="13"/>
  <c r="Y182" i="13"/>
  <c r="V182" i="13"/>
  <c r="P182" i="13"/>
  <c r="N182" i="13"/>
  <c r="M182" i="13"/>
  <c r="Y181" i="13"/>
  <c r="V181" i="13"/>
  <c r="P181" i="13"/>
  <c r="N181" i="13"/>
  <c r="M181" i="13"/>
  <c r="Y180" i="13"/>
  <c r="V180" i="13"/>
  <c r="P180" i="13"/>
  <c r="N180" i="13"/>
  <c r="M180" i="13"/>
  <c r="Y179" i="13"/>
  <c r="V179" i="13"/>
  <c r="P179" i="13"/>
  <c r="N179" i="13"/>
  <c r="M179" i="13"/>
  <c r="Y178" i="13"/>
  <c r="V178" i="13"/>
  <c r="P178" i="13"/>
  <c r="N178" i="13"/>
  <c r="M178" i="13"/>
  <c r="Y177" i="13"/>
  <c r="V177" i="13"/>
  <c r="P177" i="13"/>
  <c r="N177" i="13"/>
  <c r="M177" i="13"/>
  <c r="Y176" i="13"/>
  <c r="V176" i="13"/>
  <c r="P176" i="13"/>
  <c r="N176" i="13"/>
  <c r="M176" i="13"/>
  <c r="Y175" i="13"/>
  <c r="V175" i="13"/>
  <c r="P175" i="13"/>
  <c r="N175" i="13"/>
  <c r="M175" i="13"/>
  <c r="Y174" i="13"/>
  <c r="V174" i="13"/>
  <c r="P174" i="13"/>
  <c r="N174" i="13"/>
  <c r="M174" i="13"/>
  <c r="Y173" i="13"/>
  <c r="V173" i="13"/>
  <c r="P173" i="13"/>
  <c r="N173" i="13"/>
  <c r="M173" i="13"/>
  <c r="Y171" i="13"/>
  <c r="P171" i="13"/>
  <c r="N171" i="13"/>
  <c r="M171" i="13"/>
  <c r="Y170" i="13"/>
  <c r="V170" i="13"/>
  <c r="P170" i="13"/>
  <c r="N170" i="13"/>
  <c r="M170" i="13"/>
  <c r="Y169" i="13"/>
  <c r="V169" i="13"/>
  <c r="P169" i="13"/>
  <c r="N169" i="13"/>
  <c r="M169" i="13"/>
  <c r="V168" i="13"/>
  <c r="P168" i="13"/>
  <c r="N168" i="13"/>
  <c r="M168" i="13"/>
  <c r="Y156" i="13"/>
  <c r="P156" i="13"/>
  <c r="N156" i="13"/>
  <c r="M156" i="13"/>
  <c r="J156" i="13"/>
  <c r="Y155" i="13"/>
  <c r="P155" i="13"/>
  <c r="N155" i="13"/>
  <c r="M155" i="13"/>
  <c r="J155" i="13"/>
  <c r="Y154" i="13"/>
  <c r="P154" i="13"/>
  <c r="N154" i="13"/>
  <c r="M154" i="13"/>
  <c r="J154" i="13"/>
  <c r="Y153" i="13"/>
  <c r="P153" i="13"/>
  <c r="N153" i="13"/>
  <c r="M153" i="13"/>
  <c r="J153" i="13"/>
  <c r="Y152" i="13"/>
  <c r="V152" i="13"/>
  <c r="P152" i="13"/>
  <c r="N152" i="13"/>
  <c r="M152" i="13"/>
  <c r="J152" i="13"/>
  <c r="Y151" i="13"/>
  <c r="P151" i="13"/>
  <c r="N151" i="13"/>
  <c r="M151" i="13"/>
  <c r="J151" i="13"/>
  <c r="Y150" i="13"/>
  <c r="V150" i="13"/>
  <c r="P150" i="13"/>
  <c r="N150" i="13"/>
  <c r="M150" i="13"/>
  <c r="J150" i="13"/>
  <c r="Y149" i="13"/>
  <c r="P149" i="13"/>
  <c r="N149" i="13"/>
  <c r="M149" i="13"/>
  <c r="J149" i="13"/>
  <c r="P148" i="13"/>
  <c r="N148" i="13"/>
  <c r="M148" i="13"/>
  <c r="J148" i="13"/>
  <c r="Y146" i="13"/>
  <c r="V146" i="13"/>
  <c r="P146" i="13"/>
  <c r="N146" i="13"/>
  <c r="M146" i="13"/>
  <c r="J146" i="13"/>
  <c r="Y145" i="13"/>
  <c r="V145" i="13"/>
  <c r="P145" i="13"/>
  <c r="N145" i="13"/>
  <c r="M145" i="13"/>
  <c r="J145" i="13"/>
  <c r="Y144" i="13"/>
  <c r="V144" i="13"/>
  <c r="P144" i="13"/>
  <c r="N144" i="13"/>
  <c r="M144" i="13"/>
  <c r="J144" i="13"/>
  <c r="Y143" i="13"/>
  <c r="V143" i="13"/>
  <c r="P143" i="13"/>
  <c r="N143" i="13"/>
  <c r="M143" i="13"/>
  <c r="J143" i="13"/>
  <c r="Y142" i="13"/>
  <c r="V142" i="13"/>
  <c r="P142" i="13"/>
  <c r="N142" i="13"/>
  <c r="M142" i="13"/>
  <c r="J142" i="13"/>
  <c r="Y141" i="13"/>
  <c r="V141" i="13"/>
  <c r="P141" i="13"/>
  <c r="N141" i="13"/>
  <c r="M141" i="13"/>
  <c r="J141" i="13"/>
  <c r="Y140" i="13"/>
  <c r="V140" i="13"/>
  <c r="P140" i="13"/>
  <c r="N140" i="13"/>
  <c r="M140" i="13"/>
  <c r="J140" i="13"/>
  <c r="Y139" i="13"/>
  <c r="V139" i="13"/>
  <c r="P139" i="13"/>
  <c r="N139" i="13"/>
  <c r="M139" i="13"/>
  <c r="J139" i="13"/>
  <c r="Y138" i="13"/>
  <c r="V138" i="13"/>
  <c r="P138" i="13"/>
  <c r="N138" i="13"/>
  <c r="M138" i="13"/>
  <c r="J138" i="13"/>
  <c r="Y136" i="13"/>
  <c r="V136" i="13"/>
  <c r="P136" i="13"/>
  <c r="N136" i="13"/>
  <c r="M136" i="13"/>
  <c r="J136" i="13"/>
  <c r="Y135" i="13"/>
  <c r="V135" i="13"/>
  <c r="P135" i="13"/>
  <c r="N135" i="13"/>
  <c r="M135" i="13"/>
  <c r="J135" i="13"/>
  <c r="Y134" i="13"/>
  <c r="V134" i="13"/>
  <c r="P134" i="13"/>
  <c r="N134" i="13"/>
  <c r="M134" i="13"/>
  <c r="J134" i="13"/>
  <c r="P131" i="13"/>
  <c r="N131" i="13"/>
  <c r="M131" i="13"/>
  <c r="Y130" i="13"/>
  <c r="T130" i="13"/>
  <c r="P130" i="13"/>
  <c r="N130" i="13"/>
  <c r="M130" i="13"/>
  <c r="Y129" i="13"/>
  <c r="T129" i="13"/>
  <c r="P129" i="13"/>
  <c r="N129" i="13"/>
  <c r="M129" i="13"/>
  <c r="Y128" i="13"/>
  <c r="P128" i="13"/>
  <c r="N128" i="13"/>
  <c r="M128" i="13"/>
  <c r="Y127" i="13"/>
  <c r="V127" i="13"/>
  <c r="P127" i="13"/>
  <c r="N127" i="13"/>
  <c r="M127" i="13"/>
  <c r="T126" i="13"/>
  <c r="P126" i="13"/>
  <c r="N126" i="13"/>
  <c r="M126" i="13"/>
  <c r="Y124" i="13"/>
  <c r="T124" i="13"/>
  <c r="P124" i="13"/>
  <c r="N124" i="13"/>
  <c r="M124" i="13"/>
  <c r="J124" i="13"/>
  <c r="Y123" i="13"/>
  <c r="T123" i="13"/>
  <c r="P123" i="13"/>
  <c r="N123" i="13"/>
  <c r="M123" i="13"/>
  <c r="J123" i="13"/>
  <c r="Y122" i="13"/>
  <c r="T122" i="13"/>
  <c r="P122" i="13"/>
  <c r="N122" i="13"/>
  <c r="M122" i="13"/>
  <c r="J122" i="13"/>
  <c r="Y121" i="13"/>
  <c r="V121" i="13"/>
  <c r="P121" i="13"/>
  <c r="N121" i="13"/>
  <c r="M121" i="13"/>
  <c r="J121" i="13"/>
  <c r="Y120" i="13"/>
  <c r="V120" i="13"/>
  <c r="P120" i="13"/>
  <c r="N120" i="13"/>
  <c r="M120" i="13"/>
  <c r="J120" i="13"/>
  <c r="Y119" i="13"/>
  <c r="P119" i="13"/>
  <c r="N119" i="13"/>
  <c r="M119" i="13"/>
  <c r="J119" i="13"/>
  <c r="T118" i="13"/>
  <c r="P118" i="13"/>
  <c r="N118" i="13"/>
  <c r="M118" i="13"/>
  <c r="J118" i="13"/>
  <c r="Y116" i="13"/>
  <c r="V116" i="13"/>
  <c r="P116" i="13"/>
  <c r="N116" i="13"/>
  <c r="M116" i="13"/>
  <c r="J116" i="13"/>
  <c r="Y115" i="13"/>
  <c r="V115" i="13"/>
  <c r="P115" i="13"/>
  <c r="N115" i="13"/>
  <c r="M115" i="13"/>
  <c r="J115" i="13"/>
  <c r="Y114" i="13"/>
  <c r="V114" i="13"/>
  <c r="P114" i="13"/>
  <c r="N114" i="13"/>
  <c r="M114" i="13"/>
  <c r="J114" i="13"/>
  <c r="Y113" i="13"/>
  <c r="V113" i="13"/>
  <c r="P113" i="13"/>
  <c r="N113" i="13"/>
  <c r="M113" i="13"/>
  <c r="J113" i="13"/>
  <c r="Y112" i="13"/>
  <c r="V112" i="13"/>
  <c r="P112" i="13"/>
  <c r="N112" i="13"/>
  <c r="M112" i="13"/>
  <c r="J112" i="13"/>
  <c r="Y110" i="13"/>
  <c r="V110" i="13"/>
  <c r="P110" i="13"/>
  <c r="N110" i="13"/>
  <c r="M110" i="13"/>
  <c r="J110" i="13"/>
  <c r="Y109" i="13"/>
  <c r="V109" i="13"/>
  <c r="P109" i="13"/>
  <c r="N109" i="13"/>
  <c r="M109" i="13"/>
  <c r="J109" i="13"/>
  <c r="Y108" i="13"/>
  <c r="V108" i="13"/>
  <c r="P108" i="13"/>
  <c r="N108" i="13"/>
  <c r="M108" i="13"/>
  <c r="J108" i="13"/>
  <c r="Y107" i="13"/>
  <c r="V107" i="13"/>
  <c r="P107" i="13"/>
  <c r="N107" i="13"/>
  <c r="M107" i="13"/>
  <c r="J107" i="13"/>
  <c r="Y106" i="13"/>
  <c r="V106" i="13"/>
  <c r="P106" i="13"/>
  <c r="N106" i="13"/>
  <c r="M106" i="13"/>
  <c r="J106" i="13"/>
  <c r="Y104" i="13"/>
  <c r="P104" i="13"/>
  <c r="N104" i="13"/>
  <c r="M104" i="13"/>
  <c r="J104" i="13"/>
  <c r="Y103" i="13"/>
  <c r="P103" i="13"/>
  <c r="N103" i="13"/>
  <c r="M103" i="13"/>
  <c r="J103" i="13"/>
  <c r="Y102" i="13"/>
  <c r="V102" i="13"/>
  <c r="P102" i="13"/>
  <c r="N102" i="13"/>
  <c r="M102" i="13"/>
  <c r="J102" i="13"/>
  <c r="Y101" i="13"/>
  <c r="P101" i="13"/>
  <c r="N101" i="13"/>
  <c r="M101" i="13"/>
  <c r="J101" i="13"/>
  <c r="P100" i="13"/>
  <c r="N100" i="13"/>
  <c r="M100" i="13"/>
  <c r="J100" i="13"/>
  <c r="Y98" i="13"/>
  <c r="P98" i="13"/>
  <c r="N98" i="13"/>
  <c r="M98" i="13"/>
  <c r="J98" i="13"/>
  <c r="Y97" i="13"/>
  <c r="P97" i="13"/>
  <c r="N97" i="13"/>
  <c r="M97" i="13"/>
  <c r="J97" i="13"/>
  <c r="Y96" i="13"/>
  <c r="P96" i="13"/>
  <c r="N96" i="13"/>
  <c r="M96" i="13"/>
  <c r="J96" i="13"/>
  <c r="Y95" i="13"/>
  <c r="P95" i="13"/>
  <c r="N95" i="13"/>
  <c r="M95" i="13"/>
  <c r="J95" i="13"/>
  <c r="Y94" i="13"/>
  <c r="P94" i="13"/>
  <c r="N94" i="13"/>
  <c r="M94" i="13"/>
  <c r="J94" i="13"/>
  <c r="Y93" i="13"/>
  <c r="P93" i="13"/>
  <c r="N93" i="13"/>
  <c r="M93" i="13"/>
  <c r="J93" i="13"/>
  <c r="Y92" i="13"/>
  <c r="P92" i="13"/>
  <c r="N92" i="13"/>
  <c r="M92" i="13"/>
  <c r="J92" i="13"/>
  <c r="Y91" i="13"/>
  <c r="P91" i="13"/>
  <c r="N91" i="13"/>
  <c r="M91" i="13"/>
  <c r="J91" i="13"/>
  <c r="Y90" i="13"/>
  <c r="P90" i="13"/>
  <c r="N90" i="13"/>
  <c r="M90" i="13"/>
  <c r="J90" i="13"/>
  <c r="Y89" i="13"/>
  <c r="P89" i="13"/>
  <c r="N89" i="13"/>
  <c r="M89" i="13"/>
  <c r="J89" i="13"/>
  <c r="Y88" i="13"/>
  <c r="P88" i="13"/>
  <c r="N88" i="13"/>
  <c r="M88" i="13"/>
  <c r="J88" i="13"/>
  <c r="Y87" i="13"/>
  <c r="P87" i="13"/>
  <c r="N87" i="13"/>
  <c r="M87" i="13"/>
  <c r="J87" i="13"/>
  <c r="Y86" i="13"/>
  <c r="P86" i="13"/>
  <c r="N86" i="13"/>
  <c r="M86" i="13"/>
  <c r="J86" i="13"/>
  <c r="Y85" i="13"/>
  <c r="P85" i="13"/>
  <c r="N85" i="13"/>
  <c r="M85" i="13"/>
  <c r="J85" i="13"/>
  <c r="Y84" i="13"/>
  <c r="P84" i="13"/>
  <c r="N84" i="13"/>
  <c r="M84" i="13"/>
  <c r="J84" i="13"/>
  <c r="Y83" i="13"/>
  <c r="P83" i="13"/>
  <c r="N83" i="13"/>
  <c r="M83" i="13"/>
  <c r="J83" i="13"/>
  <c r="Y82" i="13"/>
  <c r="P82" i="13"/>
  <c r="N82" i="13"/>
  <c r="M82" i="13"/>
  <c r="J82" i="13"/>
  <c r="P81" i="13"/>
  <c r="N81" i="13"/>
  <c r="M81" i="13"/>
  <c r="J81" i="13"/>
  <c r="Y79" i="13"/>
  <c r="V79" i="13"/>
  <c r="N79" i="13"/>
  <c r="M79" i="13"/>
  <c r="J79" i="13"/>
  <c r="Y78" i="13"/>
  <c r="V78" i="13"/>
  <c r="N78" i="13"/>
  <c r="M78" i="13"/>
  <c r="J78" i="13"/>
  <c r="Y77" i="13"/>
  <c r="V77" i="13"/>
  <c r="P77" i="13"/>
  <c r="N77" i="13"/>
  <c r="M77" i="13"/>
  <c r="J77" i="13"/>
  <c r="Y76" i="13"/>
  <c r="V76" i="13"/>
  <c r="N76" i="13"/>
  <c r="M76" i="13"/>
  <c r="J76" i="13"/>
  <c r="Y75" i="13"/>
  <c r="W75" i="13"/>
  <c r="V75" i="13"/>
  <c r="N75" i="13"/>
  <c r="M75" i="13"/>
  <c r="J75" i="13"/>
  <c r="Y74" i="13"/>
  <c r="V74" i="13"/>
  <c r="N74" i="13"/>
  <c r="M74" i="13"/>
  <c r="J74" i="13"/>
  <c r="Y73" i="13"/>
  <c r="V73" i="13"/>
  <c r="N73" i="13"/>
  <c r="M73" i="13"/>
  <c r="J73" i="13"/>
  <c r="Y72" i="13"/>
  <c r="V72" i="13"/>
  <c r="N72" i="13"/>
  <c r="M72" i="13"/>
  <c r="J72" i="13"/>
  <c r="Y71" i="13"/>
  <c r="V71" i="13"/>
  <c r="N71" i="13"/>
  <c r="M71" i="13"/>
  <c r="J71" i="13"/>
  <c r="Y70" i="13"/>
  <c r="V70" i="13"/>
  <c r="N70" i="13"/>
  <c r="M70" i="13"/>
  <c r="J70" i="13"/>
  <c r="Y69" i="13"/>
  <c r="V69" i="13"/>
  <c r="N69" i="13"/>
  <c r="M69" i="13"/>
  <c r="J69" i="13"/>
  <c r="Y68" i="13"/>
  <c r="V68" i="13"/>
  <c r="N68" i="13"/>
  <c r="M68" i="13"/>
  <c r="J68" i="13"/>
  <c r="V67" i="13"/>
  <c r="N67" i="13"/>
  <c r="M67" i="13"/>
  <c r="J67" i="13"/>
  <c r="Y65" i="13"/>
  <c r="V65" i="13"/>
  <c r="N65" i="13"/>
  <c r="M65" i="13"/>
  <c r="J65" i="13"/>
  <c r="Y64" i="13"/>
  <c r="V64" i="13"/>
  <c r="N64" i="13"/>
  <c r="M64" i="13"/>
  <c r="J64" i="13"/>
  <c r="Y63" i="13"/>
  <c r="V63" i="13"/>
  <c r="N63" i="13"/>
  <c r="M63" i="13"/>
  <c r="J63" i="13"/>
  <c r="Y62" i="13"/>
  <c r="V62" i="13"/>
  <c r="N62" i="13"/>
  <c r="M62" i="13"/>
  <c r="J62" i="13"/>
  <c r="V61" i="13"/>
  <c r="N61" i="13"/>
  <c r="M61" i="13"/>
  <c r="J61" i="13"/>
  <c r="Y59" i="13"/>
  <c r="V59" i="13"/>
  <c r="N59" i="13"/>
  <c r="M59" i="13"/>
  <c r="J59" i="13"/>
  <c r="Y58" i="13"/>
  <c r="V58" i="13"/>
  <c r="N58" i="13"/>
  <c r="M58" i="13"/>
  <c r="J58" i="13"/>
  <c r="Y57" i="13"/>
  <c r="V57" i="13"/>
  <c r="N57" i="13"/>
  <c r="M57" i="13"/>
  <c r="J57" i="13"/>
  <c r="Y56" i="13"/>
  <c r="V56" i="13"/>
  <c r="N56" i="13"/>
  <c r="M56" i="13"/>
  <c r="J56" i="13"/>
  <c r="Y55" i="13"/>
  <c r="V55" i="13"/>
  <c r="N55" i="13"/>
  <c r="M55" i="13"/>
  <c r="J55" i="13"/>
  <c r="Y54" i="13"/>
  <c r="V54" i="13"/>
  <c r="N54" i="13"/>
  <c r="M54" i="13"/>
  <c r="Y53" i="13"/>
  <c r="V53" i="13"/>
  <c r="N53" i="13"/>
  <c r="M53" i="13"/>
  <c r="Y52" i="13"/>
  <c r="V52" i="13"/>
  <c r="N52" i="13"/>
  <c r="M52" i="13"/>
  <c r="J52" i="13"/>
  <c r="V51" i="13"/>
  <c r="N51" i="13"/>
  <c r="M51" i="13"/>
  <c r="J51" i="13"/>
  <c r="Y49" i="13"/>
  <c r="P49" i="13"/>
  <c r="N49" i="13"/>
  <c r="M49" i="13"/>
  <c r="Y48" i="13"/>
  <c r="P48" i="13"/>
  <c r="N48" i="13"/>
  <c r="M48" i="13"/>
  <c r="Y47" i="13"/>
  <c r="V47" i="13"/>
  <c r="U47" i="13"/>
  <c r="P47" i="13"/>
  <c r="N47" i="13"/>
  <c r="M47" i="13"/>
  <c r="P46" i="13"/>
  <c r="N46" i="13"/>
  <c r="M46" i="13"/>
  <c r="Y44" i="13"/>
  <c r="V44" i="13"/>
  <c r="N44" i="13"/>
  <c r="M44" i="13"/>
  <c r="J44" i="13"/>
  <c r="Y43" i="13"/>
  <c r="V43" i="13"/>
  <c r="N43" i="13"/>
  <c r="M43" i="13"/>
  <c r="J43" i="13"/>
  <c r="Y42" i="13"/>
  <c r="V42" i="13"/>
  <c r="N42" i="13"/>
  <c r="M42" i="13"/>
  <c r="J42" i="13"/>
  <c r="Y41" i="13"/>
  <c r="V41" i="13"/>
  <c r="N41" i="13"/>
  <c r="M41" i="13"/>
  <c r="J41" i="13"/>
  <c r="Y40" i="13"/>
  <c r="V40" i="13"/>
  <c r="N40" i="13"/>
  <c r="M40" i="13"/>
  <c r="J40" i="13"/>
  <c r="Y39" i="13"/>
  <c r="V39" i="13"/>
  <c r="N39" i="13"/>
  <c r="M39" i="13"/>
  <c r="J39" i="13"/>
  <c r="Y38" i="13"/>
  <c r="V38" i="13"/>
  <c r="N38" i="13"/>
  <c r="M38" i="13"/>
  <c r="J38" i="13"/>
  <c r="Y37" i="13"/>
  <c r="V37" i="13"/>
  <c r="N37" i="13"/>
  <c r="M37" i="13"/>
  <c r="J37" i="13"/>
  <c r="V36" i="13"/>
  <c r="N36" i="13"/>
  <c r="M36" i="13"/>
  <c r="J36" i="13"/>
  <c r="Y34" i="13"/>
  <c r="V34" i="13"/>
  <c r="N34" i="13"/>
  <c r="M34" i="13"/>
  <c r="J34" i="13"/>
  <c r="Y33" i="13"/>
  <c r="V33" i="13"/>
  <c r="N33" i="13"/>
  <c r="M33" i="13"/>
  <c r="J33" i="13"/>
  <c r="Y32" i="13"/>
  <c r="V32" i="13"/>
  <c r="N32" i="13"/>
  <c r="M32" i="13"/>
  <c r="J32" i="13"/>
  <c r="Y31" i="13"/>
  <c r="V31" i="13"/>
  <c r="N31" i="13"/>
  <c r="M31" i="13"/>
  <c r="J31" i="13"/>
  <c r="Y30" i="13"/>
  <c r="V30" i="13"/>
  <c r="N30" i="13"/>
  <c r="M30" i="13"/>
  <c r="J30" i="13"/>
  <c r="Y29" i="13"/>
  <c r="V29" i="13"/>
  <c r="N29" i="13"/>
  <c r="M29" i="13"/>
  <c r="J29" i="13"/>
  <c r="Y28" i="13"/>
  <c r="V28" i="13"/>
  <c r="N28" i="13"/>
  <c r="M28" i="13"/>
  <c r="J28" i="13"/>
  <c r="Y27" i="13"/>
  <c r="V27" i="13"/>
  <c r="N27" i="13"/>
  <c r="M27" i="13"/>
  <c r="J27" i="13"/>
  <c r="V26" i="13"/>
  <c r="N26" i="13"/>
  <c r="M26" i="13"/>
  <c r="J26" i="13"/>
  <c r="Y24" i="13"/>
  <c r="V24" i="13"/>
  <c r="N24" i="13"/>
  <c r="M24" i="13"/>
  <c r="J24" i="13"/>
  <c r="Y23" i="13"/>
  <c r="V23" i="13"/>
  <c r="N23" i="13"/>
  <c r="M23" i="13"/>
  <c r="J23" i="13"/>
  <c r="Y22" i="13"/>
  <c r="V22" i="13"/>
  <c r="N22" i="13"/>
  <c r="M22" i="13"/>
  <c r="J22" i="13"/>
  <c r="Y21" i="13"/>
  <c r="V21" i="13"/>
  <c r="N21" i="13"/>
  <c r="M21" i="13"/>
  <c r="J21" i="13"/>
  <c r="Y20" i="13"/>
  <c r="V20" i="13"/>
  <c r="N20" i="13"/>
  <c r="M20" i="13"/>
  <c r="J20" i="13"/>
  <c r="Y19" i="13"/>
  <c r="V19" i="13"/>
  <c r="N19" i="13"/>
  <c r="M19" i="13"/>
  <c r="J19" i="13"/>
  <c r="Y18" i="13"/>
  <c r="V18" i="13"/>
  <c r="P18" i="13"/>
  <c r="N18" i="13"/>
  <c r="M18" i="13"/>
  <c r="J18" i="13"/>
  <c r="V17" i="13"/>
  <c r="N17" i="13"/>
  <c r="M17" i="13"/>
  <c r="J17" i="13"/>
  <c r="Y15" i="13"/>
  <c r="V15" i="13"/>
  <c r="N15" i="13"/>
  <c r="M15" i="13"/>
  <c r="Y14" i="13"/>
  <c r="V14" i="13"/>
  <c r="N14" i="13"/>
  <c r="M14" i="13"/>
  <c r="Y13" i="13"/>
  <c r="V13" i="13"/>
  <c r="N13" i="13"/>
  <c r="M13" i="13"/>
  <c r="Y12" i="13"/>
  <c r="V12" i="13"/>
  <c r="N12" i="13"/>
  <c r="M12" i="13"/>
  <c r="Y11" i="13"/>
  <c r="V11" i="13"/>
  <c r="P11" i="13"/>
  <c r="N11" i="13"/>
  <c r="M11" i="13"/>
  <c r="Y10" i="13"/>
  <c r="V10" i="13"/>
  <c r="P10" i="13"/>
  <c r="N10" i="13"/>
  <c r="M10" i="13"/>
  <c r="Y9" i="13"/>
  <c r="V9" i="13"/>
  <c r="N9" i="13"/>
  <c r="M9" i="13"/>
  <c r="Y8" i="13"/>
  <c r="V8" i="13"/>
  <c r="N8" i="13"/>
  <c r="M8" i="13"/>
  <c r="Y7" i="13"/>
  <c r="V7" i="13"/>
  <c r="N7" i="13"/>
  <c r="M7" i="13"/>
  <c r="Y6" i="13"/>
  <c r="V6" i="13"/>
  <c r="N6" i="13"/>
  <c r="M6" i="13"/>
  <c r="Y5" i="13"/>
  <c r="V5" i="13"/>
  <c r="P5" i="13"/>
  <c r="N5" i="13"/>
  <c r="M5" i="13"/>
  <c r="Y4" i="13"/>
  <c r="V4" i="13"/>
  <c r="N4" i="13"/>
  <c r="M4" i="13"/>
  <c r="V3" i="13"/>
  <c r="N3" i="13"/>
  <c r="M3" i="13"/>
  <c r="V104" i="13" l="1"/>
  <c r="V89" i="13"/>
  <c r="V93" i="13"/>
  <c r="V101" i="13"/>
  <c r="V86" i="13"/>
  <c r="V97" i="13"/>
  <c r="V153" i="13"/>
  <c r="V91" i="13"/>
  <c r="V84" i="13"/>
  <c r="V171" i="13"/>
  <c r="V155" i="13"/>
  <c r="V156" i="13"/>
  <c r="P21" i="13"/>
  <c r="P22" i="13"/>
  <c r="P17" i="13"/>
  <c r="V83" i="13"/>
  <c r="V149" i="13"/>
  <c r="V95" i="13"/>
  <c r="V151" i="13"/>
  <c r="P3" i="13"/>
  <c r="P54" i="13"/>
  <c r="V87" i="13"/>
  <c r="T119" i="2"/>
  <c r="J119" i="2"/>
  <c r="J120" i="2"/>
  <c r="J121" i="2"/>
  <c r="J122" i="2"/>
  <c r="J123" i="2"/>
  <c r="J124" i="2"/>
  <c r="J118" i="2"/>
  <c r="J113" i="2"/>
  <c r="J114" i="2"/>
  <c r="J115" i="2"/>
  <c r="J116" i="2"/>
  <c r="J112" i="2"/>
  <c r="P119" i="2"/>
  <c r="N119" i="2"/>
  <c r="M119" i="2"/>
  <c r="J146" i="2" l="1"/>
  <c r="J145" i="2"/>
  <c r="J144" i="2"/>
  <c r="J143" i="2"/>
  <c r="J142" i="2"/>
  <c r="J141" i="2"/>
  <c r="J140" i="2"/>
  <c r="J139" i="2"/>
  <c r="J138" i="2"/>
  <c r="J136" i="2"/>
  <c r="J135" i="2"/>
  <c r="J134" i="2"/>
  <c r="U119" i="2" l="1"/>
  <c r="U233" i="13"/>
  <c r="O163" i="2" l="1"/>
  <c r="O159" i="2"/>
  <c r="O165" i="2"/>
  <c r="O161" i="2"/>
  <c r="O164" i="2"/>
  <c r="O160" i="2"/>
  <c r="O166" i="2"/>
  <c r="O162" i="2"/>
  <c r="O158" i="2"/>
  <c r="O119" i="2"/>
  <c r="O207" i="13"/>
  <c r="O201" i="13"/>
  <c r="O198" i="13"/>
  <c r="O221" i="13"/>
  <c r="O200" i="2"/>
  <c r="O198" i="2"/>
  <c r="O209" i="13"/>
  <c r="O205" i="13"/>
  <c r="O203" i="13"/>
  <c r="O200" i="13"/>
  <c r="O209" i="2"/>
  <c r="O208" i="2"/>
  <c r="O207" i="2"/>
  <c r="O206" i="2"/>
  <c r="O205" i="2"/>
  <c r="O204" i="2"/>
  <c r="O203" i="2"/>
  <c r="O202" i="2"/>
  <c r="O201" i="2"/>
  <c r="O199" i="2"/>
  <c r="O208" i="13"/>
  <c r="O206" i="13"/>
  <c r="O204" i="13"/>
  <c r="O202" i="13"/>
  <c r="O199" i="13"/>
  <c r="O221" i="2"/>
  <c r="O231" i="13"/>
  <c r="O228" i="13"/>
  <c r="O226" i="13"/>
  <c r="O223" i="13"/>
  <c r="O217" i="13"/>
  <c r="O213" i="13"/>
  <c r="O194" i="13"/>
  <c r="O156" i="13"/>
  <c r="O154" i="13"/>
  <c r="O149" i="13"/>
  <c r="O145" i="13"/>
  <c r="O141" i="13"/>
  <c r="O135" i="13"/>
  <c r="O120" i="13"/>
  <c r="O115" i="13"/>
  <c r="O109" i="13"/>
  <c r="O104" i="13"/>
  <c r="O100" i="13"/>
  <c r="O81" i="13"/>
  <c r="O77" i="13"/>
  <c r="O67" i="13"/>
  <c r="O53" i="13"/>
  <c r="O9" i="13"/>
  <c r="O218" i="13"/>
  <c r="O195" i="13"/>
  <c r="O190" i="13"/>
  <c r="O186" i="13"/>
  <c r="O182" i="13"/>
  <c r="O176" i="13"/>
  <c r="O174" i="13"/>
  <c r="O146" i="13"/>
  <c r="O138" i="13"/>
  <c r="O130" i="13"/>
  <c r="O121" i="13"/>
  <c r="O118" i="13"/>
  <c r="O110" i="13"/>
  <c r="O233" i="13"/>
  <c r="O230" i="13"/>
  <c r="O225" i="13"/>
  <c r="O220" i="13"/>
  <c r="O216" i="13"/>
  <c r="O212" i="13"/>
  <c r="O193" i="13"/>
  <c r="O191" i="13"/>
  <c r="O189" i="13"/>
  <c r="O187" i="13"/>
  <c r="O185" i="13"/>
  <c r="O183" i="13"/>
  <c r="O181" i="13"/>
  <c r="O179" i="13"/>
  <c r="O177" i="13"/>
  <c r="O175" i="13"/>
  <c r="O173" i="13"/>
  <c r="O170" i="13"/>
  <c r="O151" i="13"/>
  <c r="O144" i="13"/>
  <c r="O140" i="13"/>
  <c r="O134" i="13"/>
  <c r="O128" i="13"/>
  <c r="O114" i="13"/>
  <c r="O108" i="13"/>
  <c r="O101" i="13"/>
  <c r="O98" i="13"/>
  <c r="O96" i="13"/>
  <c r="O94" i="13"/>
  <c r="O92" i="13"/>
  <c r="O90" i="13"/>
  <c r="O88" i="13"/>
  <c r="O86" i="13"/>
  <c r="O84" i="13"/>
  <c r="O82" i="13"/>
  <c r="O79" i="13"/>
  <c r="O74" i="13"/>
  <c r="O72" i="13"/>
  <c r="O70" i="13"/>
  <c r="O68" i="13"/>
  <c r="O65" i="13"/>
  <c r="O63" i="13"/>
  <c r="O58" i="13"/>
  <c r="O56" i="13"/>
  <c r="O54" i="13"/>
  <c r="O44" i="13"/>
  <c r="O42" i="13"/>
  <c r="O40" i="13"/>
  <c r="O38" i="13"/>
  <c r="O33" i="13"/>
  <c r="O31" i="13"/>
  <c r="O29" i="13"/>
  <c r="O27" i="13"/>
  <c r="O24" i="13"/>
  <c r="O22" i="13"/>
  <c r="O20" i="13"/>
  <c r="O12" i="13"/>
  <c r="O10" i="13"/>
  <c r="O6" i="13"/>
  <c r="O26" i="13"/>
  <c r="O18" i="13"/>
  <c r="O232" i="13"/>
  <c r="O214" i="13"/>
  <c r="O188" i="13"/>
  <c r="O184" i="13"/>
  <c r="O180" i="13"/>
  <c r="O178" i="13"/>
  <c r="O171" i="13"/>
  <c r="O169" i="13"/>
  <c r="O152" i="13"/>
  <c r="O148" i="13"/>
  <c r="O142" i="13"/>
  <c r="O136" i="13"/>
  <c r="O131" i="13"/>
  <c r="O129" i="13"/>
  <c r="O126" i="13"/>
  <c r="O116" i="13"/>
  <c r="O112" i="13"/>
  <c r="O106" i="13"/>
  <c r="O102" i="13"/>
  <c r="O97" i="13"/>
  <c r="O153" i="13"/>
  <c r="O124" i="13"/>
  <c r="O119" i="13"/>
  <c r="O113" i="13"/>
  <c r="O107" i="13"/>
  <c r="O89" i="13"/>
  <c r="O73" i="13"/>
  <c r="O55" i="13"/>
  <c r="O41" i="13"/>
  <c r="O30" i="13"/>
  <c r="O23" i="13"/>
  <c r="O14" i="13"/>
  <c r="O5" i="13"/>
  <c r="O4" i="13"/>
  <c r="O224" i="13"/>
  <c r="O211" i="13"/>
  <c r="O95" i="13"/>
  <c r="O64" i="13"/>
  <c r="O48" i="13"/>
  <c r="O219" i="13"/>
  <c r="O155" i="13"/>
  <c r="O143" i="13"/>
  <c r="O91" i="13"/>
  <c r="O83" i="13"/>
  <c r="O75" i="13"/>
  <c r="O57" i="13"/>
  <c r="O43" i="13"/>
  <c r="O32" i="13"/>
  <c r="O17" i="13"/>
  <c r="O13" i="13"/>
  <c r="O8" i="13"/>
  <c r="O3" i="13"/>
  <c r="O19" i="13"/>
  <c r="O7" i="13"/>
  <c r="O123" i="13"/>
  <c r="O71" i="13"/>
  <c r="O51" i="13"/>
  <c r="O39" i="13"/>
  <c r="O36" i="13"/>
  <c r="O21" i="13"/>
  <c r="O11" i="13"/>
  <c r="O229" i="13"/>
  <c r="O222" i="13"/>
  <c r="O215" i="13"/>
  <c r="O168" i="13"/>
  <c r="O150" i="13"/>
  <c r="O139" i="13"/>
  <c r="O127" i="13"/>
  <c r="O122" i="13"/>
  <c r="O103" i="13"/>
  <c r="O93" i="13"/>
  <c r="O85" i="13"/>
  <c r="O78" i="13"/>
  <c r="O76" i="13"/>
  <c r="O69" i="13"/>
  <c r="O62" i="13"/>
  <c r="O59" i="13"/>
  <c r="O52" i="13"/>
  <c r="O49" i="13"/>
  <c r="O47" i="13"/>
  <c r="O46" i="13"/>
  <c r="O37" i="13"/>
  <c r="O34" i="13"/>
  <c r="O196" i="13"/>
  <c r="O87" i="13"/>
  <c r="O61" i="13"/>
  <c r="O28" i="13"/>
  <c r="U128" i="13"/>
  <c r="U124" i="13"/>
  <c r="U123" i="13"/>
  <c r="U122" i="13"/>
  <c r="U129" i="13"/>
  <c r="U118" i="13"/>
  <c r="U130" i="13"/>
  <c r="U126" i="13"/>
  <c r="U232" i="13"/>
  <c r="U49" i="13"/>
  <c r="U48" i="13"/>
  <c r="O15" i="13"/>
  <c r="O136" i="2"/>
  <c r="N136" i="2"/>
  <c r="M136" i="2"/>
  <c r="O135" i="2"/>
  <c r="N135" i="2"/>
  <c r="M135" i="2"/>
  <c r="P135" i="2"/>
  <c r="P136" i="2"/>
  <c r="V135" i="2"/>
  <c r="V136" i="2"/>
  <c r="P138" i="2" l="1"/>
  <c r="N138" i="2"/>
  <c r="M138" i="2"/>
  <c r="P134" i="2"/>
  <c r="N134" i="2"/>
  <c r="M134" i="2"/>
  <c r="M131" i="2"/>
  <c r="N131" i="2"/>
  <c r="P131" i="2"/>
  <c r="T131" i="2"/>
  <c r="H108" i="7" l="1"/>
  <c r="G108" i="7"/>
  <c r="D108" i="7"/>
  <c r="C108" i="7"/>
  <c r="B108" i="7"/>
  <c r="C95" i="7"/>
  <c r="G95" i="7"/>
  <c r="D95" i="7"/>
  <c r="I95" i="7"/>
  <c r="H95" i="7"/>
  <c r="V138" i="2" l="1"/>
  <c r="V134" i="2"/>
  <c r="V146" i="2"/>
  <c r="V145" i="2"/>
  <c r="V144" i="2"/>
  <c r="V143" i="2"/>
  <c r="V142" i="2"/>
  <c r="V141" i="2"/>
  <c r="V140" i="2"/>
  <c r="V139" i="2"/>
  <c r="M139" i="2"/>
  <c r="M140" i="2"/>
  <c r="M141" i="2"/>
  <c r="M142" i="2"/>
  <c r="M143" i="2"/>
  <c r="M144" i="2"/>
  <c r="M145" i="2"/>
  <c r="M146" i="2"/>
  <c r="N139" i="2"/>
  <c r="N140" i="2"/>
  <c r="N141" i="2"/>
  <c r="N142" i="2"/>
  <c r="N143" i="2"/>
  <c r="N144" i="2"/>
  <c r="N145" i="2"/>
  <c r="N146" i="2"/>
  <c r="P139" i="2"/>
  <c r="P140" i="2"/>
  <c r="P141" i="2"/>
  <c r="P142" i="2"/>
  <c r="P143" i="2"/>
  <c r="P144" i="2"/>
  <c r="P145" i="2"/>
  <c r="P146" i="2"/>
  <c r="T130" i="2"/>
  <c r="P130" i="2"/>
  <c r="N130" i="2"/>
  <c r="M130" i="2"/>
  <c r="T129" i="2"/>
  <c r="P129" i="2"/>
  <c r="N129" i="2"/>
  <c r="M129" i="2"/>
  <c r="P128" i="2"/>
  <c r="N128" i="2"/>
  <c r="M128" i="2"/>
  <c r="V127" i="2"/>
  <c r="P127" i="2"/>
  <c r="N127" i="2"/>
  <c r="M127" i="2"/>
  <c r="T126" i="2"/>
  <c r="P126" i="2"/>
  <c r="N126" i="2"/>
  <c r="M126" i="2"/>
  <c r="T148" i="2" l="1"/>
  <c r="T149" i="2"/>
  <c r="T151" i="2"/>
  <c r="T153" i="2"/>
  <c r="T154" i="2"/>
  <c r="T155" i="2"/>
  <c r="V59" i="2" l="1"/>
  <c r="M59" i="2" l="1"/>
  <c r="N59" i="2"/>
  <c r="V15" i="2" l="1"/>
  <c r="P15" i="2"/>
  <c r="N15" i="2"/>
  <c r="M15" i="2"/>
  <c r="V14" i="2"/>
  <c r="N14" i="2"/>
  <c r="M14" i="2"/>
  <c r="V49" i="2"/>
  <c r="P49" i="2"/>
  <c r="N49" i="2"/>
  <c r="M49" i="2"/>
  <c r="T82" i="2"/>
  <c r="T83" i="2"/>
  <c r="T84" i="2"/>
  <c r="T85" i="2"/>
  <c r="T86" i="2"/>
  <c r="T87" i="2"/>
  <c r="T88" i="2"/>
  <c r="T89" i="2"/>
  <c r="T90" i="2"/>
  <c r="T91" i="2"/>
  <c r="T92" i="2"/>
  <c r="T93" i="2"/>
  <c r="T94" i="2"/>
  <c r="T95" i="2"/>
  <c r="T96" i="2"/>
  <c r="T97" i="2"/>
  <c r="T98" i="2"/>
  <c r="M81" i="2"/>
  <c r="J59" i="2"/>
  <c r="J58" i="2"/>
  <c r="J57" i="2"/>
  <c r="J56" i="2"/>
  <c r="J55" i="2"/>
  <c r="J52" i="2"/>
  <c r="J51" i="2"/>
  <c r="V152" i="2" l="1"/>
  <c r="J233" i="2" l="1"/>
  <c r="J232" i="2"/>
  <c r="J231" i="2"/>
  <c r="J230" i="2"/>
  <c r="J229" i="2"/>
  <c r="J228" i="2"/>
  <c r="M231" i="2"/>
  <c r="N231" i="2"/>
  <c r="P231" i="2"/>
  <c r="V231" i="2"/>
  <c r="U232" i="2"/>
  <c r="T232" i="2"/>
  <c r="J156" i="2"/>
  <c r="J155" i="2"/>
  <c r="J154" i="2"/>
  <c r="J153" i="2"/>
  <c r="J152" i="2"/>
  <c r="J151" i="2"/>
  <c r="J150" i="2"/>
  <c r="J149" i="2"/>
  <c r="J148" i="2"/>
  <c r="J98" i="2"/>
  <c r="J97" i="2"/>
  <c r="J96" i="2"/>
  <c r="J95" i="2"/>
  <c r="J94" i="2"/>
  <c r="J93" i="2"/>
  <c r="J92" i="2"/>
  <c r="J91" i="2"/>
  <c r="J90" i="2"/>
  <c r="J89" i="2"/>
  <c r="J88" i="2"/>
  <c r="J87" i="2"/>
  <c r="J86" i="2"/>
  <c r="J85" i="2"/>
  <c r="J84" i="2"/>
  <c r="J83" i="2"/>
  <c r="J82" i="2"/>
  <c r="J81" i="2"/>
  <c r="J79" i="2"/>
  <c r="J78" i="2"/>
  <c r="J77" i="2"/>
  <c r="J76" i="2"/>
  <c r="J75" i="2"/>
  <c r="J74" i="2"/>
  <c r="J73" i="2"/>
  <c r="J72" i="2"/>
  <c r="J71" i="2"/>
  <c r="J70" i="2"/>
  <c r="J69" i="2"/>
  <c r="J68" i="2"/>
  <c r="J67" i="2"/>
  <c r="J65" i="2"/>
  <c r="J64" i="2"/>
  <c r="J63" i="2"/>
  <c r="J62" i="2"/>
  <c r="J61" i="2"/>
  <c r="T233" i="2"/>
  <c r="T171" i="2"/>
  <c r="T156" i="2"/>
  <c r="T124" i="2"/>
  <c r="T123" i="2"/>
  <c r="T122" i="2"/>
  <c r="T118" i="2"/>
  <c r="T104" i="2"/>
  <c r="T103" i="2"/>
  <c r="T102" i="2"/>
  <c r="T101" i="2"/>
  <c r="T100" i="2"/>
  <c r="U171" i="2"/>
  <c r="U156" i="2"/>
  <c r="U104" i="2"/>
  <c r="U103" i="2"/>
  <c r="U102" i="2"/>
  <c r="U101" i="2"/>
  <c r="U100" i="2"/>
  <c r="T46" i="2"/>
  <c r="U46" i="2" l="1"/>
  <c r="M26" i="2" l="1"/>
  <c r="M104" i="2"/>
  <c r="M103" i="2"/>
  <c r="M102" i="2"/>
  <c r="M101" i="2"/>
  <c r="P77" i="2"/>
  <c r="N77" i="2"/>
  <c r="M77" i="2"/>
  <c r="N74" i="2"/>
  <c r="M74" i="2"/>
  <c r="M48" i="2"/>
  <c r="N48" i="2"/>
  <c r="P48" i="2"/>
  <c r="M47" i="2"/>
  <c r="N47" i="2"/>
  <c r="P47" i="2"/>
  <c r="P46" i="2"/>
  <c r="N46" i="2"/>
  <c r="M46" i="2"/>
  <c r="M32" i="2"/>
  <c r="N32" i="2"/>
  <c r="W75" i="2"/>
  <c r="M232" i="2" l="1"/>
  <c r="M233" i="2"/>
  <c r="N232" i="2"/>
  <c r="N233" i="2"/>
  <c r="P232" i="2"/>
  <c r="M171" i="2"/>
  <c r="N171" i="2"/>
  <c r="M156" i="2"/>
  <c r="M124" i="2"/>
  <c r="N124" i="2"/>
  <c r="M116" i="2"/>
  <c r="N116" i="2"/>
  <c r="M98" i="2"/>
  <c r="N98" i="2"/>
  <c r="M79" i="2"/>
  <c r="N79" i="2"/>
  <c r="V79" i="2"/>
  <c r="P233" i="2" l="1"/>
  <c r="P116" i="2"/>
  <c r="M65" i="2"/>
  <c r="N65" i="2"/>
  <c r="O59" i="2" l="1"/>
  <c r="U233" i="2"/>
  <c r="P171" i="2"/>
  <c r="P124" i="2"/>
  <c r="J194" i="2" l="1"/>
  <c r="J195" i="2"/>
  <c r="J196" i="2"/>
  <c r="J193" i="2"/>
  <c r="J107" i="2"/>
  <c r="J108" i="2"/>
  <c r="J109" i="2"/>
  <c r="J110" i="2"/>
  <c r="J106" i="2"/>
  <c r="C34" i="1"/>
  <c r="D20" i="1" l="1"/>
  <c r="E20" i="1" s="1"/>
  <c r="E44" i="14" s="1"/>
  <c r="G44" i="14" s="1"/>
  <c r="D21" i="1"/>
  <c r="E21" i="1" s="1"/>
  <c r="D22" i="1"/>
  <c r="E22" i="1" s="1"/>
  <c r="E46" i="14" s="1"/>
  <c r="D26" i="1"/>
  <c r="E26" i="1" s="1"/>
  <c r="D19" i="1"/>
  <c r="E19" i="1" s="1"/>
  <c r="E43" i="14" s="1"/>
  <c r="G43" i="14" s="1"/>
  <c r="D24" i="1"/>
  <c r="E24" i="1" s="1"/>
  <c r="E48" i="14" s="1"/>
  <c r="G48" i="14" s="1"/>
  <c r="D8" i="1"/>
  <c r="E8" i="1" s="1"/>
  <c r="E32" i="14" s="1"/>
  <c r="D12" i="1"/>
  <c r="E12" i="1" s="1"/>
  <c r="D16" i="1"/>
  <c r="E16" i="1" s="1"/>
  <c r="E40" i="14" s="1"/>
  <c r="G40" i="14" s="1"/>
  <c r="D25" i="1"/>
  <c r="E25" i="1" s="1"/>
  <c r="D6" i="1"/>
  <c r="E6" i="1" s="1"/>
  <c r="E30" i="14" s="1"/>
  <c r="D14" i="1"/>
  <c r="E14" i="1" s="1"/>
  <c r="D23" i="1"/>
  <c r="E23" i="1" s="1"/>
  <c r="E47" i="14" s="1"/>
  <c r="G47" i="14" s="1"/>
  <c r="D11" i="1"/>
  <c r="E11" i="1" s="1"/>
  <c r="E35" i="14" s="1"/>
  <c r="D5" i="1"/>
  <c r="E5" i="1" s="1"/>
  <c r="E29" i="14" s="1"/>
  <c r="D9" i="1"/>
  <c r="E9" i="1" s="1"/>
  <c r="E33" i="14" s="1"/>
  <c r="D13" i="1"/>
  <c r="E13" i="1" s="1"/>
  <c r="E37" i="14" s="1"/>
  <c r="D17" i="1"/>
  <c r="E17" i="1" s="1"/>
  <c r="E41" i="14" s="1"/>
  <c r="D10" i="1"/>
  <c r="E10" i="1" s="1"/>
  <c r="E34" i="14" s="1"/>
  <c r="D18" i="1"/>
  <c r="E18" i="1" s="1"/>
  <c r="E42" i="14" s="1"/>
  <c r="G42" i="14" s="1"/>
  <c r="D27" i="1"/>
  <c r="E27" i="1" s="1"/>
  <c r="E51" i="14" s="1"/>
  <c r="G51" i="14" s="1"/>
  <c r="D7" i="1"/>
  <c r="E7" i="1" s="1"/>
  <c r="E31" i="14" s="1"/>
  <c r="D15" i="1"/>
  <c r="E15" i="1" s="1"/>
  <c r="E39" i="14" s="1"/>
  <c r="G39" i="14" s="1"/>
  <c r="D4" i="1"/>
  <c r="E4" i="1" s="1"/>
  <c r="E28" i="14" s="1"/>
  <c r="E38" i="14" l="1"/>
  <c r="F132" i="13"/>
  <c r="K132" i="13" s="1"/>
  <c r="F132" i="2"/>
  <c r="K132" i="2" s="1"/>
  <c r="V132" i="2" s="1"/>
  <c r="E36" i="14"/>
  <c r="F113" i="2"/>
  <c r="E50" i="14"/>
  <c r="G50" i="14" s="1"/>
  <c r="F207" i="13"/>
  <c r="F203" i="13"/>
  <c r="F199" i="13"/>
  <c r="F208" i="2"/>
  <c r="K208" i="2" s="1"/>
  <c r="F204" i="2"/>
  <c r="K204" i="2" s="1"/>
  <c r="F200" i="2"/>
  <c r="K200" i="2" s="1"/>
  <c r="F210" i="13"/>
  <c r="F206" i="13"/>
  <c r="F202" i="13"/>
  <c r="F198" i="13"/>
  <c r="F207" i="2"/>
  <c r="K207" i="2" s="1"/>
  <c r="F203" i="2"/>
  <c r="K203" i="2" s="1"/>
  <c r="F199" i="2"/>
  <c r="K199" i="2" s="1"/>
  <c r="F209" i="13"/>
  <c r="F205" i="13"/>
  <c r="F201" i="13"/>
  <c r="F210" i="2"/>
  <c r="F206" i="2"/>
  <c r="K206" i="2" s="1"/>
  <c r="F202" i="2"/>
  <c r="K202" i="2" s="1"/>
  <c r="F198" i="2"/>
  <c r="K198" i="2" s="1"/>
  <c r="F208" i="13"/>
  <c r="F204" i="13"/>
  <c r="F200" i="13"/>
  <c r="F209" i="2"/>
  <c r="K209" i="2" s="1"/>
  <c r="F205" i="2"/>
  <c r="K205" i="2" s="1"/>
  <c r="F201" i="2"/>
  <c r="K201" i="2" s="1"/>
  <c r="E49" i="14"/>
  <c r="G49" i="14" s="1"/>
  <c r="F221" i="13"/>
  <c r="K221" i="13" s="1"/>
  <c r="F165" i="13"/>
  <c r="K165" i="13" s="1"/>
  <c r="F159" i="2"/>
  <c r="K159" i="2" s="1"/>
  <c r="F164" i="13"/>
  <c r="K164" i="13" s="1"/>
  <c r="F160" i="2"/>
  <c r="K160" i="2" s="1"/>
  <c r="V160" i="2" s="1"/>
  <c r="F161" i="2"/>
  <c r="K161" i="2" s="1"/>
  <c r="V161" i="2" s="1"/>
  <c r="F161" i="13"/>
  <c r="K161" i="13" s="1"/>
  <c r="F159" i="13"/>
  <c r="K159" i="13" s="1"/>
  <c r="F167" i="2"/>
  <c r="E45" i="14"/>
  <c r="G45" i="14" s="1"/>
  <c r="F165" i="2"/>
  <c r="K165" i="2" s="1"/>
  <c r="V165" i="2" s="1"/>
  <c r="F158" i="13"/>
  <c r="F158" i="2"/>
  <c r="F163" i="13"/>
  <c r="K163" i="13" s="1"/>
  <c r="F160" i="13"/>
  <c r="K160" i="13" s="1"/>
  <c r="F162" i="13"/>
  <c r="K162" i="13" s="1"/>
  <c r="F166" i="13"/>
  <c r="K166" i="13" s="1"/>
  <c r="F162" i="2"/>
  <c r="K162" i="2" s="1"/>
  <c r="V162" i="2" s="1"/>
  <c r="F167" i="13"/>
  <c r="F164" i="2"/>
  <c r="K164" i="2" s="1"/>
  <c r="V164" i="2" s="1"/>
  <c r="F166" i="2"/>
  <c r="K166" i="2" s="1"/>
  <c r="V166" i="2" s="1"/>
  <c r="F163" i="2"/>
  <c r="K163" i="2" s="1"/>
  <c r="V163" i="2" s="1"/>
  <c r="F98" i="13"/>
  <c r="K98" i="13" s="1"/>
  <c r="V98" i="13" s="1"/>
  <c r="F94" i="13"/>
  <c r="K94" i="13" s="1"/>
  <c r="V94" i="13" s="1"/>
  <c r="F90" i="13"/>
  <c r="K90" i="13" s="1"/>
  <c r="V90" i="13" s="1"/>
  <c r="F86" i="13"/>
  <c r="K86" i="13" s="1"/>
  <c r="F82" i="13"/>
  <c r="K82" i="13" s="1"/>
  <c r="V82" i="13" s="1"/>
  <c r="F81" i="13"/>
  <c r="F99" i="13"/>
  <c r="F95" i="13"/>
  <c r="K95" i="13" s="1"/>
  <c r="F91" i="13"/>
  <c r="K91" i="13" s="1"/>
  <c r="F87" i="13"/>
  <c r="K87" i="13" s="1"/>
  <c r="F83" i="13"/>
  <c r="K83" i="13" s="1"/>
  <c r="F96" i="13"/>
  <c r="K96" i="13" s="1"/>
  <c r="V96" i="13" s="1"/>
  <c r="F88" i="13"/>
  <c r="K88" i="13" s="1"/>
  <c r="V88" i="13" s="1"/>
  <c r="F97" i="13"/>
  <c r="K97" i="13" s="1"/>
  <c r="F93" i="13"/>
  <c r="K93" i="13" s="1"/>
  <c r="F89" i="13"/>
  <c r="K89" i="13" s="1"/>
  <c r="F85" i="13"/>
  <c r="K85" i="13" s="1"/>
  <c r="V85" i="13" s="1"/>
  <c r="F92" i="13"/>
  <c r="K92" i="13" s="1"/>
  <c r="V92" i="13" s="1"/>
  <c r="F84" i="13"/>
  <c r="K84" i="13" s="1"/>
  <c r="F34" i="13"/>
  <c r="K34" i="13" s="1"/>
  <c r="F30" i="13"/>
  <c r="K30" i="13" s="1"/>
  <c r="F35" i="13"/>
  <c r="F27" i="13"/>
  <c r="K27" i="13" s="1"/>
  <c r="F28" i="13"/>
  <c r="K28" i="13" s="1"/>
  <c r="F33" i="13"/>
  <c r="K33" i="13" s="1"/>
  <c r="F29" i="13"/>
  <c r="K29" i="13" s="1"/>
  <c r="F26" i="13"/>
  <c r="F31" i="13"/>
  <c r="K31" i="13" s="1"/>
  <c r="F32" i="13"/>
  <c r="K32" i="13" s="1"/>
  <c r="F71" i="11"/>
  <c r="F11" i="13"/>
  <c r="K11" i="13" s="1"/>
  <c r="F4" i="13"/>
  <c r="K4" i="13" s="1"/>
  <c r="F7" i="13"/>
  <c r="K7" i="13" s="1"/>
  <c r="F16" i="13"/>
  <c r="F14" i="13"/>
  <c r="K14" i="13" s="1"/>
  <c r="F9" i="13"/>
  <c r="K9" i="13" s="1"/>
  <c r="F5" i="13"/>
  <c r="K5" i="13" s="1"/>
  <c r="F15" i="13"/>
  <c r="K15" i="13" s="1"/>
  <c r="F13" i="13"/>
  <c r="K13" i="13" s="1"/>
  <c r="F10" i="13"/>
  <c r="K10" i="13" s="1"/>
  <c r="F8" i="13"/>
  <c r="K8" i="13" s="1"/>
  <c r="F6" i="13"/>
  <c r="K6" i="13" s="1"/>
  <c r="F12" i="13"/>
  <c r="K12" i="13" s="1"/>
  <c r="F3" i="13"/>
  <c r="F124" i="13"/>
  <c r="K124" i="13" s="1"/>
  <c r="V124" i="13" s="1"/>
  <c r="F122" i="13"/>
  <c r="K122" i="13" s="1"/>
  <c r="V122" i="13" s="1"/>
  <c r="F123" i="13"/>
  <c r="K123" i="13" s="1"/>
  <c r="V123" i="13" s="1"/>
  <c r="F119" i="13"/>
  <c r="K119" i="13" s="1"/>
  <c r="F118" i="13"/>
  <c r="F121" i="13"/>
  <c r="K121" i="13" s="1"/>
  <c r="F120" i="13"/>
  <c r="K120" i="13" s="1"/>
  <c r="F221" i="2"/>
  <c r="K221" i="2" s="1"/>
  <c r="F220" i="2"/>
  <c r="F227" i="13"/>
  <c r="F226" i="13"/>
  <c r="K226" i="13" s="1"/>
  <c r="F225" i="13"/>
  <c r="K225" i="13" s="1"/>
  <c r="F224" i="13"/>
  <c r="K224" i="13" s="1"/>
  <c r="F223" i="13"/>
  <c r="K223" i="13" s="1"/>
  <c r="F222" i="13"/>
  <c r="K222" i="13" s="1"/>
  <c r="F220" i="13"/>
  <c r="K220" i="13" s="1"/>
  <c r="F219" i="13"/>
  <c r="K219" i="13" s="1"/>
  <c r="F218" i="13"/>
  <c r="K218" i="13" s="1"/>
  <c r="F217" i="13"/>
  <c r="K217" i="13" s="1"/>
  <c r="F216" i="13"/>
  <c r="K216" i="13" s="1"/>
  <c r="F215" i="13"/>
  <c r="K215" i="13" s="1"/>
  <c r="F214" i="13"/>
  <c r="K214" i="13" s="1"/>
  <c r="F213" i="13"/>
  <c r="K213" i="13" s="1"/>
  <c r="F212" i="13"/>
  <c r="K212" i="13" s="1"/>
  <c r="F211" i="13"/>
  <c r="K211" i="13" s="1"/>
  <c r="F136" i="13"/>
  <c r="K136" i="13" s="1"/>
  <c r="F135" i="13"/>
  <c r="K135" i="13" s="1"/>
  <c r="F134" i="13"/>
  <c r="K134" i="13" s="1"/>
  <c r="F44" i="13"/>
  <c r="K44" i="13" s="1"/>
  <c r="F40" i="13"/>
  <c r="K40" i="13" s="1"/>
  <c r="F41" i="13"/>
  <c r="K41" i="13" s="1"/>
  <c r="F45" i="13"/>
  <c r="F38" i="13"/>
  <c r="K38" i="13" s="1"/>
  <c r="F43" i="13"/>
  <c r="K43" i="13" s="1"/>
  <c r="F39" i="13"/>
  <c r="K39" i="13" s="1"/>
  <c r="F36" i="13"/>
  <c r="F37" i="13"/>
  <c r="K37" i="13" s="1"/>
  <c r="F42" i="13"/>
  <c r="K42" i="13" s="1"/>
  <c r="F170" i="13"/>
  <c r="K170" i="13" s="1"/>
  <c r="F168" i="13"/>
  <c r="F171" i="13"/>
  <c r="K171" i="13" s="1"/>
  <c r="F172" i="13"/>
  <c r="F169" i="13"/>
  <c r="K169" i="13" s="1"/>
  <c r="F24" i="13"/>
  <c r="K24" i="13" s="1"/>
  <c r="F25" i="13"/>
  <c r="F18" i="13"/>
  <c r="K18" i="13" s="1"/>
  <c r="F23" i="13"/>
  <c r="K23" i="13" s="1"/>
  <c r="F22" i="13"/>
  <c r="K22" i="13" s="1"/>
  <c r="F21" i="13"/>
  <c r="K21" i="13" s="1"/>
  <c r="F17" i="13"/>
  <c r="F19" i="13"/>
  <c r="K19" i="13" s="1"/>
  <c r="F20" i="13"/>
  <c r="K20" i="13" s="1"/>
  <c r="F127" i="13"/>
  <c r="K127" i="13" s="1"/>
  <c r="F131" i="13"/>
  <c r="K131" i="13" s="1"/>
  <c r="F128" i="13"/>
  <c r="K128" i="13" s="1"/>
  <c r="V128" i="13" s="1"/>
  <c r="F129" i="13"/>
  <c r="K129" i="13" s="1"/>
  <c r="V129" i="13" s="1"/>
  <c r="F130" i="13"/>
  <c r="K130" i="13" s="1"/>
  <c r="V130" i="13" s="1"/>
  <c r="F126" i="13"/>
  <c r="F117" i="13"/>
  <c r="F116" i="13"/>
  <c r="K116" i="13" s="1"/>
  <c r="F115" i="13"/>
  <c r="K115" i="13" s="1"/>
  <c r="F114" i="13"/>
  <c r="K114" i="13" s="1"/>
  <c r="F113" i="13"/>
  <c r="K113" i="13" s="1"/>
  <c r="F112" i="13"/>
  <c r="K112" i="13" s="1"/>
  <c r="F231" i="2"/>
  <c r="K231" i="2" s="1"/>
  <c r="F232" i="13"/>
  <c r="K232" i="13" s="1"/>
  <c r="V232" i="13" s="1"/>
  <c r="F231" i="13"/>
  <c r="K231" i="13" s="1"/>
  <c r="F230" i="13"/>
  <c r="K230" i="13" s="1"/>
  <c r="F229" i="13"/>
  <c r="K229" i="13" s="1"/>
  <c r="F234" i="13"/>
  <c r="F233" i="13"/>
  <c r="K233" i="13" s="1"/>
  <c r="V233" i="13" s="1"/>
  <c r="F228" i="13"/>
  <c r="F156" i="2"/>
  <c r="K156" i="2" s="1"/>
  <c r="F154" i="13"/>
  <c r="K154" i="13" s="1"/>
  <c r="V154" i="13" s="1"/>
  <c r="F150" i="13"/>
  <c r="K150" i="13" s="1"/>
  <c r="F155" i="13"/>
  <c r="K155" i="13" s="1"/>
  <c r="F149" i="13"/>
  <c r="K149" i="13" s="1"/>
  <c r="F151" i="13"/>
  <c r="K151" i="13" s="1"/>
  <c r="F157" i="13"/>
  <c r="F153" i="13"/>
  <c r="K153" i="13" s="1"/>
  <c r="F152" i="13"/>
  <c r="K152" i="13" s="1"/>
  <c r="F148" i="13"/>
  <c r="F156" i="13"/>
  <c r="K156" i="13" s="1"/>
  <c r="F49" i="2"/>
  <c r="K49" i="2" s="1"/>
  <c r="F49" i="13"/>
  <c r="K49" i="13" s="1"/>
  <c r="V49" i="13" s="1"/>
  <c r="F47" i="13"/>
  <c r="K47" i="13" s="1"/>
  <c r="F48" i="13"/>
  <c r="K48" i="13" s="1"/>
  <c r="V48" i="13" s="1"/>
  <c r="F46" i="13"/>
  <c r="F50" i="13"/>
  <c r="F101" i="13"/>
  <c r="K101" i="13" s="1"/>
  <c r="F103" i="13"/>
  <c r="K103" i="13" s="1"/>
  <c r="V103" i="13" s="1"/>
  <c r="F102" i="13"/>
  <c r="K102" i="13" s="1"/>
  <c r="F105" i="13"/>
  <c r="F100" i="13"/>
  <c r="F104" i="13"/>
  <c r="K104" i="13" s="1"/>
  <c r="F80" i="13"/>
  <c r="F72" i="13"/>
  <c r="K72" i="13" s="1"/>
  <c r="F68" i="13"/>
  <c r="K68" i="13" s="1"/>
  <c r="F73" i="13"/>
  <c r="K73" i="13" s="1"/>
  <c r="F74" i="13"/>
  <c r="K74" i="13" s="1"/>
  <c r="F69" i="13"/>
  <c r="K69" i="13" s="1"/>
  <c r="F78" i="13"/>
  <c r="K78" i="13" s="1"/>
  <c r="F70" i="13"/>
  <c r="K70" i="13" s="1"/>
  <c r="F79" i="13"/>
  <c r="K79" i="13" s="1"/>
  <c r="F77" i="13"/>
  <c r="K77" i="13" s="1"/>
  <c r="F75" i="13"/>
  <c r="K75" i="13" s="1"/>
  <c r="F71" i="13"/>
  <c r="K71" i="13" s="1"/>
  <c r="F76" i="13"/>
  <c r="K76" i="13" s="1"/>
  <c r="F67" i="13"/>
  <c r="F197" i="13"/>
  <c r="F196" i="13"/>
  <c r="K196" i="13" s="1"/>
  <c r="F195" i="13"/>
  <c r="K195" i="13" s="1"/>
  <c r="F194" i="13"/>
  <c r="K194" i="13" s="1"/>
  <c r="F193" i="13"/>
  <c r="K193" i="13" s="1"/>
  <c r="F66" i="13"/>
  <c r="F62" i="13"/>
  <c r="K62" i="13" s="1"/>
  <c r="F64" i="13"/>
  <c r="K64" i="13" s="1"/>
  <c r="F63" i="13"/>
  <c r="K63" i="13" s="1"/>
  <c r="F65" i="13"/>
  <c r="K65" i="13" s="1"/>
  <c r="F61" i="13"/>
  <c r="F60" i="13"/>
  <c r="F56" i="13"/>
  <c r="K56" i="13" s="1"/>
  <c r="F51" i="13"/>
  <c r="F57" i="13"/>
  <c r="K57" i="13" s="1"/>
  <c r="F52" i="13"/>
  <c r="K52" i="13" s="1"/>
  <c r="F58" i="13"/>
  <c r="K58" i="13" s="1"/>
  <c r="F59" i="13"/>
  <c r="K59" i="13" s="1"/>
  <c r="F55" i="13"/>
  <c r="K55" i="13" s="1"/>
  <c r="F53" i="13"/>
  <c r="K53" i="13" s="1"/>
  <c r="F54" i="13"/>
  <c r="K54" i="13" s="1"/>
  <c r="F192" i="13"/>
  <c r="F191" i="13"/>
  <c r="K191" i="13" s="1"/>
  <c r="F190" i="13"/>
  <c r="K190" i="13" s="1"/>
  <c r="F189" i="13"/>
  <c r="K189" i="13" s="1"/>
  <c r="F188" i="13"/>
  <c r="K188" i="13" s="1"/>
  <c r="F187" i="13"/>
  <c r="K187" i="13" s="1"/>
  <c r="F186" i="13"/>
  <c r="K186" i="13" s="1"/>
  <c r="F185" i="13"/>
  <c r="K185" i="13" s="1"/>
  <c r="F184" i="13"/>
  <c r="K184" i="13" s="1"/>
  <c r="F183" i="13"/>
  <c r="K183" i="13" s="1"/>
  <c r="F182" i="13"/>
  <c r="K182" i="13" s="1"/>
  <c r="F181" i="13"/>
  <c r="K181" i="13" s="1"/>
  <c r="F180" i="13"/>
  <c r="K180" i="13" s="1"/>
  <c r="F179" i="13"/>
  <c r="K179" i="13" s="1"/>
  <c r="F178" i="13"/>
  <c r="K178" i="13" s="1"/>
  <c r="F177" i="13"/>
  <c r="K177" i="13" s="1"/>
  <c r="F176" i="13"/>
  <c r="K176" i="13" s="1"/>
  <c r="F175" i="13"/>
  <c r="K175" i="13" s="1"/>
  <c r="F174" i="13"/>
  <c r="K174" i="13" s="1"/>
  <c r="F173" i="13"/>
  <c r="K173" i="13" s="1"/>
  <c r="F146" i="13"/>
  <c r="K146" i="13" s="1"/>
  <c r="F145" i="13"/>
  <c r="K145" i="13" s="1"/>
  <c r="F144" i="13"/>
  <c r="K144" i="13" s="1"/>
  <c r="F143" i="13"/>
  <c r="K143" i="13" s="1"/>
  <c r="F142" i="13"/>
  <c r="K142" i="13" s="1"/>
  <c r="F141" i="13"/>
  <c r="K141" i="13" s="1"/>
  <c r="F140" i="13"/>
  <c r="K140" i="13" s="1"/>
  <c r="F139" i="13"/>
  <c r="K139" i="13" s="1"/>
  <c r="F138" i="13"/>
  <c r="K138" i="13" s="1"/>
  <c r="F111" i="13"/>
  <c r="F110" i="13"/>
  <c r="K110" i="13" s="1"/>
  <c r="F109" i="13"/>
  <c r="K109" i="13" s="1"/>
  <c r="F108" i="13"/>
  <c r="K108" i="13" s="1"/>
  <c r="F107" i="13"/>
  <c r="K107" i="13" s="1"/>
  <c r="F106" i="13"/>
  <c r="K106" i="13" s="1"/>
  <c r="F120" i="2"/>
  <c r="F119" i="2"/>
  <c r="K119" i="2" s="1"/>
  <c r="V119" i="2" s="1"/>
  <c r="F128" i="2"/>
  <c r="K128" i="2" s="1"/>
  <c r="V128" i="2" s="1"/>
  <c r="F130" i="2"/>
  <c r="K130" i="2" s="1"/>
  <c r="F129" i="2"/>
  <c r="K129" i="2" s="1"/>
  <c r="F131" i="2"/>
  <c r="F127" i="2"/>
  <c r="K127" i="2" s="1"/>
  <c r="F134" i="2"/>
  <c r="K134" i="2" s="1"/>
  <c r="F135" i="2"/>
  <c r="K135" i="2" s="1"/>
  <c r="F136" i="2"/>
  <c r="K136" i="2" s="1"/>
  <c r="F177" i="2"/>
  <c r="F176" i="2"/>
  <c r="F174" i="2"/>
  <c r="F143" i="2"/>
  <c r="K143" i="2" s="1"/>
  <c r="F138" i="2"/>
  <c r="K138" i="2" s="1"/>
  <c r="F140" i="2"/>
  <c r="K140" i="2" s="1"/>
  <c r="F144" i="2"/>
  <c r="K144" i="2" s="1"/>
  <c r="F139" i="2"/>
  <c r="K139" i="2" s="1"/>
  <c r="F141" i="2"/>
  <c r="K141" i="2" s="1"/>
  <c r="F145" i="2"/>
  <c r="K145" i="2" s="1"/>
  <c r="F142" i="2"/>
  <c r="K142" i="2" s="1"/>
  <c r="F146" i="2"/>
  <c r="K146" i="2" s="1"/>
  <c r="F171" i="2"/>
  <c r="K171" i="2" s="1"/>
  <c r="V171" i="2" s="1"/>
  <c r="F170" i="2"/>
  <c r="F169" i="2"/>
  <c r="F126" i="2"/>
  <c r="Y126" i="2" s="1"/>
  <c r="F14" i="2"/>
  <c r="K14" i="2" s="1"/>
  <c r="F15" i="2"/>
  <c r="K15" i="2" s="1"/>
  <c r="G35" i="7"/>
  <c r="F222" i="2"/>
  <c r="F223" i="2"/>
  <c r="F232" i="2"/>
  <c r="K232" i="2" s="1"/>
  <c r="V232" i="2" s="1"/>
  <c r="F233" i="2"/>
  <c r="K233" i="2" s="1"/>
  <c r="V233" i="2" s="1"/>
  <c r="F79" i="2"/>
  <c r="K79" i="2" s="1"/>
  <c r="D35" i="7"/>
  <c r="F63" i="2"/>
  <c r="F65" i="2"/>
  <c r="K65" i="2" s="1"/>
  <c r="F64" i="2"/>
  <c r="F47" i="2"/>
  <c r="F48" i="2"/>
  <c r="K48" i="2" s="1"/>
  <c r="V48" i="2" s="1"/>
  <c r="F59" i="2"/>
  <c r="K59" i="2" s="1"/>
  <c r="F98" i="2"/>
  <c r="K98" i="2" s="1"/>
  <c r="F116" i="2"/>
  <c r="K116" i="2" s="1"/>
  <c r="P156" i="2"/>
  <c r="D34" i="1"/>
  <c r="U47" i="2"/>
  <c r="E27" i="14" l="1"/>
  <c r="Y158" i="13"/>
  <c r="K158" i="13"/>
  <c r="K158" i="2"/>
  <c r="Y158" i="2"/>
  <c r="G28" i="14"/>
  <c r="P14" i="2"/>
  <c r="P221" i="2"/>
  <c r="P53" i="13"/>
  <c r="P52" i="13"/>
  <c r="P64" i="13"/>
  <c r="P69" i="13"/>
  <c r="P72" i="13"/>
  <c r="P37" i="13"/>
  <c r="P38" i="13"/>
  <c r="P44" i="13"/>
  <c r="P55" i="13"/>
  <c r="P57" i="13"/>
  <c r="P62" i="13"/>
  <c r="P76" i="13"/>
  <c r="P79" i="13"/>
  <c r="P74" i="13"/>
  <c r="P20" i="13"/>
  <c r="P24" i="13"/>
  <c r="P9" i="13"/>
  <c r="P4" i="13"/>
  <c r="P31" i="13"/>
  <c r="P28" i="13"/>
  <c r="P34" i="13"/>
  <c r="P59" i="13"/>
  <c r="P65" i="13"/>
  <c r="P71" i="13"/>
  <c r="P70" i="13"/>
  <c r="P73" i="13"/>
  <c r="P19" i="13"/>
  <c r="P23" i="13"/>
  <c r="P39" i="13"/>
  <c r="P41" i="13"/>
  <c r="P12" i="13"/>
  <c r="P13" i="13"/>
  <c r="P14" i="13"/>
  <c r="P27" i="13"/>
  <c r="P58" i="13"/>
  <c r="P56" i="13"/>
  <c r="P63" i="13"/>
  <c r="P75" i="13"/>
  <c r="P78" i="13"/>
  <c r="P68" i="13"/>
  <c r="P42" i="13"/>
  <c r="P43" i="13"/>
  <c r="P40" i="13"/>
  <c r="P6" i="13"/>
  <c r="P15" i="13"/>
  <c r="P29" i="13"/>
  <c r="P8" i="13"/>
  <c r="P7" i="13"/>
  <c r="P32" i="13"/>
  <c r="P33" i="13"/>
  <c r="P30" i="13"/>
  <c r="K61" i="13"/>
  <c r="Y61" i="13"/>
  <c r="Y168" i="13"/>
  <c r="K168" i="13"/>
  <c r="Y100" i="13"/>
  <c r="K100" i="13"/>
  <c r="V100" i="13" s="1"/>
  <c r="Y148" i="13"/>
  <c r="K148" i="13"/>
  <c r="V148" i="13" s="1"/>
  <c r="Y126" i="13"/>
  <c r="K126" i="13"/>
  <c r="V126" i="13" s="1"/>
  <c r="Y17" i="13"/>
  <c r="K17" i="13"/>
  <c r="K81" i="13"/>
  <c r="V81" i="13" s="1"/>
  <c r="Y81" i="13"/>
  <c r="Y46" i="13"/>
  <c r="K46" i="13"/>
  <c r="Y228" i="13"/>
  <c r="K228" i="13"/>
  <c r="Y36" i="13"/>
  <c r="K36" i="13"/>
  <c r="Y3" i="13"/>
  <c r="K3" i="13"/>
  <c r="Y51" i="13"/>
  <c r="K51" i="13"/>
  <c r="K26" i="13"/>
  <c r="Y26" i="13"/>
  <c r="Y67" i="13"/>
  <c r="K67" i="13"/>
  <c r="Y118" i="13"/>
  <c r="K118" i="13"/>
  <c r="V118" i="13" s="1"/>
  <c r="K131" i="2"/>
  <c r="K126" i="2"/>
  <c r="P59" i="2"/>
  <c r="M230" i="2"/>
  <c r="M229" i="2"/>
  <c r="M228" i="2"/>
  <c r="V230" i="2"/>
  <c r="P230" i="2"/>
  <c r="N230" i="2"/>
  <c r="V229" i="2"/>
  <c r="P229" i="2"/>
  <c r="N229" i="2"/>
  <c r="P26" i="13" l="1"/>
  <c r="P61" i="13"/>
  <c r="P67" i="13"/>
  <c r="P51" i="13"/>
  <c r="P36" i="13"/>
  <c r="V235" i="13"/>
  <c r="Y235" i="13"/>
  <c r="N228" i="2"/>
  <c r="P228" i="2"/>
  <c r="V228" i="2"/>
  <c r="N18" i="2"/>
  <c r="P235" i="13" l="1"/>
  <c r="V1" i="13" s="1"/>
  <c r="D17" i="14" s="1"/>
  <c r="V8" i="2"/>
  <c r="N8" i="2"/>
  <c r="M8" i="2"/>
  <c r="P1" i="13" l="1"/>
  <c r="D16" i="14" s="1"/>
  <c r="V6" i="2"/>
  <c r="N6" i="2"/>
  <c r="M6" i="2"/>
  <c r="J101" i="2" l="1"/>
  <c r="J102" i="2"/>
  <c r="J103" i="2"/>
  <c r="J104" i="2"/>
  <c r="J100" i="2"/>
  <c r="J22" i="2"/>
  <c r="J23" i="2"/>
  <c r="J24" i="2"/>
  <c r="V211" i="2" l="1"/>
  <c r="V212" i="2"/>
  <c r="V213" i="2"/>
  <c r="V214" i="2"/>
  <c r="V215" i="2"/>
  <c r="V216" i="2"/>
  <c r="V217" i="2"/>
  <c r="V218" i="2"/>
  <c r="V219" i="2"/>
  <c r="V220" i="2"/>
  <c r="V222" i="2"/>
  <c r="V223" i="2"/>
  <c r="V224" i="2"/>
  <c r="V225" i="2"/>
  <c r="V226" i="2"/>
  <c r="J212" i="2"/>
  <c r="J213" i="2"/>
  <c r="J214" i="2"/>
  <c r="J215" i="2"/>
  <c r="J216" i="2"/>
  <c r="J217" i="2"/>
  <c r="J218" i="2"/>
  <c r="J219" i="2"/>
  <c r="J220" i="2"/>
  <c r="J222" i="2"/>
  <c r="J223" i="2"/>
  <c r="J224" i="2"/>
  <c r="J225" i="2"/>
  <c r="J226" i="2"/>
  <c r="J211" i="2"/>
  <c r="M211" i="2"/>
  <c r="M212" i="2"/>
  <c r="M213" i="2"/>
  <c r="M214" i="2"/>
  <c r="M215" i="2"/>
  <c r="M216" i="2"/>
  <c r="M217" i="2"/>
  <c r="M218" i="2"/>
  <c r="M219" i="2"/>
  <c r="M220" i="2"/>
  <c r="M222" i="2"/>
  <c r="M223" i="2"/>
  <c r="M224" i="2"/>
  <c r="M225" i="2"/>
  <c r="M226" i="2"/>
  <c r="N211" i="2"/>
  <c r="N212" i="2"/>
  <c r="N213" i="2"/>
  <c r="N214" i="2"/>
  <c r="N215" i="2"/>
  <c r="N216" i="2"/>
  <c r="N217" i="2"/>
  <c r="N218" i="2"/>
  <c r="N219" i="2"/>
  <c r="N220" i="2"/>
  <c r="N222" i="2"/>
  <c r="N223" i="2"/>
  <c r="N224" i="2"/>
  <c r="N225" i="2"/>
  <c r="N226" i="2"/>
  <c r="P211" i="2"/>
  <c r="P212" i="2"/>
  <c r="P213" i="2"/>
  <c r="P214" i="2"/>
  <c r="P215" i="2"/>
  <c r="P216" i="2"/>
  <c r="P217" i="2"/>
  <c r="P218" i="2"/>
  <c r="P219" i="2"/>
  <c r="P220" i="2"/>
  <c r="P222" i="2"/>
  <c r="P223" i="2"/>
  <c r="P224" i="2"/>
  <c r="P225" i="2"/>
  <c r="P226" i="2"/>
  <c r="V193" i="2"/>
  <c r="V194" i="2"/>
  <c r="V195" i="2"/>
  <c r="V196" i="2"/>
  <c r="M193" i="2"/>
  <c r="M194" i="2"/>
  <c r="M195" i="2"/>
  <c r="M196" i="2"/>
  <c r="N193" i="2"/>
  <c r="N194" i="2"/>
  <c r="N195" i="2"/>
  <c r="N196" i="2"/>
  <c r="P193" i="2"/>
  <c r="P194" i="2"/>
  <c r="P195" i="2"/>
  <c r="P196" i="2"/>
  <c r="V173" i="2"/>
  <c r="V174" i="2"/>
  <c r="V175" i="2"/>
  <c r="V176" i="2"/>
  <c r="V177" i="2"/>
  <c r="V178" i="2"/>
  <c r="V179" i="2"/>
  <c r="V180" i="2"/>
  <c r="V181" i="2"/>
  <c r="V182" i="2"/>
  <c r="V183" i="2"/>
  <c r="V184" i="2"/>
  <c r="V185" i="2"/>
  <c r="V186" i="2"/>
  <c r="V187" i="2"/>
  <c r="V188" i="2"/>
  <c r="V189" i="2"/>
  <c r="V190" i="2"/>
  <c r="V191" i="2"/>
  <c r="M184" i="2"/>
  <c r="M185" i="2"/>
  <c r="M186" i="2"/>
  <c r="M187" i="2"/>
  <c r="M188" i="2"/>
  <c r="M189" i="2"/>
  <c r="M190" i="2"/>
  <c r="M191" i="2"/>
  <c r="N184" i="2"/>
  <c r="N185" i="2"/>
  <c r="N186" i="2"/>
  <c r="N187" i="2"/>
  <c r="N188" i="2"/>
  <c r="N189" i="2"/>
  <c r="N190" i="2"/>
  <c r="N191" i="2"/>
  <c r="P184" i="2"/>
  <c r="P185" i="2"/>
  <c r="P186" i="2"/>
  <c r="P187" i="2"/>
  <c r="P188" i="2"/>
  <c r="P189" i="2"/>
  <c r="P190" i="2"/>
  <c r="P191" i="2"/>
  <c r="M149" i="2"/>
  <c r="M150" i="2"/>
  <c r="M151" i="2"/>
  <c r="M152" i="2"/>
  <c r="M153" i="2"/>
  <c r="M154" i="2"/>
  <c r="M155" i="2"/>
  <c r="M168" i="2"/>
  <c r="M169" i="2"/>
  <c r="M170" i="2"/>
  <c r="M173" i="2"/>
  <c r="M174" i="2"/>
  <c r="M175" i="2"/>
  <c r="M176" i="2"/>
  <c r="M177" i="2"/>
  <c r="M178" i="2"/>
  <c r="M179" i="2"/>
  <c r="M180" i="2"/>
  <c r="M181" i="2"/>
  <c r="M182" i="2"/>
  <c r="M183" i="2"/>
  <c r="N149" i="2"/>
  <c r="N150" i="2"/>
  <c r="N151" i="2"/>
  <c r="N152" i="2"/>
  <c r="N153" i="2"/>
  <c r="N154" i="2"/>
  <c r="N155" i="2"/>
  <c r="N168" i="2"/>
  <c r="N169" i="2"/>
  <c r="N170" i="2"/>
  <c r="N173" i="2"/>
  <c r="N174" i="2"/>
  <c r="N175" i="2"/>
  <c r="N176" i="2"/>
  <c r="N177" i="2"/>
  <c r="N178" i="2"/>
  <c r="N179" i="2"/>
  <c r="N180" i="2"/>
  <c r="N181" i="2"/>
  <c r="N182" i="2"/>
  <c r="N183" i="2"/>
  <c r="P173" i="2"/>
  <c r="P174" i="2"/>
  <c r="P175" i="2"/>
  <c r="P176" i="2"/>
  <c r="P177" i="2"/>
  <c r="P178" i="2"/>
  <c r="P179" i="2"/>
  <c r="P180" i="2"/>
  <c r="P181" i="2"/>
  <c r="P182" i="2"/>
  <c r="P183" i="2"/>
  <c r="M148" i="2"/>
  <c r="N148" i="2"/>
  <c r="V106" i="2"/>
  <c r="V107" i="2"/>
  <c r="V108" i="2"/>
  <c r="V109" i="2"/>
  <c r="V110" i="2"/>
  <c r="V113" i="2"/>
  <c r="V120" i="2"/>
  <c r="V121" i="2"/>
  <c r="M112" i="2"/>
  <c r="M113" i="2"/>
  <c r="M114" i="2"/>
  <c r="M115" i="2"/>
  <c r="M118" i="2"/>
  <c r="M120" i="2"/>
  <c r="M121" i="2"/>
  <c r="M122" i="2"/>
  <c r="M123" i="2"/>
  <c r="N112" i="2"/>
  <c r="N113" i="2"/>
  <c r="N114" i="2"/>
  <c r="N115" i="2"/>
  <c r="N118" i="2"/>
  <c r="N120" i="2"/>
  <c r="N121" i="2"/>
  <c r="N122" i="2"/>
  <c r="N123" i="2"/>
  <c r="P113" i="2"/>
  <c r="P114" i="2"/>
  <c r="P120" i="2"/>
  <c r="P121" i="2"/>
  <c r="M106" i="2"/>
  <c r="M107" i="2"/>
  <c r="M108" i="2"/>
  <c r="M109" i="2"/>
  <c r="M110" i="2"/>
  <c r="N106" i="2"/>
  <c r="N107" i="2"/>
  <c r="N108" i="2"/>
  <c r="N109" i="2"/>
  <c r="N110" i="2"/>
  <c r="P108" i="2"/>
  <c r="P109" i="2"/>
  <c r="M100" i="2"/>
  <c r="N100" i="2"/>
  <c r="N101" i="2"/>
  <c r="N102" i="2"/>
  <c r="N103" i="2"/>
  <c r="N104" i="2"/>
  <c r="M97" i="2"/>
  <c r="N97" i="2"/>
  <c r="M86" i="2"/>
  <c r="M87" i="2"/>
  <c r="M88" i="2"/>
  <c r="M89" i="2"/>
  <c r="M90" i="2"/>
  <c r="M91" i="2"/>
  <c r="M92" i="2"/>
  <c r="M93" i="2"/>
  <c r="M94" i="2"/>
  <c r="M95" i="2"/>
  <c r="M96" i="2"/>
  <c r="N86" i="2"/>
  <c r="N87" i="2"/>
  <c r="N88" i="2"/>
  <c r="N89" i="2"/>
  <c r="N90" i="2"/>
  <c r="N91" i="2"/>
  <c r="N92" i="2"/>
  <c r="N93" i="2"/>
  <c r="N94" i="2"/>
  <c r="N95" i="2"/>
  <c r="N96" i="2"/>
  <c r="M82" i="2"/>
  <c r="M83" i="2"/>
  <c r="M84" i="2"/>
  <c r="M85" i="2"/>
  <c r="N81" i="2"/>
  <c r="N82" i="2"/>
  <c r="N83" i="2"/>
  <c r="N84" i="2"/>
  <c r="N85" i="2"/>
  <c r="M75" i="2"/>
  <c r="M76" i="2"/>
  <c r="M78" i="2"/>
  <c r="N75" i="2"/>
  <c r="N76" i="2"/>
  <c r="N78" i="2"/>
  <c r="V75" i="2"/>
  <c r="V76" i="2"/>
  <c r="V77" i="2"/>
  <c r="V78" i="2"/>
  <c r="V74" i="2"/>
  <c r="V73" i="2"/>
  <c r="V72" i="2"/>
  <c r="V71" i="2"/>
  <c r="V70" i="2"/>
  <c r="V69" i="2"/>
  <c r="V68" i="2"/>
  <c r="V67" i="2"/>
  <c r="V63" i="2"/>
  <c r="V58" i="2"/>
  <c r="V57" i="2"/>
  <c r="V56" i="2"/>
  <c r="V55" i="2"/>
  <c r="V54" i="2"/>
  <c r="V53" i="2"/>
  <c r="V52" i="2"/>
  <c r="V51" i="2"/>
  <c r="M51" i="2"/>
  <c r="M52" i="2"/>
  <c r="M53" i="2"/>
  <c r="M54" i="2"/>
  <c r="M55" i="2"/>
  <c r="M56" i="2"/>
  <c r="M57" i="2"/>
  <c r="M58" i="2"/>
  <c r="M61" i="2"/>
  <c r="M62" i="2"/>
  <c r="M63" i="2"/>
  <c r="M64" i="2"/>
  <c r="M67" i="2"/>
  <c r="M68" i="2"/>
  <c r="M69" i="2"/>
  <c r="M70" i="2"/>
  <c r="M71" i="2"/>
  <c r="M72" i="2"/>
  <c r="M73" i="2"/>
  <c r="N51" i="2"/>
  <c r="N52" i="2"/>
  <c r="N53" i="2"/>
  <c r="N54" i="2"/>
  <c r="N55" i="2"/>
  <c r="N56" i="2"/>
  <c r="N57" i="2"/>
  <c r="N58" i="2"/>
  <c r="N61" i="2"/>
  <c r="N62" i="2"/>
  <c r="N63" i="2"/>
  <c r="N64" i="2"/>
  <c r="N67" i="2"/>
  <c r="N68" i="2"/>
  <c r="N69" i="2"/>
  <c r="N70" i="2"/>
  <c r="N71" i="2"/>
  <c r="N72" i="2"/>
  <c r="N73" i="2"/>
  <c r="V47" i="2"/>
  <c r="V3" i="2"/>
  <c r="V4" i="2"/>
  <c r="V5" i="2"/>
  <c r="V7" i="2"/>
  <c r="V9" i="2"/>
  <c r="V10" i="2"/>
  <c r="V11" i="2"/>
  <c r="V12" i="2"/>
  <c r="V13" i="2"/>
  <c r="V17" i="2"/>
  <c r="V18" i="2"/>
  <c r="V19" i="2"/>
  <c r="V20" i="2"/>
  <c r="V21" i="2"/>
  <c r="V22" i="2"/>
  <c r="V23" i="2"/>
  <c r="V24" i="2"/>
  <c r="V26" i="2"/>
  <c r="V27" i="2"/>
  <c r="V28" i="2"/>
  <c r="V29" i="2"/>
  <c r="V30" i="2"/>
  <c r="V31" i="2"/>
  <c r="V32" i="2"/>
  <c r="V33" i="2"/>
  <c r="V34" i="2"/>
  <c r="V36" i="2"/>
  <c r="V37" i="2"/>
  <c r="V38" i="2"/>
  <c r="V39" i="2"/>
  <c r="V40" i="2"/>
  <c r="V41" i="2"/>
  <c r="V42" i="2"/>
  <c r="V43" i="2"/>
  <c r="V44" i="2"/>
  <c r="J36" i="2"/>
  <c r="J37" i="2"/>
  <c r="J38" i="2"/>
  <c r="J39" i="2"/>
  <c r="J40" i="2"/>
  <c r="J41" i="2"/>
  <c r="J42" i="2"/>
  <c r="J43" i="2"/>
  <c r="J44" i="2"/>
  <c r="M36" i="2"/>
  <c r="M37" i="2"/>
  <c r="M38" i="2"/>
  <c r="M39" i="2"/>
  <c r="M40" i="2"/>
  <c r="M41" i="2"/>
  <c r="M42" i="2"/>
  <c r="M43" i="2"/>
  <c r="M44" i="2"/>
  <c r="N36" i="2"/>
  <c r="N37" i="2"/>
  <c r="N38" i="2"/>
  <c r="N39" i="2"/>
  <c r="N40" i="2"/>
  <c r="N41" i="2"/>
  <c r="N42" i="2"/>
  <c r="N43" i="2"/>
  <c r="N44" i="2"/>
  <c r="J26" i="2"/>
  <c r="J27" i="2"/>
  <c r="J28" i="2"/>
  <c r="J29" i="2"/>
  <c r="J30" i="2"/>
  <c r="J31" i="2"/>
  <c r="J32" i="2"/>
  <c r="J33" i="2"/>
  <c r="J34" i="2"/>
  <c r="M34" i="2"/>
  <c r="N34" i="2"/>
  <c r="J21" i="2"/>
  <c r="J20" i="2"/>
  <c r="J19" i="2"/>
  <c r="J18" i="2"/>
  <c r="J17" i="2"/>
  <c r="M23" i="2"/>
  <c r="M24" i="2"/>
  <c r="M27" i="2"/>
  <c r="M28" i="2"/>
  <c r="M29" i="2"/>
  <c r="M30" i="2"/>
  <c r="M31" i="2"/>
  <c r="M33" i="2"/>
  <c r="N23" i="2"/>
  <c r="N24" i="2"/>
  <c r="N26" i="2"/>
  <c r="N27" i="2"/>
  <c r="N28" i="2"/>
  <c r="N29" i="2"/>
  <c r="N30" i="2"/>
  <c r="N31" i="2"/>
  <c r="N33" i="2"/>
  <c r="M17" i="2"/>
  <c r="M18" i="2"/>
  <c r="M19" i="2"/>
  <c r="M20" i="2"/>
  <c r="M21" i="2"/>
  <c r="M22" i="2"/>
  <c r="N17" i="2"/>
  <c r="N19" i="2"/>
  <c r="N20" i="2"/>
  <c r="N21" i="2"/>
  <c r="N22" i="2"/>
  <c r="N3" i="2"/>
  <c r="N4" i="2"/>
  <c r="N5" i="2"/>
  <c r="N7" i="2"/>
  <c r="N9" i="2"/>
  <c r="N10" i="2"/>
  <c r="N11" i="2"/>
  <c r="N12" i="2"/>
  <c r="N13" i="2"/>
  <c r="I108" i="7"/>
  <c r="M3" i="2"/>
  <c r="M4" i="2"/>
  <c r="M5" i="2"/>
  <c r="M7" i="2"/>
  <c r="M9" i="2"/>
  <c r="M10" i="2"/>
  <c r="M11" i="2"/>
  <c r="M12" i="2"/>
  <c r="M13" i="2"/>
  <c r="V131" i="2" l="1"/>
  <c r="V130" i="2"/>
  <c r="V129" i="2"/>
  <c r="V126" i="2"/>
  <c r="O131" i="2"/>
  <c r="O138" i="2"/>
  <c r="O134" i="2"/>
  <c r="O141" i="2"/>
  <c r="O145" i="2"/>
  <c r="O128" i="2"/>
  <c r="O142" i="2"/>
  <c r="O146" i="2"/>
  <c r="O130" i="2"/>
  <c r="O129" i="2"/>
  <c r="O126" i="2"/>
  <c r="O139" i="2"/>
  <c r="O143" i="2"/>
  <c r="O140" i="2"/>
  <c r="O144" i="2"/>
  <c r="O127" i="2"/>
  <c r="O104" i="2"/>
  <c r="O102" i="2"/>
  <c r="U148" i="2"/>
  <c r="U149" i="2"/>
  <c r="U153" i="2"/>
  <c r="U155" i="2"/>
  <c r="U151" i="2"/>
  <c r="U154" i="2"/>
  <c r="U97" i="2"/>
  <c r="U96" i="2"/>
  <c r="U92" i="2"/>
  <c r="U88" i="2"/>
  <c r="U84" i="2"/>
  <c r="U82" i="2"/>
  <c r="U85" i="2"/>
  <c r="U95" i="2"/>
  <c r="U91" i="2"/>
  <c r="U87" i="2"/>
  <c r="U83" i="2"/>
  <c r="U98" i="2"/>
  <c r="V98" i="2" s="1"/>
  <c r="U94" i="2"/>
  <c r="U90" i="2"/>
  <c r="U86" i="2"/>
  <c r="U93" i="2"/>
  <c r="U89" i="2"/>
  <c r="O101" i="2"/>
  <c r="U118" i="2"/>
  <c r="U122" i="2"/>
  <c r="U124" i="2"/>
  <c r="U123" i="2"/>
  <c r="O49" i="2"/>
  <c r="O15" i="2"/>
  <c r="O14" i="2"/>
  <c r="O231" i="2"/>
  <c r="O100" i="2"/>
  <c r="O46" i="2"/>
  <c r="O171" i="2"/>
  <c r="O48" i="2"/>
  <c r="O233" i="2"/>
  <c r="O103" i="2"/>
  <c r="O65" i="2"/>
  <c r="O32" i="2"/>
  <c r="O74" i="2"/>
  <c r="O47" i="2"/>
  <c r="O77" i="2"/>
  <c r="O232" i="2"/>
  <c r="O156" i="2"/>
  <c r="V156" i="2" s="1"/>
  <c r="O116" i="2"/>
  <c r="O124" i="2"/>
  <c r="O98" i="2"/>
  <c r="P98" i="2" s="1"/>
  <c r="O79" i="2"/>
  <c r="P79" i="2" s="1"/>
  <c r="O115" i="2"/>
  <c r="O54" i="2"/>
  <c r="O53" i="2"/>
  <c r="O57" i="2"/>
  <c r="O52" i="2"/>
  <c r="O56" i="2"/>
  <c r="O51" i="2"/>
  <c r="O55" i="2"/>
  <c r="O150" i="2"/>
  <c r="O89" i="2"/>
  <c r="O11" i="2"/>
  <c r="O123" i="2"/>
  <c r="O17" i="2"/>
  <c r="O8" i="2"/>
  <c r="O230" i="2"/>
  <c r="O229" i="2"/>
  <c r="O228" i="2"/>
  <c r="O23" i="2"/>
  <c r="O22" i="2"/>
  <c r="O5" i="2"/>
  <c r="O7" i="2"/>
  <c r="O6" i="2"/>
  <c r="O122" i="2"/>
  <c r="O148" i="2"/>
  <c r="O151" i="2"/>
  <c r="O152" i="2"/>
  <c r="O155" i="2"/>
  <c r="O112" i="2"/>
  <c r="O170" i="2"/>
  <c r="O214" i="2"/>
  <c r="O106" i="2"/>
  <c r="O118" i="2"/>
  <c r="O176" i="2"/>
  <c r="O168" i="2"/>
  <c r="O191" i="2"/>
  <c r="O196" i="2"/>
  <c r="O226" i="2"/>
  <c r="O222" i="2"/>
  <c r="O107" i="2"/>
  <c r="O120" i="2"/>
  <c r="O113" i="2"/>
  <c r="O181" i="2"/>
  <c r="O177" i="2"/>
  <c r="O153" i="2"/>
  <c r="O149" i="2"/>
  <c r="O188" i="2"/>
  <c r="O184" i="2"/>
  <c r="O193" i="2"/>
  <c r="O223" i="2"/>
  <c r="O219" i="2"/>
  <c r="O215" i="2"/>
  <c r="O211" i="2"/>
  <c r="O183" i="2"/>
  <c r="O179" i="2"/>
  <c r="O175" i="2"/>
  <c r="O110" i="2"/>
  <c r="O180" i="2"/>
  <c r="O173" i="2"/>
  <c r="O187" i="2"/>
  <c r="O218" i="2"/>
  <c r="O61" i="2"/>
  <c r="O63" i="2"/>
  <c r="O108" i="2"/>
  <c r="O121" i="2"/>
  <c r="O114" i="2"/>
  <c r="V114" i="2" s="1"/>
  <c r="O182" i="2"/>
  <c r="O178" i="2"/>
  <c r="O174" i="2"/>
  <c r="O169" i="2"/>
  <c r="O154" i="2"/>
  <c r="O189" i="2"/>
  <c r="O185" i="2"/>
  <c r="O194" i="2"/>
  <c r="O224" i="2"/>
  <c r="O220" i="2"/>
  <c r="O216" i="2"/>
  <c r="O212" i="2"/>
  <c r="O109" i="2"/>
  <c r="O190" i="2"/>
  <c r="O186" i="2"/>
  <c r="O195" i="2"/>
  <c r="O225" i="2"/>
  <c r="O217" i="2"/>
  <c r="O213" i="2"/>
  <c r="P107" i="2"/>
  <c r="O75" i="2"/>
  <c r="O71" i="2"/>
  <c r="O85" i="2"/>
  <c r="O81" i="2"/>
  <c r="O94" i="2"/>
  <c r="O90" i="2"/>
  <c r="O86" i="2"/>
  <c r="O73" i="2"/>
  <c r="O64" i="2"/>
  <c r="O58" i="2"/>
  <c r="O78" i="2"/>
  <c r="O82" i="2"/>
  <c r="O95" i="2"/>
  <c r="O91" i="2"/>
  <c r="O87" i="2"/>
  <c r="O69" i="2"/>
  <c r="O83" i="2"/>
  <c r="O96" i="2"/>
  <c r="O92" i="2"/>
  <c r="O88" i="2"/>
  <c r="O97" i="2"/>
  <c r="O70" i="2"/>
  <c r="O62" i="2"/>
  <c r="O76" i="2"/>
  <c r="O84" i="2"/>
  <c r="O93" i="2"/>
  <c r="O72" i="2"/>
  <c r="O68" i="2"/>
  <c r="O67" i="2"/>
  <c r="O18" i="2"/>
  <c r="O33" i="2"/>
  <c r="O38" i="2"/>
  <c r="O28" i="2"/>
  <c r="O39" i="2"/>
  <c r="O29" i="2"/>
  <c r="O31" i="2"/>
  <c r="O41" i="2"/>
  <c r="O27" i="2"/>
  <c r="O42" i="2"/>
  <c r="O37" i="2"/>
  <c r="O30" i="2"/>
  <c r="O26" i="2"/>
  <c r="O34" i="2"/>
  <c r="O19" i="2"/>
  <c r="O43" i="2"/>
  <c r="O20" i="2"/>
  <c r="O44" i="2"/>
  <c r="O40" i="2"/>
  <c r="O36" i="2"/>
  <c r="O21" i="2"/>
  <c r="O24" i="2"/>
  <c r="O12" i="2"/>
  <c r="O13" i="2"/>
  <c r="O9" i="2"/>
  <c r="O3" i="2"/>
  <c r="O10" i="2"/>
  <c r="O4" i="2"/>
  <c r="V116" i="2" l="1"/>
  <c r="V65" i="2"/>
  <c r="P65" i="2"/>
  <c r="P102" i="2"/>
  <c r="P104" i="2"/>
  <c r="P110" i="2"/>
  <c r="P106" i="2"/>
  <c r="P103" i="2"/>
  <c r="P100" i="2"/>
  <c r="P101" i="2"/>
  <c r="E71" i="11" l="1"/>
  <c r="F105" i="2" l="1"/>
  <c r="F102" i="2"/>
  <c r="F101" i="2"/>
  <c r="F103" i="2"/>
  <c r="F104" i="2"/>
  <c r="F100" i="2"/>
  <c r="Y100" i="2" s="1"/>
  <c r="F217" i="2"/>
  <c r="F226" i="2"/>
  <c r="F218" i="2"/>
  <c r="F225" i="2"/>
  <c r="F214" i="2"/>
  <c r="F216" i="2"/>
  <c r="F227" i="2"/>
  <c r="F212" i="2"/>
  <c r="F213" i="2"/>
  <c r="F215" i="2"/>
  <c r="F219" i="2"/>
  <c r="F224" i="2"/>
  <c r="F211" i="2"/>
  <c r="K224" i="2" l="1"/>
  <c r="K219" i="2"/>
  <c r="K222" i="2"/>
  <c r="K212" i="2"/>
  <c r="K214" i="2"/>
  <c r="K217" i="2"/>
  <c r="K103" i="2"/>
  <c r="V103" i="2" s="1"/>
  <c r="K101" i="2"/>
  <c r="V101" i="2" s="1"/>
  <c r="K102" i="2"/>
  <c r="V102" i="2" s="1"/>
  <c r="K211" i="2"/>
  <c r="K223" i="2"/>
  <c r="K215" i="2"/>
  <c r="K213" i="2"/>
  <c r="K216" i="2"/>
  <c r="K225" i="2"/>
  <c r="K218" i="2"/>
  <c r="K226" i="2"/>
  <c r="K220" i="2"/>
  <c r="K104" i="2"/>
  <c r="V104" i="2" s="1"/>
  <c r="F80" i="2"/>
  <c r="F73" i="2"/>
  <c r="F72" i="2"/>
  <c r="F71" i="2"/>
  <c r="F74" i="2"/>
  <c r="F69" i="2"/>
  <c r="F68" i="2"/>
  <c r="F67" i="2"/>
  <c r="Y67" i="2" s="1"/>
  <c r="F70" i="2"/>
  <c r="F77" i="2"/>
  <c r="F76" i="2"/>
  <c r="F75" i="2"/>
  <c r="F78" i="2"/>
  <c r="F117" i="2"/>
  <c r="F112" i="2"/>
  <c r="F114" i="2"/>
  <c r="F115" i="2"/>
  <c r="F62" i="2"/>
  <c r="F61" i="2"/>
  <c r="Y61" i="2" s="1"/>
  <c r="F66" i="2"/>
  <c r="F96" i="2"/>
  <c r="F82" i="2"/>
  <c r="F81" i="2"/>
  <c r="Y81" i="2" s="1"/>
  <c r="F90" i="2"/>
  <c r="F88" i="2"/>
  <c r="F93" i="2"/>
  <c r="F84" i="2"/>
  <c r="F89" i="2"/>
  <c r="F99" i="2"/>
  <c r="F92" i="2"/>
  <c r="F86" i="2"/>
  <c r="F85" i="2"/>
  <c r="F91" i="2"/>
  <c r="F83" i="2"/>
  <c r="F87" i="2"/>
  <c r="F94" i="2"/>
  <c r="F97" i="2"/>
  <c r="F95" i="2"/>
  <c r="F10" i="2"/>
  <c r="F3" i="2"/>
  <c r="Y3" i="2" s="1"/>
  <c r="F12" i="2"/>
  <c r="F6" i="2"/>
  <c r="F16" i="2"/>
  <c r="F9" i="2"/>
  <c r="F13" i="2"/>
  <c r="F11" i="2"/>
  <c r="F8" i="2"/>
  <c r="F4" i="2"/>
  <c r="F5" i="2"/>
  <c r="F7" i="2"/>
  <c r="F192" i="2"/>
  <c r="F187" i="2"/>
  <c r="F191" i="2"/>
  <c r="F173" i="2"/>
  <c r="F180" i="2"/>
  <c r="F186" i="2"/>
  <c r="F190" i="2"/>
  <c r="F175" i="2"/>
  <c r="F179" i="2"/>
  <c r="F183" i="2"/>
  <c r="F185" i="2"/>
  <c r="F189" i="2"/>
  <c r="F178" i="2"/>
  <c r="F182" i="2"/>
  <c r="F184" i="2"/>
  <c r="F188" i="2"/>
  <c r="F181" i="2"/>
  <c r="F157" i="2"/>
  <c r="F152" i="2"/>
  <c r="F151" i="2"/>
  <c r="F155" i="2"/>
  <c r="F150" i="2"/>
  <c r="F154" i="2"/>
  <c r="F149" i="2"/>
  <c r="F153" i="2"/>
  <c r="F148" i="2"/>
  <c r="Y148" i="2" s="1"/>
  <c r="F196" i="2"/>
  <c r="K208" i="13" s="1"/>
  <c r="F194" i="2"/>
  <c r="F195" i="2"/>
  <c r="F197" i="2"/>
  <c r="F193" i="2"/>
  <c r="K205" i="13" s="1"/>
  <c r="F50" i="2"/>
  <c r="F46" i="2"/>
  <c r="Y46" i="2" s="1"/>
  <c r="F172" i="2"/>
  <c r="F168" i="2"/>
  <c r="Y168" i="2" s="1"/>
  <c r="F36" i="2"/>
  <c r="Y36" i="2" s="1"/>
  <c r="F40" i="2"/>
  <c r="F45" i="2"/>
  <c r="F41" i="2"/>
  <c r="F39" i="2"/>
  <c r="F43" i="2"/>
  <c r="F42" i="2"/>
  <c r="F38" i="2"/>
  <c r="F44" i="2"/>
  <c r="F37" i="2"/>
  <c r="F229" i="2"/>
  <c r="F228" i="2"/>
  <c r="Y228" i="2" s="1"/>
  <c r="F234" i="2"/>
  <c r="F230" i="2"/>
  <c r="K100" i="2"/>
  <c r="V100" i="2" s="1"/>
  <c r="F18" i="2"/>
  <c r="F23" i="2"/>
  <c r="F24" i="2"/>
  <c r="F25" i="2"/>
  <c r="F19" i="2"/>
  <c r="F22" i="2"/>
  <c r="F21" i="2"/>
  <c r="F17" i="2"/>
  <c r="Y17" i="2" s="1"/>
  <c r="F20" i="2"/>
  <c r="F27" i="2"/>
  <c r="F32" i="2"/>
  <c r="F35" i="2"/>
  <c r="F31" i="2"/>
  <c r="F29" i="2"/>
  <c r="F34" i="2"/>
  <c r="F26" i="2"/>
  <c r="Y26" i="2" s="1"/>
  <c r="F28" i="2"/>
  <c r="F33" i="2"/>
  <c r="F30" i="2"/>
  <c r="F109" i="2"/>
  <c r="F108" i="2"/>
  <c r="F110" i="2"/>
  <c r="F107" i="2"/>
  <c r="F111" i="2"/>
  <c r="F106" i="2"/>
  <c r="F54" i="2"/>
  <c r="F51" i="2"/>
  <c r="Y51" i="2" s="1"/>
  <c r="F60" i="2"/>
  <c r="F52" i="2"/>
  <c r="F53" i="2"/>
  <c r="F58" i="2"/>
  <c r="F56" i="2"/>
  <c r="F55" i="2"/>
  <c r="F57" i="2"/>
  <c r="K198" i="13" l="1"/>
  <c r="K207" i="13"/>
  <c r="K203" i="13"/>
  <c r="K202" i="13"/>
  <c r="K200" i="13"/>
  <c r="K201" i="13"/>
  <c r="K209" i="13"/>
  <c r="K199" i="13"/>
  <c r="K204" i="13"/>
  <c r="K206" i="13"/>
  <c r="K58" i="2"/>
  <c r="K107" i="2"/>
  <c r="K109" i="2"/>
  <c r="K22" i="2"/>
  <c r="K19" i="2"/>
  <c r="K24" i="2"/>
  <c r="K18" i="2"/>
  <c r="G29" i="14" s="1"/>
  <c r="K230" i="2"/>
  <c r="K228" i="2"/>
  <c r="K229" i="2"/>
  <c r="K37" i="2"/>
  <c r="K44" i="2"/>
  <c r="K38" i="2"/>
  <c r="K43" i="2"/>
  <c r="K39" i="2"/>
  <c r="K40" i="2"/>
  <c r="K170" i="2"/>
  <c r="K47" i="2"/>
  <c r="K195" i="2"/>
  <c r="K196" i="2"/>
  <c r="K181" i="2"/>
  <c r="K188" i="2"/>
  <c r="K182" i="2"/>
  <c r="K189" i="2"/>
  <c r="K183" i="2"/>
  <c r="K190" i="2"/>
  <c r="K180" i="2"/>
  <c r="K191" i="2"/>
  <c r="K7" i="2"/>
  <c r="K8" i="2"/>
  <c r="K11" i="2"/>
  <c r="K9" i="2"/>
  <c r="K6" i="2"/>
  <c r="K12" i="2"/>
  <c r="K95" i="2"/>
  <c r="K97" i="2"/>
  <c r="K94" i="2"/>
  <c r="K87" i="2"/>
  <c r="K91" i="2"/>
  <c r="K86" i="2"/>
  <c r="K89" i="2"/>
  <c r="K84" i="2"/>
  <c r="K93" i="2"/>
  <c r="K82" i="2"/>
  <c r="K63" i="2"/>
  <c r="K115" i="2"/>
  <c r="K113" i="2"/>
  <c r="K78" i="2"/>
  <c r="K76" i="2"/>
  <c r="K70" i="2"/>
  <c r="K68" i="2"/>
  <c r="K74" i="2"/>
  <c r="K72" i="2"/>
  <c r="K55" i="2"/>
  <c r="K52" i="2"/>
  <c r="K108" i="2"/>
  <c r="K30" i="2"/>
  <c r="K34" i="2"/>
  <c r="K27" i="2"/>
  <c r="K57" i="2"/>
  <c r="K56" i="2"/>
  <c r="K53" i="2"/>
  <c r="K54" i="2"/>
  <c r="K106" i="2"/>
  <c r="K110" i="2"/>
  <c r="K33" i="2"/>
  <c r="K28" i="2"/>
  <c r="K29" i="2"/>
  <c r="K31" i="2"/>
  <c r="K32" i="2"/>
  <c r="K20" i="2"/>
  <c r="K21" i="2"/>
  <c r="K23" i="2"/>
  <c r="K42" i="2"/>
  <c r="K41" i="2"/>
  <c r="K193" i="2"/>
  <c r="K194" i="2"/>
  <c r="K177" i="2"/>
  <c r="K184" i="2"/>
  <c r="K178" i="2"/>
  <c r="K174" i="2"/>
  <c r="K185" i="2"/>
  <c r="K179" i="2"/>
  <c r="K175" i="2"/>
  <c r="K186" i="2"/>
  <c r="K176" i="2"/>
  <c r="K173" i="2"/>
  <c r="K187" i="2"/>
  <c r="K5" i="2"/>
  <c r="K4" i="2"/>
  <c r="K13" i="2"/>
  <c r="K10" i="2"/>
  <c r="K83" i="2"/>
  <c r="K85" i="2"/>
  <c r="K92" i="2"/>
  <c r="K88" i="2"/>
  <c r="K90" i="2"/>
  <c r="K96" i="2"/>
  <c r="K64" i="2"/>
  <c r="K62" i="2"/>
  <c r="K114" i="2"/>
  <c r="K75" i="2"/>
  <c r="K77" i="2"/>
  <c r="G35" i="14" s="1"/>
  <c r="K69" i="2"/>
  <c r="K71" i="2"/>
  <c r="K73" i="2"/>
  <c r="K155" i="2"/>
  <c r="V155" i="2" s="1"/>
  <c r="K51" i="2"/>
  <c r="K46" i="2"/>
  <c r="K148" i="2"/>
  <c r="V148" i="2" s="1"/>
  <c r="K61" i="2"/>
  <c r="K26" i="2"/>
  <c r="K168" i="2"/>
  <c r="V168" i="2" s="1"/>
  <c r="K154" i="2"/>
  <c r="V154" i="2" s="1"/>
  <c r="K152" i="2"/>
  <c r="K67" i="2"/>
  <c r="K169" i="2"/>
  <c r="V169" i="2" s="1"/>
  <c r="K153" i="2"/>
  <c r="V153" i="2" s="1"/>
  <c r="K81" i="2"/>
  <c r="H41" i="14" s="1"/>
  <c r="K17" i="2"/>
  <c r="K150" i="2"/>
  <c r="V150" i="2" s="1"/>
  <c r="K3" i="2"/>
  <c r="K36" i="2"/>
  <c r="K149" i="2"/>
  <c r="V149" i="2" s="1"/>
  <c r="K151" i="2"/>
  <c r="V151" i="2" s="1"/>
  <c r="K112" i="2"/>
  <c r="V112" i="2" s="1"/>
  <c r="H29" i="14" l="1"/>
  <c r="H30" i="14"/>
  <c r="H33" i="14"/>
  <c r="I35" i="14"/>
  <c r="H35" i="14"/>
  <c r="G41" i="14"/>
  <c r="G27" i="14" s="1"/>
  <c r="H28" i="14"/>
  <c r="V46" i="2"/>
  <c r="H31" i="14"/>
  <c r="I34" i="14"/>
  <c r="H34" i="14"/>
  <c r="P17" i="2"/>
  <c r="P67" i="2"/>
  <c r="P26" i="2"/>
  <c r="P51" i="2"/>
  <c r="P69" i="2"/>
  <c r="P10" i="2"/>
  <c r="P21" i="2"/>
  <c r="P29" i="2"/>
  <c r="P57" i="2"/>
  <c r="P74" i="2"/>
  <c r="P78" i="2"/>
  <c r="P9" i="2"/>
  <c r="P40" i="2"/>
  <c r="P44" i="2"/>
  <c r="P22" i="2"/>
  <c r="P36" i="2"/>
  <c r="P13" i="2"/>
  <c r="P41" i="2"/>
  <c r="P20" i="2"/>
  <c r="P28" i="2"/>
  <c r="P54" i="2"/>
  <c r="P27" i="2"/>
  <c r="P52" i="2"/>
  <c r="P68" i="2"/>
  <c r="P11" i="2"/>
  <c r="P39" i="2"/>
  <c r="P37" i="2"/>
  <c r="P18" i="2"/>
  <c r="P73" i="2"/>
  <c r="P75" i="2"/>
  <c r="P4" i="2"/>
  <c r="P42" i="2"/>
  <c r="P32" i="2"/>
  <c r="P33" i="2"/>
  <c r="P53" i="2"/>
  <c r="P34" i="2"/>
  <c r="P55" i="2"/>
  <c r="P70" i="2"/>
  <c r="P12" i="2"/>
  <c r="P8" i="2"/>
  <c r="P43" i="2"/>
  <c r="P24" i="2"/>
  <c r="P71" i="2"/>
  <c r="P5" i="2"/>
  <c r="P23" i="2"/>
  <c r="P31" i="2"/>
  <c r="P56" i="2"/>
  <c r="P30" i="2"/>
  <c r="P72" i="2"/>
  <c r="P76" i="2"/>
  <c r="P63" i="2"/>
  <c r="P6" i="2"/>
  <c r="P7" i="2"/>
  <c r="P38" i="2"/>
  <c r="P19" i="2"/>
  <c r="P58" i="2"/>
  <c r="I33" i="14" s="1"/>
  <c r="K235" i="13"/>
  <c r="V64" i="2"/>
  <c r="P64" i="2"/>
  <c r="V61" i="2"/>
  <c r="P61" i="2"/>
  <c r="V62" i="2"/>
  <c r="P62" i="2"/>
  <c r="P81" i="2"/>
  <c r="I41" i="14" s="1"/>
  <c r="V81" i="2"/>
  <c r="P90" i="2"/>
  <c r="V90" i="2"/>
  <c r="P83" i="2"/>
  <c r="V83" i="2"/>
  <c r="P88" i="2"/>
  <c r="V88" i="2"/>
  <c r="P82" i="2"/>
  <c r="V82" i="2"/>
  <c r="P86" i="2"/>
  <c r="V86" i="2"/>
  <c r="P97" i="2"/>
  <c r="V97" i="2"/>
  <c r="P92" i="2"/>
  <c r="V92" i="2"/>
  <c r="P93" i="2"/>
  <c r="V93" i="2"/>
  <c r="P91" i="2"/>
  <c r="V91" i="2"/>
  <c r="P95" i="2"/>
  <c r="V95" i="2"/>
  <c r="P96" i="2"/>
  <c r="V96" i="2"/>
  <c r="P85" i="2"/>
  <c r="V85" i="2"/>
  <c r="P84" i="2"/>
  <c r="V84" i="2"/>
  <c r="P87" i="2"/>
  <c r="V87" i="2"/>
  <c r="P89" i="2"/>
  <c r="V89" i="2"/>
  <c r="P94" i="2"/>
  <c r="V94" i="2"/>
  <c r="P170" i="2"/>
  <c r="V170" i="2"/>
  <c r="P123" i="2"/>
  <c r="P122" i="2"/>
  <c r="P115" i="2"/>
  <c r="V115" i="2"/>
  <c r="P151" i="2"/>
  <c r="P150" i="2"/>
  <c r="P3" i="2"/>
  <c r="P153" i="2"/>
  <c r="P169" i="2"/>
  <c r="P154" i="2"/>
  <c r="P149" i="2"/>
  <c r="P152" i="2"/>
  <c r="P168" i="2"/>
  <c r="P112" i="2"/>
  <c r="P118" i="2"/>
  <c r="P148" i="2"/>
  <c r="P155" i="2"/>
  <c r="H27" i="14" l="1"/>
  <c r="I31" i="14"/>
  <c r="I30" i="14"/>
  <c r="I28" i="14"/>
  <c r="I29" i="14"/>
  <c r="P235" i="2"/>
  <c r="K120" i="2"/>
  <c r="F121" i="2"/>
  <c r="K121" i="2" s="1"/>
  <c r="F123" i="2"/>
  <c r="K123" i="2" s="1"/>
  <c r="F122" i="2"/>
  <c r="K122" i="2" s="1"/>
  <c r="V122" i="2" s="1"/>
  <c r="F124" i="2"/>
  <c r="K124" i="2" s="1"/>
  <c r="F118" i="2"/>
  <c r="J35" i="14" l="1"/>
  <c r="K35" i="14" s="1"/>
  <c r="J33" i="14"/>
  <c r="K33" i="14" s="1"/>
  <c r="J34" i="14"/>
  <c r="K34" i="14" s="1"/>
  <c r="J30" i="14"/>
  <c r="K30" i="14" s="1"/>
  <c r="J28" i="14"/>
  <c r="J41" i="14"/>
  <c r="K41" i="14" s="1"/>
  <c r="J29" i="14"/>
  <c r="K29" i="14" s="1"/>
  <c r="J31" i="14"/>
  <c r="K31" i="14" s="1"/>
  <c r="K28" i="14"/>
  <c r="I27" i="14"/>
  <c r="Y118" i="2"/>
  <c r="Y235" i="2" s="1"/>
  <c r="P1" i="2" s="1"/>
  <c r="C16" i="14" s="1"/>
  <c r="V124" i="2"/>
  <c r="V123" i="2"/>
  <c r="K118" i="2"/>
  <c r="K27" i="14" l="1"/>
  <c r="C18" i="14" s="1"/>
  <c r="J27" i="14"/>
  <c r="V118" i="2"/>
  <c r="K235" i="2"/>
  <c r="V235" i="2" l="1"/>
  <c r="V1" i="2" l="1"/>
  <c r="C17"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R40959</author>
  </authors>
  <commentList>
    <comment ref="B34" authorId="0" shapeId="0" xr:uid="{00000000-0006-0000-0200-000001000000}">
      <text>
        <r>
          <rPr>
            <sz val="9"/>
            <color indexed="81"/>
            <rFont val="Tahoma"/>
            <family val="2"/>
          </rPr>
          <t>Block involved in the given Function. The Blocks are defined in the internal block diagram of the device</t>
        </r>
      </text>
    </comment>
    <comment ref="C34" authorId="0" shapeId="0" xr:uid="{00000000-0006-0000-0200-000002000000}">
      <text>
        <r>
          <rPr>
            <sz val="9"/>
            <color indexed="81"/>
            <rFont val="Tahoma"/>
            <family val="2"/>
          </rPr>
          <t>Name of the Function</t>
        </r>
      </text>
    </comment>
    <comment ref="D34" authorId="0" shapeId="0" xr:uid="{00000000-0006-0000-0200-000003000000}">
      <text>
        <r>
          <rPr>
            <sz val="9"/>
            <color indexed="81"/>
            <rFont val="Tahoma"/>
            <family val="2"/>
          </rPr>
          <t>Percentage of the allocated function die size over the total product die size</t>
        </r>
      </text>
    </comment>
    <comment ref="G34" authorId="0" shapeId="0" xr:uid="{00000000-0006-0000-0200-000004000000}">
      <text>
        <r>
          <rPr>
            <sz val="9"/>
            <color indexed="81"/>
            <rFont val="Tahoma"/>
            <family val="2"/>
          </rPr>
          <t>Failure Rate for the function</t>
        </r>
      </text>
    </comment>
    <comment ref="B107" authorId="0" shapeId="0" xr:uid="{00000000-0006-0000-0200-000005000000}">
      <text>
        <r>
          <rPr>
            <sz val="9"/>
            <color indexed="81"/>
            <rFont val="Tahoma"/>
            <family val="2"/>
          </rPr>
          <t>ID of the Safety Mechanism</t>
        </r>
      </text>
    </comment>
    <comment ref="C107" authorId="0" shapeId="0" xr:uid="{00000000-0006-0000-0200-000006000000}">
      <text>
        <r>
          <rPr>
            <sz val="9"/>
            <color indexed="81"/>
            <rFont val="Tahoma"/>
            <family val="2"/>
          </rPr>
          <t>Description of the Safety Mechanism</t>
        </r>
      </text>
    </comment>
    <comment ref="D107" authorId="0" shapeId="0" xr:uid="{00000000-0006-0000-0200-000007000000}">
      <text>
        <r>
          <rPr>
            <sz val="9"/>
            <color indexed="81"/>
            <rFont val="Tahoma"/>
            <family val="2"/>
          </rPr>
          <t>Reference to the countermeasure defined in the Part5 Annex D of ISO26262</t>
        </r>
      </text>
    </comment>
    <comment ref="G107" authorId="0" shapeId="0" xr:uid="{00000000-0006-0000-0200-000008000000}">
      <text>
        <r>
          <rPr>
            <sz val="9"/>
            <color indexed="81"/>
            <rFont val="Tahoma"/>
            <family val="2"/>
          </rPr>
          <t>Reference to the level of Diagnostic Coverage Level defined in the Part5 Annex D of ISO26262</t>
        </r>
      </text>
    </comment>
    <comment ref="H107" authorId="0" shapeId="0" xr:uid="{00000000-0006-0000-0200-000009000000}">
      <text>
        <r>
          <rPr>
            <sz val="9"/>
            <color indexed="81"/>
            <rFont val="Tahoma"/>
            <family val="2"/>
          </rPr>
          <t xml:space="preserve">Select if the Safety Mechanism is Used or Not </t>
        </r>
      </text>
    </comment>
    <comment ref="I107" authorId="0" shapeId="0" xr:uid="{00000000-0006-0000-0200-00000A000000}">
      <text>
        <r>
          <rPr>
            <sz val="9"/>
            <color indexed="81"/>
            <rFont val="Tahoma"/>
            <family val="2"/>
          </rPr>
          <t>Reference to the  Diagnostic Coverage percentage defined in the Part5 Annex D of ISO26262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mcla01c</author>
  </authors>
  <commentList>
    <comment ref="C14" authorId="0" shapeId="0" xr:uid="{00000000-0006-0000-0400-000001000000}">
      <text>
        <r>
          <rPr>
            <sz val="9"/>
            <color indexed="81"/>
            <rFont val="Tahoma"/>
            <family val="2"/>
          </rPr>
          <t>FS0b + 5%</t>
        </r>
      </text>
    </comment>
    <comment ref="C15" authorId="0" shapeId="0" xr:uid="{00000000-0006-0000-0400-000002000000}">
      <text>
        <r>
          <rPr>
            <sz val="9"/>
            <color indexed="81"/>
            <rFont val="Tahoma"/>
            <family val="2"/>
          </rPr>
          <t>0.05 for CLK + 0.05 for digital (1K gate)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mcla01c</author>
    <author>maxime clairet</author>
  </authors>
  <commentList>
    <comment ref="B8" authorId="0" shapeId="0" xr:uid="{00000000-0006-0000-0700-000001000000}">
      <text>
        <r>
          <rPr>
            <b/>
            <sz val="9"/>
            <color indexed="81"/>
            <rFont val="Tahoma"/>
            <family val="2"/>
          </rPr>
          <t>RSTb, FSB, FS1B monitoring</t>
        </r>
      </text>
    </comment>
    <comment ref="B9" authorId="0" shapeId="0" xr:uid="{00000000-0006-0000-0700-000002000000}">
      <text>
        <r>
          <rPr>
            <b/>
            <sz val="9"/>
            <color indexed="81"/>
            <rFont val="Tahoma"/>
            <family val="2"/>
          </rPr>
          <t>FCCU monitoring on IO_2:3 pins</t>
        </r>
      </text>
    </comment>
    <comment ref="B10" authorId="0" shapeId="0" xr:uid="{00000000-0006-0000-0700-000003000000}">
      <text>
        <r>
          <rPr>
            <b/>
            <sz val="9"/>
            <color indexed="81"/>
            <rFont val="Tahoma"/>
            <family val="2"/>
          </rPr>
          <t>Fault Error Counter</t>
        </r>
      </text>
    </comment>
    <comment ref="B11" authorId="0" shapeId="0" xr:uid="{00000000-0006-0000-0700-000004000000}">
      <text>
        <r>
          <rPr>
            <b/>
            <sz val="9"/>
            <color indexed="81"/>
            <rFont val="Tahoma"/>
            <family val="2"/>
          </rPr>
          <t>Fuse loading and INIT_FS registers</t>
        </r>
      </text>
    </comment>
    <comment ref="B13" authorId="1" shapeId="0" xr:uid="{00000000-0006-0000-0700-000005000000}">
      <text>
        <r>
          <rPr>
            <b/>
            <sz val="9"/>
            <color indexed="81"/>
            <rFont val="Tahoma"/>
            <family val="2"/>
          </rPr>
          <t>External IC Error monitoring on IO_4:5 pins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R40959</author>
    <author>RegisGubian</author>
    <author>mcla01c</author>
  </authors>
  <commentList>
    <comment ref="B2" authorId="0" shapeId="0" xr:uid="{00000000-0006-0000-0800-000001000000}">
      <text>
        <r>
          <rPr>
            <sz val="11"/>
            <color indexed="81"/>
            <rFont val="Tahoma"/>
            <family val="2"/>
          </rPr>
          <t>Function name described in Block Failure Rate sheet</t>
        </r>
      </text>
    </comment>
    <comment ref="F2" authorId="0" shapeId="0" xr:uid="{00000000-0006-0000-0800-000002000000}">
      <text>
        <r>
          <rPr>
            <sz val="11"/>
            <color indexed="81"/>
            <rFont val="Tahoma"/>
            <family val="2"/>
          </rPr>
          <t>Function Failure Rate described in Block Failure Rate sheet</t>
        </r>
      </text>
    </comment>
    <comment ref="G2" authorId="0" shapeId="0" xr:uid="{00000000-0006-0000-0800-000003000000}">
      <text>
        <r>
          <rPr>
            <sz val="11"/>
            <color indexed="81"/>
            <rFont val="Tahoma"/>
            <family val="2"/>
          </rPr>
          <t xml:space="preserve">The failure modes come from 4 Input data:
1- from the table D1 of Part 5 AnnexD of ISO26262 depending on the Function element analysed
2- from the Safety concept failure modes defined for a Safety function
3- from the pin FMEA faults (short to ground, open, short to adjacent pin) 
4- from fault analysis on the external component (drift)
</t>
        </r>
      </text>
    </comment>
    <comment ref="H2" authorId="1" shapeId="0" xr:uid="{00000000-0006-0000-0800-000004000000}">
      <text>
        <r>
          <rPr>
            <sz val="11"/>
            <color indexed="81"/>
            <rFont val="Tahoma"/>
            <family val="2"/>
          </rPr>
          <t>The Failure mode of column H violates or not the safety assumption of column J.</t>
        </r>
      </text>
    </comment>
    <comment ref="I2" authorId="0" shapeId="0" xr:uid="{00000000-0006-0000-0800-000005000000}">
      <text>
        <r>
          <rPr>
            <sz val="11"/>
            <color indexed="81"/>
            <rFont val="Tahoma"/>
            <family val="2"/>
          </rPr>
          <t>Related to Safety Assumption sheet</t>
        </r>
      </text>
    </comment>
    <comment ref="J2" authorId="1" shapeId="0" xr:uid="{00000000-0006-0000-0800-000006000000}">
      <text>
        <r>
          <rPr>
            <sz val="11"/>
            <color indexed="81"/>
            <rFont val="Tahoma"/>
            <family val="2"/>
          </rPr>
          <t>Equal distribution of the Failure mode rates for the considered function. (percentage)</t>
        </r>
      </text>
    </comment>
    <comment ref="L2" authorId="0" shapeId="0" xr:uid="{00000000-0006-0000-0800-000007000000}">
      <text>
        <r>
          <rPr>
            <sz val="11"/>
            <color indexed="81"/>
            <rFont val="Tahoma"/>
            <family val="2"/>
          </rPr>
          <t>Safety Mechanism able to diagnose the Failure mode considered. (from Safety Mechanism Sheet)</t>
        </r>
      </text>
    </comment>
    <comment ref="M2" authorId="0" shapeId="0" xr:uid="{00000000-0006-0000-0800-000008000000}">
      <text>
        <r>
          <rPr>
            <sz val="11"/>
            <color indexed="81"/>
            <rFont val="Tahoma"/>
            <family val="2"/>
          </rPr>
          <t>Decription of the Safety Mechanism considered for the single point fault</t>
        </r>
      </text>
    </comment>
    <comment ref="N2" authorId="0" shapeId="0" xr:uid="{00000000-0006-0000-0800-000009000000}">
      <text>
        <r>
          <rPr>
            <sz val="11"/>
            <color indexed="81"/>
            <rFont val="Tahoma"/>
            <family val="2"/>
          </rPr>
          <t>Mapping of the Safety Mechanism considered to the tables D2 to D14 of Part5 AnnexD ISO26262</t>
        </r>
      </text>
    </comment>
    <comment ref="O2" authorId="0" shapeId="0" xr:uid="{00000000-0006-0000-0800-00000A000000}">
      <text>
        <r>
          <rPr>
            <sz val="11"/>
            <color indexed="81"/>
            <rFont val="Tahoma"/>
            <family val="2"/>
          </rPr>
          <t>Diagnostic Coverage of the Safety Mechanism from the table D1 to D14 of Part 5 AnnexD of ISO26262</t>
        </r>
      </text>
    </comment>
    <comment ref="P2" authorId="0" shapeId="0" xr:uid="{00000000-0006-0000-0800-00000B000000}">
      <text>
        <r>
          <rPr>
            <sz val="11"/>
            <color indexed="81"/>
            <rFont val="Tahoma"/>
            <family val="2"/>
          </rPr>
          <t>= (100% - column_O) x column_K</t>
        </r>
      </text>
    </comment>
    <comment ref="R2" authorId="0" shapeId="0" xr:uid="{00000000-0006-0000-0800-00000C000000}">
      <text>
        <r>
          <rPr>
            <sz val="11"/>
            <color indexed="81"/>
            <rFont val="Tahoma"/>
            <family val="2"/>
          </rPr>
          <t>Related to Safety Assumption sheet</t>
        </r>
      </text>
    </comment>
    <comment ref="S2" authorId="0" shapeId="0" xr:uid="{00000000-0006-0000-0800-00000D000000}">
      <text>
        <r>
          <rPr>
            <sz val="11"/>
            <color indexed="81"/>
            <rFont val="Tahoma"/>
            <family val="2"/>
          </rPr>
          <t>Safety Mechanism from Safety Mechanism sheet</t>
        </r>
      </text>
    </comment>
    <comment ref="T2" authorId="0" shapeId="0" xr:uid="{00000000-0006-0000-0800-00000E000000}">
      <text>
        <r>
          <rPr>
            <sz val="11"/>
            <color indexed="81"/>
            <rFont val="Tahoma"/>
            <family val="2"/>
          </rPr>
          <t>Decription of the Safety Mechanism considered for Latent Fault</t>
        </r>
      </text>
    </comment>
    <comment ref="U2" authorId="0" shapeId="0" xr:uid="{00000000-0006-0000-0800-00000F000000}">
      <text>
        <r>
          <rPr>
            <sz val="11"/>
            <color indexed="81"/>
            <rFont val="Tahoma"/>
            <family val="2"/>
          </rPr>
          <t>Diagnostic Coverage of the Safety Mechanism from the table D1 to D14 of Part 5 AnnexD of ISO26262</t>
        </r>
      </text>
    </comment>
    <comment ref="V2" authorId="0" shapeId="0" xr:uid="{00000000-0006-0000-0800-000010000000}">
      <text>
        <r>
          <rPr>
            <sz val="11"/>
            <color indexed="81"/>
            <rFont val="Tahoma"/>
            <family val="2"/>
          </rPr>
          <t>(100%- column_U) x column_L</t>
        </r>
      </text>
    </comment>
    <comment ref="X2" authorId="0" shapeId="0" xr:uid="{00000000-0006-0000-0800-000011000000}">
      <text>
        <r>
          <rPr>
            <sz val="11"/>
            <color indexed="81"/>
            <rFont val="Tahoma"/>
            <family val="2"/>
          </rPr>
          <t>Is the function Safety related ?</t>
        </r>
      </text>
    </comment>
    <comment ref="Y2" authorId="0" shapeId="0" xr:uid="{00000000-0006-0000-0800-000012000000}">
      <text>
        <r>
          <rPr>
            <sz val="11"/>
            <color indexed="81"/>
            <rFont val="Tahoma"/>
            <family val="2"/>
          </rPr>
          <t>Failure Rate for the Safety related function.</t>
        </r>
      </text>
    </comment>
    <comment ref="H12" authorId="2" shapeId="0" xr:uid="{00000000-0006-0000-0800-000013000000}">
      <text>
        <r>
          <rPr>
            <sz val="9"/>
            <color indexed="81"/>
            <rFont val="Tahoma"/>
            <family val="2"/>
          </rPr>
          <t>Yes for FS65xx
No for FS45xx</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R40959</author>
    <author>RegisGubian</author>
  </authors>
  <commentList>
    <comment ref="B2" authorId="0" shapeId="0" xr:uid="{00000000-0006-0000-0900-000001000000}">
      <text>
        <r>
          <rPr>
            <sz val="11"/>
            <color indexed="81"/>
            <rFont val="Tahoma"/>
            <family val="2"/>
          </rPr>
          <t>Function name described in Block Failure Rate sheet</t>
        </r>
      </text>
    </comment>
    <comment ref="F2" authorId="0" shapeId="0" xr:uid="{00000000-0006-0000-0900-000002000000}">
      <text>
        <r>
          <rPr>
            <sz val="11"/>
            <color indexed="81"/>
            <rFont val="Tahoma"/>
            <family val="2"/>
          </rPr>
          <t>Function Failure Rate described in Block Failure Rate sheet</t>
        </r>
      </text>
    </comment>
    <comment ref="G2" authorId="0" shapeId="0" xr:uid="{00000000-0006-0000-0900-000003000000}">
      <text>
        <r>
          <rPr>
            <sz val="11"/>
            <color indexed="81"/>
            <rFont val="Tahoma"/>
            <family val="2"/>
          </rPr>
          <t xml:space="preserve">The failure modes come from 4 Input data:
1- from the table D1 of Part 5 AnnexD of ISO26262 depending on the Function element analysed
2- from the Safety concept failure modes defined for a Safety function
3- from the pin FMEA faults (short to ground, open, short to adjacent pin) 
4- from fault analysis on the external component (drift)
</t>
        </r>
      </text>
    </comment>
    <comment ref="H2" authorId="1" shapeId="0" xr:uid="{00000000-0006-0000-0900-000004000000}">
      <text>
        <r>
          <rPr>
            <sz val="11"/>
            <color indexed="81"/>
            <rFont val="Tahoma"/>
            <family val="2"/>
          </rPr>
          <t>The Failure mode of column H violates or not the safety assumption of column J.</t>
        </r>
      </text>
    </comment>
    <comment ref="I2" authorId="0" shapeId="0" xr:uid="{00000000-0006-0000-0900-000005000000}">
      <text>
        <r>
          <rPr>
            <sz val="11"/>
            <color indexed="81"/>
            <rFont val="Tahoma"/>
            <family val="2"/>
          </rPr>
          <t>Related to Safety Assumption sheet</t>
        </r>
      </text>
    </comment>
    <comment ref="J2" authorId="1" shapeId="0" xr:uid="{00000000-0006-0000-0900-000006000000}">
      <text>
        <r>
          <rPr>
            <sz val="11"/>
            <color indexed="81"/>
            <rFont val="Tahoma"/>
            <family val="2"/>
          </rPr>
          <t>Equal distribution of the Failure mode rates for the considered function. (percentage)</t>
        </r>
      </text>
    </comment>
    <comment ref="L2" authorId="0" shapeId="0" xr:uid="{00000000-0006-0000-0900-000007000000}">
      <text>
        <r>
          <rPr>
            <sz val="11"/>
            <color indexed="81"/>
            <rFont val="Tahoma"/>
            <family val="2"/>
          </rPr>
          <t>Safety Mechanism able to diagnose the Failure mode considered. (from Safety Mechanism Sheet)</t>
        </r>
      </text>
    </comment>
    <comment ref="M2" authorId="0" shapeId="0" xr:uid="{00000000-0006-0000-0900-000008000000}">
      <text>
        <r>
          <rPr>
            <sz val="11"/>
            <color indexed="81"/>
            <rFont val="Tahoma"/>
            <family val="2"/>
          </rPr>
          <t>Decription of the Safety Mechanism considered for the single point fault</t>
        </r>
      </text>
    </comment>
    <comment ref="N2" authorId="0" shapeId="0" xr:uid="{00000000-0006-0000-0900-000009000000}">
      <text>
        <r>
          <rPr>
            <sz val="11"/>
            <color indexed="81"/>
            <rFont val="Tahoma"/>
            <family val="2"/>
          </rPr>
          <t>Mapping of the Safety Mechanism considered to the tables D2 to D14 of Part5 AnnexD ISO26262</t>
        </r>
      </text>
    </comment>
    <comment ref="O2" authorId="0" shapeId="0" xr:uid="{00000000-0006-0000-0900-00000A000000}">
      <text>
        <r>
          <rPr>
            <sz val="11"/>
            <color indexed="81"/>
            <rFont val="Tahoma"/>
            <family val="2"/>
          </rPr>
          <t>Diagnostic Coverage of the Safety Mechanism from the table D1 to D14 of Part 5 AnnexD of ISO26262</t>
        </r>
      </text>
    </comment>
    <comment ref="P2" authorId="0" shapeId="0" xr:uid="{00000000-0006-0000-0900-00000B000000}">
      <text>
        <r>
          <rPr>
            <sz val="11"/>
            <color indexed="81"/>
            <rFont val="Tahoma"/>
            <family val="2"/>
          </rPr>
          <t>= (100% - column_O) x column_K</t>
        </r>
      </text>
    </comment>
    <comment ref="R2" authorId="0" shapeId="0" xr:uid="{00000000-0006-0000-0900-00000C000000}">
      <text>
        <r>
          <rPr>
            <sz val="11"/>
            <color indexed="81"/>
            <rFont val="Tahoma"/>
            <family val="2"/>
          </rPr>
          <t>Related to Safety Assumption sheet</t>
        </r>
      </text>
    </comment>
    <comment ref="S2" authorId="0" shapeId="0" xr:uid="{00000000-0006-0000-0900-00000D000000}">
      <text>
        <r>
          <rPr>
            <sz val="11"/>
            <color indexed="81"/>
            <rFont val="Tahoma"/>
            <family val="2"/>
          </rPr>
          <t>Safety Mechanism from Safety Mechanism sheet</t>
        </r>
      </text>
    </comment>
    <comment ref="T2" authorId="0" shapeId="0" xr:uid="{00000000-0006-0000-0900-00000E000000}">
      <text>
        <r>
          <rPr>
            <sz val="11"/>
            <color indexed="81"/>
            <rFont val="Tahoma"/>
            <family val="2"/>
          </rPr>
          <t>Decription of the Safety Mechanism considered for Latent Fault</t>
        </r>
      </text>
    </comment>
    <comment ref="U2" authorId="0" shapeId="0" xr:uid="{00000000-0006-0000-0900-00000F000000}">
      <text>
        <r>
          <rPr>
            <sz val="11"/>
            <color indexed="81"/>
            <rFont val="Tahoma"/>
            <family val="2"/>
          </rPr>
          <t>Diagnostic Coverage of the Safety Mechanism from the table D1 to D14 of Part 5 AnnexD of ISO26262</t>
        </r>
      </text>
    </comment>
    <comment ref="V2" authorId="0" shapeId="0" xr:uid="{00000000-0006-0000-0900-000010000000}">
      <text>
        <r>
          <rPr>
            <sz val="11"/>
            <color indexed="81"/>
            <rFont val="Tahoma"/>
            <family val="2"/>
          </rPr>
          <t>(100%- column_U) x column_L</t>
        </r>
      </text>
    </comment>
    <comment ref="X2" authorId="0" shapeId="0" xr:uid="{00000000-0006-0000-0900-000011000000}">
      <text>
        <r>
          <rPr>
            <sz val="11"/>
            <color indexed="81"/>
            <rFont val="Tahoma"/>
            <family val="2"/>
          </rPr>
          <t>Is the function Safety related ?</t>
        </r>
      </text>
    </comment>
    <comment ref="Y2" authorId="0" shapeId="0" xr:uid="{00000000-0006-0000-0900-000012000000}">
      <text>
        <r>
          <rPr>
            <sz val="11"/>
            <color indexed="81"/>
            <rFont val="Tahoma"/>
            <family val="2"/>
          </rPr>
          <t>Failure Rate for the Safety related function.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maxime clairet</author>
    <author>R11792</author>
    <author>mcla01c</author>
  </authors>
  <commentList>
    <comment ref="C28" authorId="0" shapeId="0" xr:uid="{00000000-0006-0000-0A00-000001000000}">
      <text>
        <r>
          <rPr>
            <sz val="9"/>
            <color indexed="81"/>
            <rFont val="Tahoma"/>
            <family val="2"/>
          </rPr>
          <t>Safety function m1</t>
        </r>
      </text>
    </comment>
    <comment ref="E28" authorId="0" shapeId="0" xr:uid="{00000000-0006-0000-0A00-000002000000}">
      <text>
        <r>
          <rPr>
            <sz val="9"/>
            <color indexed="81"/>
            <rFont val="Tahoma"/>
            <family val="2"/>
          </rPr>
          <t>Fit rate of the whole function</t>
        </r>
      </text>
    </comment>
    <comment ref="G28" authorId="0" shapeId="0" xr:uid="{00000000-0006-0000-0A00-000003000000}">
      <text>
        <r>
          <rPr>
            <sz val="9"/>
            <color indexed="81"/>
            <rFont val="Tahoma"/>
            <family val="2"/>
          </rPr>
          <t>Fit rate of the failure modes not violating a safety goal</t>
        </r>
      </text>
    </comment>
    <comment ref="H28" authorId="0" shapeId="0" xr:uid="{00000000-0006-0000-0A00-000004000000}">
      <text>
        <r>
          <rPr>
            <sz val="9"/>
            <color indexed="81"/>
            <rFont val="Tahoma"/>
            <family val="2"/>
          </rPr>
          <t>Fit rate of the failure modes violating a safety goal</t>
        </r>
      </text>
    </comment>
    <comment ref="I28" authorId="0" shapeId="0" xr:uid="{00000000-0006-0000-0A00-000005000000}">
      <text>
        <r>
          <rPr>
            <sz val="9"/>
            <color indexed="81"/>
            <rFont val="Tahoma"/>
            <family val="2"/>
          </rPr>
          <t>Fit rate of the residuals of all the failures modes</t>
        </r>
      </text>
    </comment>
    <comment ref="J28" authorId="1" shapeId="0" xr:uid="{00000000-0006-0000-0A00-000006000000}">
      <text>
        <r>
          <rPr>
            <sz val="9"/>
            <color indexed="81"/>
            <rFont val="Tahoma"/>
            <family val="2"/>
          </rPr>
          <t xml:space="preserve">Considering the safety mechanism as the combination of  Voltage supervisor and Fail safe outputs (RST &amp; FS0b &amp; FS1b) Output and I/O1 drift monitoring </t>
        </r>
      </text>
    </comment>
    <comment ref="K28" authorId="1" shapeId="0" xr:uid="{00000000-0006-0000-0A00-000007000000}">
      <text>
        <r>
          <rPr>
            <sz val="9"/>
            <color indexed="81"/>
            <rFont val="Tahoma"/>
            <family val="2"/>
          </rPr>
          <t>λRF+ (λm,DPF-λRF) * λsm,DPF,latent.)* Tlifetime(in Hrs)</t>
        </r>
      </text>
    </comment>
    <comment ref="J29" authorId="1" shapeId="0" xr:uid="{00000000-0006-0000-0A00-000008000000}">
      <text>
        <r>
          <rPr>
            <sz val="9"/>
            <color indexed="81"/>
            <rFont val="Tahoma"/>
            <family val="2"/>
          </rPr>
          <t>Considering the safety mechanism as the combination of  Voltage supervisor and Fail safe outputs (RST &amp; FS0b &amp; FS1b) Output</t>
        </r>
        <r>
          <rPr>
            <b/>
            <sz val="9"/>
            <color indexed="81"/>
            <rFont val="Tahoma"/>
            <family val="2"/>
          </rPr>
          <t xml:space="preserve"> </t>
        </r>
      </text>
    </comment>
    <comment ref="J30" authorId="1" shapeId="0" xr:uid="{00000000-0006-0000-0A00-000009000000}">
      <text>
        <r>
          <rPr>
            <sz val="9"/>
            <color indexed="81"/>
            <rFont val="Tahoma"/>
            <family val="2"/>
          </rPr>
          <t>Considering the safety mechanism as the combination of  Voltage supervisor and Fail safe outputs (RST &amp; FS0b &amp; FS1b) Output</t>
        </r>
        <r>
          <rPr>
            <b/>
            <sz val="9"/>
            <color indexed="81"/>
            <rFont val="Tahoma"/>
            <family val="2"/>
          </rPr>
          <t xml:space="preserve"> </t>
        </r>
      </text>
    </comment>
    <comment ref="J31" authorId="1" shapeId="0" xr:uid="{00000000-0006-0000-0A00-00000A000000}">
      <text>
        <r>
          <rPr>
            <sz val="9"/>
            <color indexed="81"/>
            <rFont val="Tahoma"/>
            <family val="2"/>
          </rPr>
          <t>Considering the safety mechanism as the combination of  Voltage supervisor and Fail safe outputs (RST &amp; FS0b &amp; FS1b) Output</t>
        </r>
        <r>
          <rPr>
            <b/>
            <sz val="9"/>
            <color indexed="81"/>
            <rFont val="Tahoma"/>
            <family val="2"/>
          </rPr>
          <t xml:space="preserve"> </t>
        </r>
      </text>
    </comment>
    <comment ref="C32" authorId="0" shapeId="0" xr:uid="{00000000-0006-0000-0A00-00000B000000}">
      <text>
        <r>
          <rPr>
            <sz val="9"/>
            <color indexed="81"/>
            <rFont val="Tahoma"/>
            <family val="2"/>
          </rPr>
          <t>Safety mechanism at device level</t>
        </r>
      </text>
    </comment>
    <comment ref="C33" authorId="0" shapeId="0" xr:uid="{00000000-0006-0000-0A00-00000C000000}">
      <text>
        <r>
          <rPr>
            <sz val="9"/>
            <color indexed="81"/>
            <rFont val="Tahoma"/>
            <family val="2"/>
          </rPr>
          <t>Sub module of a Safety function</t>
        </r>
      </text>
    </comment>
    <comment ref="J33" authorId="1" shapeId="0" xr:uid="{00000000-0006-0000-0A00-00000D000000}">
      <text>
        <r>
          <rPr>
            <sz val="9"/>
            <color indexed="81"/>
            <rFont val="Tahoma"/>
            <family val="2"/>
          </rPr>
          <t>Considering the safety mechanism as the combination of  Voltage supervisor and Fail safe outputs (RST &amp; FS0b &amp; FS1b) Output</t>
        </r>
        <r>
          <rPr>
            <b/>
            <sz val="9"/>
            <color indexed="81"/>
            <rFont val="Tahoma"/>
            <family val="2"/>
          </rPr>
          <t xml:space="preserve"> </t>
        </r>
      </text>
    </comment>
    <comment ref="J34" authorId="1" shapeId="0" xr:uid="{00000000-0006-0000-0A00-00000E000000}">
      <text>
        <r>
          <rPr>
            <sz val="9"/>
            <color indexed="81"/>
            <rFont val="Tahoma"/>
            <family val="2"/>
          </rPr>
          <t>Considering the safety mechanism as the combination of  Voltage supervisor and Fail safe outputs (RST &amp; FS0b &amp; FS1b) Output</t>
        </r>
        <r>
          <rPr>
            <b/>
            <sz val="9"/>
            <color indexed="81"/>
            <rFont val="Tahoma"/>
            <family val="2"/>
          </rPr>
          <t xml:space="preserve"> </t>
        </r>
      </text>
    </comment>
    <comment ref="J35" authorId="1" shapeId="0" xr:uid="{00000000-0006-0000-0A00-00000F000000}">
      <text>
        <r>
          <rPr>
            <sz val="9"/>
            <color indexed="81"/>
            <rFont val="Tahoma"/>
            <family val="2"/>
          </rPr>
          <t>Considering the safety mechanism as the combination of  Voltage supervisor and Fail safe outputs (RST &amp; FS0b &amp; FS1b) Output</t>
        </r>
        <r>
          <rPr>
            <b/>
            <sz val="9"/>
            <color indexed="81"/>
            <rFont val="Tahoma"/>
            <family val="2"/>
          </rPr>
          <t xml:space="preserve"> </t>
        </r>
      </text>
    </comment>
    <comment ref="J41" authorId="2" shapeId="0" xr:uid="{00000000-0006-0000-0A00-000010000000}">
      <text>
        <r>
          <rPr>
            <sz val="9"/>
            <color indexed="81"/>
            <rFont val="Tahoma"/>
            <family val="2"/>
          </rPr>
          <t>Considering the safety mechanism as the combination of  Voltage supervisor and Fail safe outputs (RST &amp; FS0b &amp; FS1b) Output</t>
        </r>
        <r>
          <rPr>
            <b/>
            <sz val="9"/>
            <color indexed="81"/>
            <rFont val="Tahoma"/>
            <family val="2"/>
          </rPr>
          <t xml:space="preserve"> 
</t>
        </r>
      </text>
    </comment>
    <comment ref="C42" authorId="0" shapeId="0" xr:uid="{00000000-0006-0000-0A00-000011000000}">
      <text>
        <r>
          <rPr>
            <sz val="9"/>
            <color indexed="81"/>
            <rFont val="Tahoma"/>
            <family val="2"/>
          </rPr>
          <t>Safety mechanism at system level</t>
        </r>
      </text>
    </comment>
  </commentList>
</comments>
</file>

<file path=xl/sharedStrings.xml><?xml version="1.0" encoding="utf-8"?>
<sst xmlns="http://schemas.openxmlformats.org/spreadsheetml/2006/main" count="5129" uniqueCount="1145">
  <si>
    <t>Block</t>
  </si>
  <si>
    <t>Die Size</t>
  </si>
  <si>
    <t>%</t>
  </si>
  <si>
    <t>Vcore</t>
  </si>
  <si>
    <t>Vpre</t>
  </si>
  <si>
    <t>Vcca</t>
  </si>
  <si>
    <t>Vaux</t>
  </si>
  <si>
    <t>Voltage supervisor and FS bias</t>
  </si>
  <si>
    <t>SPI</t>
  </si>
  <si>
    <t>Watchdog</t>
  </si>
  <si>
    <t>AMUX</t>
  </si>
  <si>
    <t>Total</t>
  </si>
  <si>
    <t>Function Description</t>
  </si>
  <si>
    <t>Failure mode</t>
  </si>
  <si>
    <t>Failure mode that has the potential to violate the safety goal in absence of safety mechanism?</t>
  </si>
  <si>
    <t>Failure mode rate</t>
  </si>
  <si>
    <t>Safety mechanism</t>
  </si>
  <si>
    <t>Safety Mechanism(s) allowing to prevent the failure mode from violating the safety goals</t>
  </si>
  <si>
    <t>§ISO 26262</t>
  </si>
  <si>
    <t>Failure mode coverage wrt. violation of safety goals</t>
  </si>
  <si>
    <t>Residual of single point fault failure rate/FIT</t>
  </si>
  <si>
    <t>Failure mode that may lead to the violation of safety goals in combination with an independent failure of another block ?</t>
  </si>
  <si>
    <t>Detection means ? Safety mechanism(s) allowing to prevent the failure mode from being latent ?</t>
  </si>
  <si>
    <t>Failure mode coverage with respect to latent failures</t>
  </si>
  <si>
    <t>Latent multiple point fault failure rate/FIT</t>
  </si>
  <si>
    <t>Comments</t>
  </si>
  <si>
    <t>MCU core Supply</t>
  </si>
  <si>
    <t>Overvoltage</t>
  </si>
  <si>
    <t>Under voltage</t>
  </si>
  <si>
    <t>Drift on external resistor bridge</t>
  </si>
  <si>
    <t>FB_core pin shorted to GND</t>
  </si>
  <si>
    <t>FB_core pin shorted to High</t>
  </si>
  <si>
    <t>FB_core pin open</t>
  </si>
  <si>
    <t>FB_core pin shorted to adjacent pin "comp_core"</t>
  </si>
  <si>
    <t>FB_core pin shorted to adjacent pin "HW_select"</t>
  </si>
  <si>
    <t>Yes</t>
  </si>
  <si>
    <t>No</t>
  </si>
  <si>
    <t>Failure rate distribution</t>
  </si>
  <si>
    <r>
      <rPr>
        <b/>
        <sz val="11"/>
        <color theme="1"/>
        <rFont val="Calibri"/>
        <family val="2"/>
      </rPr>
      <t xml:space="preserve">§ </t>
    </r>
    <r>
      <rPr>
        <b/>
        <sz val="11"/>
        <color theme="1"/>
        <rFont val="Calibri"/>
        <family val="2"/>
        <scheme val="minor"/>
      </rPr>
      <t>ISO 26262</t>
    </r>
  </si>
  <si>
    <t>Level of Diagnostic coverage</t>
  </si>
  <si>
    <t>Voltage supervisor (Monitoring of voltage)
Overvoltage detection</t>
  </si>
  <si>
    <t>SM1</t>
  </si>
  <si>
    <t>D.2.8.2</t>
  </si>
  <si>
    <t>Voltage supervisor (Monitoring of voltage)
Under voltage detection</t>
  </si>
  <si>
    <t>SM2</t>
  </si>
  <si>
    <t>SM3</t>
  </si>
  <si>
    <t>SM5</t>
  </si>
  <si>
    <t>D.2.7.6, D.2.7.7, D.2.7.8</t>
  </si>
  <si>
    <t>SM6</t>
  </si>
  <si>
    <t>D.2.4.1</t>
  </si>
  <si>
    <t>Voltage supervisor
(Monitoring of output voltage) logical level</t>
  </si>
  <si>
    <t>SM7</t>
  </si>
  <si>
    <t>D.2.6.4</t>
  </si>
  <si>
    <t>SM8</t>
  </si>
  <si>
    <t>D.2.6.5</t>
  </si>
  <si>
    <t>SM9</t>
  </si>
  <si>
    <t>High</t>
  </si>
  <si>
    <t>#</t>
  </si>
  <si>
    <t>SM1&amp;SM2</t>
  </si>
  <si>
    <t>Voltage supervisor (Monitoring of voltage)</t>
  </si>
  <si>
    <t>Used?</t>
  </si>
  <si>
    <t>Pre-regulator</t>
  </si>
  <si>
    <t>SMA4</t>
  </si>
  <si>
    <t>-</t>
  </si>
  <si>
    <t>Drift</t>
  </si>
  <si>
    <t>Oscillation</t>
  </si>
  <si>
    <t>Vpre shorted to GND</t>
  </si>
  <si>
    <t>Vpre pin open</t>
  </si>
  <si>
    <t>Vpre shorted to adjacent pin "Vaux"</t>
  </si>
  <si>
    <t>Spikes</t>
  </si>
  <si>
    <t>Vcca shorted to GND</t>
  </si>
  <si>
    <t>Vcca pin open</t>
  </si>
  <si>
    <t>Linear regulator</t>
  </si>
  <si>
    <t>Vcca shorted to adjacent pin "Vcca_B"</t>
  </si>
  <si>
    <t>Vcca shorted to adjacent pin "Gate_LS"</t>
  </si>
  <si>
    <t>Vaux shorted to adjacent pin "VPRE"</t>
  </si>
  <si>
    <t>Vaux shorted to adjacent pin "Vaux_B"</t>
  </si>
  <si>
    <t>Quality failure rate</t>
  </si>
  <si>
    <t>Block Failure Rate</t>
  </si>
  <si>
    <t>SM1 &amp; SM2 &amp; SM3</t>
  </si>
  <si>
    <t>Stuck at 0</t>
  </si>
  <si>
    <t>Stuck at 1</t>
  </si>
  <si>
    <t>Select - Voltage selection for Vcca and Vaux linear regulators</t>
  </si>
  <si>
    <t>Voltage selection for Vcca and Vaux linear regulators</t>
  </si>
  <si>
    <t>Buck or buck/boost selection during start-up sequence</t>
  </si>
  <si>
    <t>External component to increase current capability include Vcca_B, Vcca, and Vcca_E</t>
  </si>
  <si>
    <t>SELECT shorted to GND / external resistor shorted</t>
  </si>
  <si>
    <t>SELECT pin open / external resistor open</t>
  </si>
  <si>
    <t>External resistor drift 0.5</t>
  </si>
  <si>
    <t>External resistor drift 2</t>
  </si>
  <si>
    <t>SELECT shorted to GND</t>
  </si>
  <si>
    <t xml:space="preserve">SELECT pin open </t>
  </si>
  <si>
    <t>SELECT shorted to adjacent pin "FB_CORE"</t>
  </si>
  <si>
    <t>Gate LS shorted to GND</t>
  </si>
  <si>
    <t>GATE LS shorted to adjacent pin "DGND"</t>
  </si>
  <si>
    <t>Gate LS pin open</t>
  </si>
  <si>
    <t>Vcca_B shorted to GND</t>
  </si>
  <si>
    <t>Vcca_B shorted to adjacent pin "Vcca_E"</t>
  </si>
  <si>
    <t>Vcca_B pin open</t>
  </si>
  <si>
    <t>Vcca shorted to adjacent pin "Gate LS"</t>
  </si>
  <si>
    <t>Vcca_E shorted to GND</t>
  </si>
  <si>
    <t>Vcca_E shorted to adjacent pin "Vcca_B"</t>
  </si>
  <si>
    <t>Vcca_E shorted to adjacent pin "Vaux_E"</t>
  </si>
  <si>
    <t>Vcca_E pin open</t>
  </si>
  <si>
    <t>SPFM =</t>
  </si>
  <si>
    <t>LFM =</t>
  </si>
  <si>
    <t>Corrupted write operation (bad address, or bad data, or no operation)</t>
  </si>
  <si>
    <t>Corrupted read operation  (bad address, or bad data)</t>
  </si>
  <si>
    <t>MISO shorted to GND</t>
  </si>
  <si>
    <t>MISO pin Open</t>
  </si>
  <si>
    <t>MOSI shorted to GND</t>
  </si>
  <si>
    <t>MOSI shorted to adjacent pin MISO</t>
  </si>
  <si>
    <t>MOSI pin Open</t>
  </si>
  <si>
    <t>SCLK shorted to GND</t>
  </si>
  <si>
    <t>SCLK shorted to adjacent pin MOSI</t>
  </si>
  <si>
    <t>SCLK pin open</t>
  </si>
  <si>
    <t>ChipSelect shorted to GND</t>
  </si>
  <si>
    <t>ChipSlect shorted to adjacent pin SCLK</t>
  </si>
  <si>
    <t>ChipSelect pin open</t>
  </si>
  <si>
    <t>Communication with MCU</t>
  </si>
  <si>
    <t>Temporal system monitoring</t>
  </si>
  <si>
    <t>WD timeout inhibited</t>
  </si>
  <si>
    <t>WD windows always Opened (No or small closed window)</t>
  </si>
  <si>
    <t>WD answer always OK</t>
  </si>
  <si>
    <t>WD error counter stuck (no reset genarated)</t>
  </si>
  <si>
    <t>WD Refresh counter stuck at max value (No reset genarated)</t>
  </si>
  <si>
    <t>ABIST &amp; LBIST</t>
  </si>
  <si>
    <t>Analog and Logical BuitIn Self Test</t>
  </si>
  <si>
    <t>Interruption</t>
  </si>
  <si>
    <t>Event information to MCU</t>
  </si>
  <si>
    <t>RSTb pin shorted to GND</t>
  </si>
  <si>
    <t>RSTb pin open</t>
  </si>
  <si>
    <t>Reset action on MCU or PowerSBC</t>
  </si>
  <si>
    <t>Safety output FS0b</t>
  </si>
  <si>
    <t>FS0b pin shorted to GND</t>
  </si>
  <si>
    <t>FS0b pin open</t>
  </si>
  <si>
    <t>IO_2 pin shorted to GND</t>
  </si>
  <si>
    <t>IO_2 pin shorted to adjacent pin AMUX</t>
  </si>
  <si>
    <t>IO_2 pin shorted to adjacent pin IO_3</t>
  </si>
  <si>
    <t>IO_2 pin open</t>
  </si>
  <si>
    <t>IO_3 pin shorted to GND</t>
  </si>
  <si>
    <t>IO_3 pin shorted to adjacent pin IO_2</t>
  </si>
  <si>
    <t>IO_3 pin open</t>
  </si>
  <si>
    <t>IO_3 pin shorted to adjacent pin TDX</t>
  </si>
  <si>
    <t>IO_0 pin shorted to GND</t>
  </si>
  <si>
    <t>IO_0 pin shorted to adjacent pin IO_5</t>
  </si>
  <si>
    <t>IO_0 pin open</t>
  </si>
  <si>
    <t>IO_4 pin shorted to GND</t>
  </si>
  <si>
    <t>IO_4 pin shorted to adjacent pin CANL</t>
  </si>
  <si>
    <t>IO_4 pin shorted to adjacent pin IO_5</t>
  </si>
  <si>
    <t>IO_4 pin open</t>
  </si>
  <si>
    <t>IO_5 pin shorted to GND</t>
  </si>
  <si>
    <t>IO_5 pin shorted to adjacent pin IO_4</t>
  </si>
  <si>
    <t>IO_5 pin shorted to adjacent pin IO_0</t>
  </si>
  <si>
    <t>IO_5 pin open</t>
  </si>
  <si>
    <t>MCU error monitoring</t>
  </si>
  <si>
    <t>Wake-up</t>
  </si>
  <si>
    <t>Output for MCU</t>
  </si>
  <si>
    <t>Mux_out shorted to GND</t>
  </si>
  <si>
    <t>Mux_out pin shorted to adjacent pin A_GND</t>
  </si>
  <si>
    <t>Mux_out pin shorted to adjacent pin IO_2</t>
  </si>
  <si>
    <t>Mux_out pin open</t>
  </si>
  <si>
    <t>CANH shorted to GND</t>
  </si>
  <si>
    <t>CANH pin shorted to adjacent pin Vcan</t>
  </si>
  <si>
    <t>CANH pin shorted to adjacent pin CANL</t>
  </si>
  <si>
    <t>CAN_H  pin open</t>
  </si>
  <si>
    <t>CANL shorted to GND</t>
  </si>
  <si>
    <t>CANL pin shorted to adjacent pin CANH</t>
  </si>
  <si>
    <t>CANL pin shorted to adjacent pin IO_4</t>
  </si>
  <si>
    <t>CANL  pin open</t>
  </si>
  <si>
    <t>RXD shorted to GND</t>
  </si>
  <si>
    <t>RXD pin shorted to adjacent pin TXD</t>
  </si>
  <si>
    <t>RXD  pin open</t>
  </si>
  <si>
    <t>TXD shorted to GND</t>
  </si>
  <si>
    <t>TXD pin shorted to adjacent pin RXD</t>
  </si>
  <si>
    <t>TXD pin shorted to adjacent pin IO_3</t>
  </si>
  <si>
    <t>TXD pin open</t>
  </si>
  <si>
    <t>Assumptions</t>
  </si>
  <si>
    <t>Example</t>
  </si>
  <si>
    <t>Safety Mechanism</t>
  </si>
  <si>
    <t>An over voltage at Vcore Pin not detected could involved a MCU damage leading abnormal behavior leading the violation of system safety goals</t>
  </si>
  <si>
    <t>A time out issue could lead to the violation of system safety goals</t>
  </si>
  <si>
    <t>Fail safe output stucked as high level (active low) could lead to the violation of the system safety goals</t>
  </si>
  <si>
    <t>Safety Requirement Violated</t>
  </si>
  <si>
    <t>No activation in case of event</t>
  </si>
  <si>
    <t>Interrupt pin shorted to GND</t>
  </si>
  <si>
    <t>Interrupt pin shorted to adjacent pin VDDIO</t>
  </si>
  <si>
    <t>Interrupt pin shorted to adjacent pin Chip Select</t>
  </si>
  <si>
    <t>Interrupt pin open</t>
  </si>
  <si>
    <t>Voltage oscillation</t>
  </si>
  <si>
    <t>Power spikes</t>
  </si>
  <si>
    <t>Product pins linked to Block
(PinFMEA Link)</t>
  </si>
  <si>
    <t>Block identification linked to block</t>
  </si>
  <si>
    <t>Analog Reference #1
Charge Pump
Power Management state machine</t>
  </si>
  <si>
    <t>SR</t>
  </si>
  <si>
    <t>λ</t>
  </si>
  <si>
    <r>
      <t>λ</t>
    </r>
    <r>
      <rPr>
        <vertAlign val="subscript"/>
        <sz val="7.7"/>
        <color theme="1"/>
        <rFont val="Calibri"/>
        <family val="2"/>
      </rPr>
      <t>SR</t>
    </r>
  </si>
  <si>
    <t xml:space="preserve">Vsup1
Vsup2
SW_pre1
SW_pre2
Boots_pre
Gates_LS
Vpre
DGND
</t>
  </si>
  <si>
    <t xml:space="preserve"> FB_CORE
Comp_core
Vcore_sns
VSW_core
Boot_core
Vpre
DGND</t>
  </si>
  <si>
    <t>Vcca_E
Vcca_B
Vcca
Vpre
AGND</t>
  </si>
  <si>
    <t>Power Management State Machine
Analog reference #1</t>
  </si>
  <si>
    <t>Vaux _E
Vaux_B
Vaux
Vpre
AGND</t>
  </si>
  <si>
    <t>Analog Reference #1
Power Management state machine</t>
  </si>
  <si>
    <t>Vpre
Vcca
Vaux
FB_Core
CAN-5V
AGND</t>
  </si>
  <si>
    <t>Analog Reference 2
Faile Safe State Machine</t>
  </si>
  <si>
    <t>Power Management State Machine
Faile Safe State Machine</t>
  </si>
  <si>
    <t>Gate_LS
DGND</t>
  </si>
  <si>
    <t>Power Management State Machine</t>
  </si>
  <si>
    <t>SELECT
AGND
DGND</t>
  </si>
  <si>
    <t>Vcca_E
Vcca_B
DGND</t>
  </si>
  <si>
    <t>MOSI
MISO
SCLK
NSC
DGND</t>
  </si>
  <si>
    <t>Faile Safe State Machine</t>
  </si>
  <si>
    <t>INT
DGND</t>
  </si>
  <si>
    <t>RSTb
AGND</t>
  </si>
  <si>
    <t>FS0b
AGND</t>
  </si>
  <si>
    <t>IO_2
IO_3
AGND</t>
  </si>
  <si>
    <t>Faile Safe State Machine
I/Os Interface</t>
  </si>
  <si>
    <t>Power Management State Machine
I/Os Interface</t>
  </si>
  <si>
    <t>CANH
CANL
CAN-5V
RXD
TXD
Gnd_Com</t>
  </si>
  <si>
    <t>Vcan internal Linear Regulator
Power Management State Machine</t>
  </si>
  <si>
    <t>Debug mode entry</t>
  </si>
  <si>
    <t>Mode Safe always actived</t>
  </si>
  <si>
    <t>Hardware configuration - Select</t>
  </si>
  <si>
    <t>Hardware configuration - select</t>
  </si>
  <si>
    <t>Hardware configuration - buck/boost</t>
  </si>
  <si>
    <t>Debug pin open</t>
  </si>
  <si>
    <t>Shorted to ground</t>
  </si>
  <si>
    <t>Shorted to adjacent pin (gnd)</t>
  </si>
  <si>
    <t xml:space="preserve">Debug </t>
  </si>
  <si>
    <t>Hardware configuration - Vcca_PNP detection</t>
  </si>
  <si>
    <t>Fail Safe outputs - RSTb</t>
  </si>
  <si>
    <t>Fail Safe outputs - FS0b</t>
  </si>
  <si>
    <t>I/Os - Wake-up</t>
  </si>
  <si>
    <t>FM1</t>
  </si>
  <si>
    <t>FM2</t>
  </si>
  <si>
    <t>FM3</t>
  </si>
  <si>
    <t>FM4</t>
  </si>
  <si>
    <t>FM5</t>
  </si>
  <si>
    <t>FM6</t>
  </si>
  <si>
    <t>FM7</t>
  </si>
  <si>
    <t>FM8</t>
  </si>
  <si>
    <t>FM9</t>
  </si>
  <si>
    <t>FM10</t>
  </si>
  <si>
    <t>FM11</t>
  </si>
  <si>
    <t>FS0b pin shorted to adjacent pin Debug</t>
  </si>
  <si>
    <t>Vaux shorted to GND</t>
  </si>
  <si>
    <t>Vaux pin open</t>
  </si>
  <si>
    <t>Overvoltage on MCU up to Vpre could lead to MCU destruction.
FS0b asserted low, system in safe state</t>
  </si>
  <si>
    <t>Document references:</t>
  </si>
  <si>
    <t>Version</t>
  </si>
  <si>
    <t>Status</t>
  </si>
  <si>
    <t>Project Name</t>
  </si>
  <si>
    <t>Author / UID</t>
  </si>
  <si>
    <t>Author’s dept</t>
  </si>
  <si>
    <t>Reviewer / Approver List:</t>
  </si>
  <si>
    <t>Name</t>
  </si>
  <si>
    <t>User ID</t>
  </si>
  <si>
    <t>Function</t>
  </si>
  <si>
    <t>Reviewer 1</t>
  </si>
  <si>
    <t>Franck Guillen</t>
  </si>
  <si>
    <t>R38682</t>
  </si>
  <si>
    <t>Project Manager</t>
  </si>
  <si>
    <t>Safety Mechanisms</t>
  </si>
  <si>
    <t>Eg:</t>
  </si>
  <si>
    <t>Vcore
Analog Reference #1
Charge Pump
Power Management state machine</t>
  </si>
  <si>
    <t>For each Function Block the failure rate is calculated.</t>
  </si>
  <si>
    <t xml:space="preserve">Function </t>
  </si>
  <si>
    <t>SR0001</t>
  </si>
  <si>
    <t>DC (%)</t>
  </si>
  <si>
    <t>The table defines the list of the Safety Mechanism which are implemented and available for the diagnostic of the failure modes.</t>
  </si>
  <si>
    <t>The Safety Mechanism available is described, referenced to ISO26262 Part5 AnnexD.</t>
  </si>
  <si>
    <t>Total Function Failure Rate</t>
  </si>
  <si>
    <t>According to the ISO26262 Part5 AnnexD the level of Diagnostic Coverage is reported (High, Medium, Low) as well as the percentage of Diagnostic Coverage.</t>
  </si>
  <si>
    <t>Safety Requirement Violated (Latent)</t>
  </si>
  <si>
    <t>Applicable Safety mechanism</t>
  </si>
  <si>
    <t>Approver 1</t>
  </si>
  <si>
    <t>Date</t>
  </si>
  <si>
    <t>Author</t>
  </si>
  <si>
    <r>
      <t>Date</t>
    </r>
    <r>
      <rPr>
        <sz val="10"/>
        <color theme="1"/>
        <rFont val="Arial"/>
        <family val="2"/>
      </rPr>
      <t xml:space="preserve"> (mm/dd/yyyy)</t>
    </r>
  </si>
  <si>
    <t>Approval date
(mm/dd/yyyy)</t>
  </si>
  <si>
    <t>Changes description</t>
  </si>
  <si>
    <t>§ ISO 26262</t>
  </si>
  <si>
    <t>Extract from Part5 Annex D:</t>
  </si>
  <si>
    <t>FM215</t>
  </si>
  <si>
    <t>FM216</t>
  </si>
  <si>
    <t>FM217</t>
  </si>
  <si>
    <t>FM218</t>
  </si>
  <si>
    <t>ABIST potential failures during OPERATION and impact on the Safety goals violation:</t>
  </si>
  <si>
    <t>LBIST potential failures during OPERATION and impact on the Safety goals violation:</t>
  </si>
  <si>
    <t xml:space="preserve"> - Reactivation of the ABIST sequence =&gt; The Voltage supervisor as well as the other Safety Mechanisms are still available. The system detect a fault on RSTb/FS0b with Safe state activation.</t>
  </si>
  <si>
    <t xml:space="preserve"> - Reactivation of the LBIST (The Fail Safe Pin are put in their default Reset state)  =&gt; The system is in a safe state.</t>
  </si>
  <si>
    <t>SCAN potential failures during OPERATION and impact on the Safety goals violation:</t>
  </si>
  <si>
    <t>DEBUG potential failures during OPERATION and impact on the Safety goals violation:</t>
  </si>
  <si>
    <t xml:space="preserve"> - Activation of the SCAN (The Fail Safe Pin are put in their default Reset state)  =&gt; The system is in a safe state.</t>
  </si>
  <si>
    <t>TestMode potential failures during OPERATION and impact on the Safety goals violation:</t>
  </si>
  <si>
    <t>FMEDA additional comments</t>
  </si>
  <si>
    <t>Mission profile</t>
  </si>
  <si>
    <r>
      <rPr>
        <b/>
        <sz val="11"/>
        <color theme="0"/>
        <rFont val="Calibri"/>
        <family val="2"/>
      </rPr>
      <t xml:space="preserve">§ </t>
    </r>
    <r>
      <rPr>
        <b/>
        <sz val="11"/>
        <color theme="0"/>
        <rFont val="Calibri"/>
        <family val="2"/>
        <scheme val="minor"/>
      </rPr>
      <t>ISO 26262</t>
    </r>
  </si>
  <si>
    <t>FB_core pin shorted to Gnd</t>
  </si>
  <si>
    <t>Vcore Regulation</t>
  </si>
  <si>
    <t>.</t>
  </si>
  <si>
    <t>Fonctional Block</t>
  </si>
  <si>
    <t>5 other Pins linked to Vcore regulation block shorted to Gnd</t>
  </si>
  <si>
    <t>5 other Pins linked to Vcore regulation block shorted to High</t>
  </si>
  <si>
    <t>5 other Pins linked to Vcore regulation block open</t>
  </si>
  <si>
    <t xml:space="preserve">Safety mechanism </t>
  </si>
  <si>
    <t xml:space="preserve">5 other Pins linked to Vcore regulation block shorted to adjacent </t>
  </si>
  <si>
    <t>Safety Requirements/Goal</t>
  </si>
  <si>
    <t>Maxime CLAIRET</t>
  </si>
  <si>
    <t>Function
failure rate</t>
  </si>
  <si>
    <t>Analog Reference #1, Charge Pump
Power Management state machine</t>
  </si>
  <si>
    <r>
      <t xml:space="preserve">1.1         </t>
    </r>
    <r>
      <rPr>
        <b/>
        <sz val="10"/>
        <color theme="1"/>
        <rFont val="Calibri"/>
        <family val="2"/>
        <scheme val="minor"/>
      </rPr>
      <t>Main high level functions</t>
    </r>
  </si>
  <si>
    <r>
      <t xml:space="preserve">·         Enhanced Main state Machine for Power Management featuring. </t>
    </r>
    <r>
      <rPr>
        <b/>
        <sz val="10"/>
        <color theme="1"/>
        <rFont val="Calibri"/>
        <family val="2"/>
        <scheme val="minor"/>
      </rPr>
      <t xml:space="preserve">(Power Management State machine) </t>
    </r>
  </si>
  <si>
    <r>
      <t xml:space="preserve">·         LIN Interface </t>
    </r>
    <r>
      <rPr>
        <b/>
        <sz val="10"/>
        <color theme="1"/>
        <rFont val="Calibri"/>
        <family val="2"/>
        <scheme val="minor"/>
      </rPr>
      <t>(LIN Phy)</t>
    </r>
  </si>
  <si>
    <t>Simplified Functional Blocks</t>
  </si>
  <si>
    <t>D.2.1.3</t>
  </si>
  <si>
    <t>Input comparison/voting</t>
  </si>
  <si>
    <r>
      <t>·         Debug hardware mode featuring.</t>
    </r>
    <r>
      <rPr>
        <b/>
        <sz val="10"/>
        <color theme="1"/>
        <rFont val="Calibri"/>
        <family val="2"/>
        <scheme val="minor"/>
      </rPr>
      <t xml:space="preserve"> ( Debug)</t>
    </r>
  </si>
  <si>
    <t>Hardware configuration - Select
Power Management State Machine, Fail Safe State Machine</t>
  </si>
  <si>
    <t>Hardware configuration - buck/boost
Power Management State Machine</t>
  </si>
  <si>
    <t>Hardware configuration - Vcca_PNP detection
Power Management State Machine</t>
  </si>
  <si>
    <t>Watchdog
Fail Safe State Machine</t>
  </si>
  <si>
    <t>AMUX
MUX Interface</t>
  </si>
  <si>
    <t>Majority voter (triplication)</t>
  </si>
  <si>
    <t>Vpre regulation SMPS
Analog Reference #1, Charge Pump
Power Management state machine</t>
  </si>
  <si>
    <t>Vcca regulation linear
Power Management State Machine
Analog reference #1</t>
  </si>
  <si>
    <t>Vaux  regulation linear
Power Management state machine
Analog Reference #1</t>
  </si>
  <si>
    <t>Voltage supervisor, FS bias
Analog Reference 2, Fail Safe State Machine</t>
  </si>
  <si>
    <t xml:space="preserve">The FIT of external resistors is not taken into account in the FMEDA. </t>
  </si>
  <si>
    <t>Error Detection Correction Code (EDC)</t>
  </si>
  <si>
    <t>All Failure mechanisms create an UnderVoltage or Over Voltage detected by the Voltage Supervisor and then enable the SM#1 or SM#2 safety mechanism.</t>
  </si>
  <si>
    <r>
      <rPr>
        <b/>
        <sz val="11"/>
        <color theme="1"/>
        <rFont val="Calibri"/>
        <family val="2"/>
        <scheme val="minor"/>
      </rPr>
      <t>Single point Fault</t>
    </r>
    <r>
      <rPr>
        <sz val="11"/>
        <color theme="1"/>
        <rFont val="Calibri"/>
        <family val="2"/>
        <scheme val="minor"/>
      </rPr>
      <t xml:space="preserve">
Direct violation of the safety goal.</t>
    </r>
  </si>
  <si>
    <r>
      <rPr>
        <b/>
        <sz val="11"/>
        <color theme="1"/>
        <rFont val="Calibri"/>
        <family val="2"/>
        <scheme val="minor"/>
      </rPr>
      <t>Single point Fault</t>
    </r>
    <r>
      <rPr>
        <sz val="11"/>
        <color theme="1"/>
        <rFont val="Calibri"/>
        <family val="2"/>
        <scheme val="minor"/>
      </rPr>
      <t xml:space="preserve">
1 failure mode can have a direct violation of the safety goal.
</t>
    </r>
    <r>
      <rPr>
        <b/>
        <sz val="11"/>
        <color theme="1"/>
        <rFont val="Calibri"/>
        <family val="2"/>
        <scheme val="minor"/>
      </rPr>
      <t>Latent Fault</t>
    </r>
    <r>
      <rPr>
        <sz val="11"/>
        <color theme="1"/>
        <rFont val="Calibri"/>
        <family val="2"/>
        <scheme val="minor"/>
      </rPr>
      <t xml:space="preserve">
5 failure modes are Part of the safety mechanism and can't involved violation of the safety goal as a single point fault.</t>
    </r>
  </si>
  <si>
    <r>
      <rPr>
        <b/>
        <sz val="11"/>
        <color theme="1"/>
        <rFont val="Calibri"/>
        <family val="2"/>
        <scheme val="minor"/>
      </rPr>
      <t>Latent Fault</t>
    </r>
    <r>
      <rPr>
        <sz val="11"/>
        <color theme="1"/>
        <rFont val="Calibri"/>
        <family val="2"/>
        <scheme val="minor"/>
      </rPr>
      <t xml:space="preserve">
Service function for the system which is a safety mechanism and can't involved violation of the safety goal as a single point fault.</t>
    </r>
  </si>
  <si>
    <r>
      <rPr>
        <b/>
        <sz val="11"/>
        <color theme="1"/>
        <rFont val="Calibri"/>
        <family val="2"/>
        <scheme val="minor"/>
      </rPr>
      <t>Latent Fault</t>
    </r>
    <r>
      <rPr>
        <sz val="11"/>
        <color theme="1"/>
        <rFont val="Calibri"/>
        <family val="2"/>
        <scheme val="minor"/>
      </rPr>
      <t xml:space="preserve">
Part of the safety mechanism and can't involved violation of the safety goal as a single point fault.</t>
    </r>
  </si>
  <si>
    <t>Failure mode classification and justification</t>
  </si>
  <si>
    <t>RSTb pin shorted to High</t>
  </si>
  <si>
    <t>FS0b pin shorted to High</t>
  </si>
  <si>
    <t>Not applicable</t>
  </si>
  <si>
    <r>
      <rPr>
        <b/>
        <sz val="11"/>
        <color theme="1"/>
        <rFont val="Calibri"/>
        <family val="2"/>
        <scheme val="minor"/>
      </rPr>
      <t xml:space="preserve">Not safety related. </t>
    </r>
    <r>
      <rPr>
        <sz val="11"/>
        <color theme="1"/>
        <rFont val="Calibri"/>
        <family val="2"/>
        <scheme val="minor"/>
      </rPr>
      <t xml:space="preserve">
Failure mode in CAN will not increase the risk (not part of a safety mechanism). CAN control signals from Power Management State Machine are dedicated to CAN block. They do not have common path with other blocks. Freedom of interferences between CAN control signals and other safety related signals in PowerManagement State Machine are justified in DFA.</t>
    </r>
  </si>
  <si>
    <r>
      <rPr>
        <b/>
        <sz val="11"/>
        <color theme="1"/>
        <rFont val="Calibri"/>
        <family val="2"/>
        <scheme val="minor"/>
      </rPr>
      <t xml:space="preserve">Not safety related. </t>
    </r>
    <r>
      <rPr>
        <sz val="11"/>
        <color theme="1"/>
        <rFont val="Calibri"/>
        <family val="2"/>
        <scheme val="minor"/>
      </rPr>
      <t xml:space="preserve">
Failure mode in AMUX will not increase the risk (not part of a safety mechanism). AMUX control signals from Power Management State Machine are dedicated to AMUX block. They do not have common path with other blocks. Freedom of interferences between AMUX control signals and other safety related signals in PowerManagement State Machine are justified in DFA.</t>
    </r>
  </si>
  <si>
    <r>
      <rPr>
        <b/>
        <sz val="11"/>
        <color theme="1"/>
        <rFont val="Calibri"/>
        <family val="2"/>
        <scheme val="minor"/>
      </rPr>
      <t xml:space="preserve">Not safety related. </t>
    </r>
    <r>
      <rPr>
        <sz val="11"/>
        <color theme="1"/>
        <rFont val="Calibri"/>
        <family val="2"/>
        <scheme val="minor"/>
      </rPr>
      <t xml:space="preserve">
Failure mode in Interruption will not increase the risk (not part of a safety mechanism). INTb is only a report for infromation to the MCU. No activation of safety mechanism. INTb control signals from Power Management State Machine are dedicated to INTb block. They do not have common path with other blocks. Freedom of interferences between INTb control signals and other safety related signals in PowerManagement State Machine are justified in DFA.</t>
    </r>
  </si>
  <si>
    <r>
      <rPr>
        <b/>
        <sz val="11"/>
        <color theme="1"/>
        <rFont val="Calibri"/>
        <family val="2"/>
        <scheme val="minor"/>
      </rPr>
      <t xml:space="preserve">Not safety related. </t>
    </r>
    <r>
      <rPr>
        <sz val="11"/>
        <color theme="1"/>
        <rFont val="Calibri"/>
        <family val="2"/>
        <scheme val="minor"/>
      </rPr>
      <t xml:space="preserve">
Failure mode in I/O wake-up will not increase the risk (not part of a safety mechanism). No wake up induce a stay in LPOFF which is a Safe State by default. Unexpected wake up induce startup procedure with Fail Safe self tests and monitoring. I/O wake-up control signals from Power Management State Machine are dedicated to I/O wake-up block. They do not have common path with other blocks. Freedom of interferences between I/O wake-up control signals and other safety related signals in PowerManagement State Machine are justified in DFA.</t>
    </r>
  </si>
  <si>
    <t>I/Os - Wake-up
Power Management State Machine for I/O wake up
I/Os Interface</t>
  </si>
  <si>
    <t>Interruption
Power Management State Machine for Interruption</t>
  </si>
  <si>
    <t>Internal fault caused by DC fault model</t>
  </si>
  <si>
    <t>Safety Mechanism(s) allowing to prevent the latent failure mode from violating the safety goals</t>
  </si>
  <si>
    <t>Stuck at High
to Power Management State machine</t>
  </si>
  <si>
    <t>Stuck at High
to Fail Safe State machine</t>
  </si>
  <si>
    <t>SELECT shorted to adjacent pin "VDDIO"
(cover stuck at High)</t>
  </si>
  <si>
    <t>GATE LS shorted to adjacent pin "VCCA"
(cover stuck at high)</t>
  </si>
  <si>
    <t>MISO shorted to adjacent pin MOSI
(cover stuck at high)</t>
  </si>
  <si>
    <t>MOSI shorted to adjacent pin SCLK
(cover stuck at high)</t>
  </si>
  <si>
    <t>SCLK shorted to adjacent pin ChipSelect
(cover stuck at high)</t>
  </si>
  <si>
    <t>ChipSelect shorted to adjacent pin Interrupt
(cover stuck at high)</t>
  </si>
  <si>
    <t>IO_3 pin shorted to adjacent pin TXD
(cover stuck at high)</t>
  </si>
  <si>
    <t>IO_2 pin shorted to adjacent pin IO_3
(cover stuck at high)</t>
  </si>
  <si>
    <t>Shorted to Vpre
(cover stuck at high)</t>
  </si>
  <si>
    <t>Fuse loading error</t>
  </si>
  <si>
    <t>Stuck at High
FS0b pin always driven High</t>
  </si>
  <si>
    <t>Stuck at High
RSTb pin always driven High</t>
  </si>
  <si>
    <t>Vcore regulation SMPS
Analog Reference #1, Charge Pump
Power Management state machine (including Test Mode)</t>
  </si>
  <si>
    <t>Test Mode
for Power Management State Machine</t>
  </si>
  <si>
    <t>Test Mode
for Fail Safe State Machine</t>
  </si>
  <si>
    <r>
      <rPr>
        <b/>
        <sz val="11"/>
        <color theme="1"/>
        <rFont val="Calibri"/>
        <family val="2"/>
        <scheme val="minor"/>
      </rPr>
      <t>Latent Fault</t>
    </r>
    <r>
      <rPr>
        <sz val="11"/>
        <color theme="1"/>
        <rFont val="Calibri"/>
        <family val="2"/>
        <scheme val="minor"/>
      </rPr>
      <t xml:space="preserve">
Fit included in PowerManagement State Machine repartition</t>
    </r>
  </si>
  <si>
    <t>Fail Safe State Machine</t>
  </si>
  <si>
    <r>
      <rPr>
        <b/>
        <sz val="11"/>
        <color theme="1"/>
        <rFont val="Calibri"/>
        <family val="2"/>
        <scheme val="minor"/>
      </rPr>
      <t>Latent Fault</t>
    </r>
    <r>
      <rPr>
        <sz val="11"/>
        <color theme="1"/>
        <rFont val="Calibri"/>
        <family val="2"/>
        <scheme val="minor"/>
      </rPr>
      <t xml:space="preserve">
Fit included in Fail Safe State Machine repartition</t>
    </r>
  </si>
  <si>
    <t>Fail Safe State Machine (Clock)
Voltage supervisor (Bandgap)</t>
  </si>
  <si>
    <r>
      <rPr>
        <b/>
        <sz val="11"/>
        <color theme="1"/>
        <rFont val="Calibri"/>
        <family val="2"/>
        <scheme val="minor"/>
      </rPr>
      <t>Single Point fault</t>
    </r>
    <r>
      <rPr>
        <sz val="11"/>
        <color theme="1"/>
        <rFont val="Calibri"/>
        <family val="2"/>
        <scheme val="minor"/>
      </rPr>
      <t xml:space="preserve">
Fit included in Power Management State Machine repartition</t>
    </r>
  </si>
  <si>
    <t>EDC
for Power Management State Machine</t>
  </si>
  <si>
    <t>EDC
for Fail Safe State Machine</t>
  </si>
  <si>
    <t>EDC failure</t>
  </si>
  <si>
    <t>EDC failure in Power Management State Management</t>
  </si>
  <si>
    <t>Qualitative line. The quantification is spreaded in all the lines where Power Management State machine is involved.</t>
  </si>
  <si>
    <t>Fuse in Power Management State Machine failure</t>
  </si>
  <si>
    <t>Jean-Philippe Meunier</t>
  </si>
  <si>
    <t>SPF</t>
  </si>
  <si>
    <t>LF</t>
  </si>
  <si>
    <t>SPF/LF</t>
  </si>
  <si>
    <t>OV detected because internally the pad will go to Vpre (UV externally)</t>
  </si>
  <si>
    <t>In case boost is needed, it will not operate so Vpre will falls down and by cascade effect the Vcore, Vcca, Vaux. UV will reported.</t>
  </si>
  <si>
    <t>Low</t>
  </si>
  <si>
    <t>Document Version</t>
  </si>
  <si>
    <t>Document Name</t>
  </si>
  <si>
    <t>Safety Manual Tag</t>
  </si>
  <si>
    <t>Part Numbers covered</t>
  </si>
  <si>
    <t>Voltage supervisor (Monitoring of voltage)
Undervoltage detection</t>
  </si>
  <si>
    <t>Silicon Version</t>
  </si>
  <si>
    <t>Vcca_B shorted to adjacent pin "Vcca"
(cover stuck at high)</t>
  </si>
  <si>
    <t>Philippe Mounier</t>
  </si>
  <si>
    <t>Pierre Turpin</t>
  </si>
  <si>
    <t>Reviewer 2</t>
  </si>
  <si>
    <t>Reviewer 3</t>
  </si>
  <si>
    <t>Design Leader</t>
  </si>
  <si>
    <t>TTT534</t>
  </si>
  <si>
    <t>R23671</t>
  </si>
  <si>
    <t>R49478</t>
  </si>
  <si>
    <t>Fail Safe outputs - FS1b</t>
  </si>
  <si>
    <t>Fail Safe outputs - RSTb
Fail Safe State Machine</t>
  </si>
  <si>
    <t>Fail Safe outputs - FS0b
Fail Safe State Machine</t>
  </si>
  <si>
    <t>SPI
Power Management State Machine
Fail Safe State Machine</t>
  </si>
  <si>
    <t>Fuse 1</t>
  </si>
  <si>
    <t>Fuse 2</t>
  </si>
  <si>
    <t>CAN FD</t>
  </si>
  <si>
    <t>CAN FD
Vcan internal Linear Regulator
Power Management State Machine for CAN FD</t>
  </si>
  <si>
    <t>Voltage Keep Alive Memory - VKAM</t>
  </si>
  <si>
    <t>Long Duration Timer - LDT</t>
  </si>
  <si>
    <t>SMA1</t>
  </si>
  <si>
    <t>SMA2</t>
  </si>
  <si>
    <t>SMA3</t>
  </si>
  <si>
    <t>SM4</t>
  </si>
  <si>
    <t xml:space="preserve">Software FS0b request to verify the good activation of FS0b before starting the application </t>
  </si>
  <si>
    <t xml:space="preserve">Software FS1b request to verify the good activation of FS1b before starting the application </t>
  </si>
  <si>
    <t>Safety output FS1b</t>
  </si>
  <si>
    <t>FS1b pin shorted to GND</t>
  </si>
  <si>
    <t>FS1b pin open</t>
  </si>
  <si>
    <t>Stuck at High
FS1b pin always driven High</t>
  </si>
  <si>
    <t>FS1b pin shorted to High</t>
  </si>
  <si>
    <t>IO_2/3 - MCU error monitoring</t>
  </si>
  <si>
    <t>IO_2/3 - MCU error monitoring
Fail Safe State Machine
I/Os Interface</t>
  </si>
  <si>
    <t>Long Duration Timer</t>
  </si>
  <si>
    <t>CAN physical layer</t>
  </si>
  <si>
    <t>Keep Alive Memory</t>
  </si>
  <si>
    <t>LDT counter stuck</t>
  </si>
  <si>
    <t>VKAM shorted to GND</t>
  </si>
  <si>
    <t>VKAM pin open</t>
  </si>
  <si>
    <t>VKAM shorted to adjacent pin "IO_0"</t>
  </si>
  <si>
    <t>VKAM shorted to adjacent pin "IO_4"</t>
  </si>
  <si>
    <t>- Initial version</t>
  </si>
  <si>
    <r>
      <t xml:space="preserve">·        Vcore external resistor bridge monitoring thru FCRBM </t>
    </r>
    <r>
      <rPr>
        <b/>
        <sz val="10"/>
        <color theme="1"/>
        <rFont val="Calibri"/>
        <family val="2"/>
        <scheme val="minor"/>
      </rPr>
      <t>(FB_Core monitoring)</t>
    </r>
  </si>
  <si>
    <r>
      <t xml:space="preserve">·         Flexible SMPS pre-regulator allowing Non-inverting Buck-Boost or Standard Buck Configuration. Overall device efficiency improvement. </t>
    </r>
    <r>
      <rPr>
        <b/>
        <sz val="10"/>
        <color theme="1"/>
        <rFont val="Calibri"/>
        <family val="2"/>
        <scheme val="minor"/>
      </rPr>
      <t>(Buck/Boost selection)</t>
    </r>
  </si>
  <si>
    <r>
      <t xml:space="preserve">·         </t>
    </r>
    <r>
      <rPr>
        <sz val="10"/>
        <color theme="1"/>
        <rFont val="Calibri"/>
        <family val="2"/>
        <scheme val="minor"/>
      </rPr>
      <t>Multiple IOs interface for FCCU MCU monitoring, Vcore resistor bridge monitoring and wake-up. (</t>
    </r>
    <r>
      <rPr>
        <b/>
        <sz val="10"/>
        <color theme="1"/>
        <rFont val="Calibri"/>
        <family val="2"/>
        <scheme val="minor"/>
      </rPr>
      <t>IOs interface, I/Os - MCU error monitoring, I/Os - Wake-up, FCRBM)</t>
    </r>
  </si>
  <si>
    <r>
      <t xml:space="preserve">·         </t>
    </r>
    <r>
      <rPr>
        <sz val="10"/>
        <color theme="1"/>
        <rFont val="Calibri"/>
        <family val="2"/>
        <scheme val="minor"/>
      </rPr>
      <t xml:space="preserve">Dedicated Voltage Supervisor for Vcore, VCCA, VAUX, CAN 5V, dedicated Internal Analog References and Internal Logic supplies. </t>
    </r>
    <r>
      <rPr>
        <b/>
        <sz val="10"/>
        <color theme="1"/>
        <rFont val="Calibri"/>
        <family val="2"/>
        <scheme val="minor"/>
      </rPr>
      <t>(Voltage Supervisor (UV and/or OV))</t>
    </r>
  </si>
  <si>
    <r>
      <t>·         5V / 3.3V Linear voltage regulator dedicated to auxiliary functions or sensor supply (5V tracking Vcca).</t>
    </r>
    <r>
      <rPr>
        <b/>
        <sz val="10"/>
        <color theme="1"/>
        <rFont val="Calibri"/>
        <family val="2"/>
        <scheme val="minor"/>
      </rPr>
      <t xml:space="preserve"> (Vaux Regulation, Hw Config Selection)</t>
    </r>
  </si>
  <si>
    <r>
      <t xml:space="preserve">·         5V / 3.3V Linear voltage regulator dedicated to MCU I/Os supply with external PNP transistor detection.  </t>
    </r>
    <r>
      <rPr>
        <b/>
        <sz val="10"/>
        <color theme="1"/>
        <rFont val="Calibri"/>
        <family val="2"/>
        <scheme val="minor"/>
      </rPr>
      <t>(VCCA Regulation; Hw Config Selection, Hw config VCCA pnp detect)</t>
    </r>
  </si>
  <si>
    <r>
      <t xml:space="preserve">·         Switching Mode Power Supply (SMPS) dedicated to MCU core supply from 1.2V to 5V range selectable thru external resistor bridge. </t>
    </r>
    <r>
      <rPr>
        <b/>
        <sz val="10"/>
        <color theme="1"/>
        <rFont val="Calibri"/>
        <family val="2"/>
        <scheme val="minor"/>
      </rPr>
      <t>(Vcore Regulation)</t>
    </r>
  </si>
  <si>
    <r>
      <t xml:space="preserve">·         Enhanced Safety block  with dedicated watchdog, SPI and  Fail Safe outputs. </t>
    </r>
    <r>
      <rPr>
        <b/>
        <sz val="10"/>
        <color theme="1"/>
        <rFont val="Calibri"/>
        <family val="2"/>
        <scheme val="minor"/>
      </rPr>
      <t>(Fail Safe machine, SPI, Watchdog, Fail Safe Outputs Drivers)</t>
    </r>
  </si>
  <si>
    <r>
      <t xml:space="preserve">·         Configurable digital I/Os used for cross-checking or MCU interface thru SPI registers. </t>
    </r>
    <r>
      <rPr>
        <b/>
        <sz val="10"/>
        <color theme="1"/>
        <rFont val="Calibri"/>
        <family val="2"/>
        <scheme val="minor"/>
      </rPr>
      <t>(I/Os Interfaces)</t>
    </r>
  </si>
  <si>
    <r>
      <t xml:space="preserve">·         MUX output terminal for device internal analog signal monitoring and power supply monitoring. </t>
    </r>
    <r>
      <rPr>
        <b/>
        <sz val="10"/>
        <color theme="1"/>
        <rFont val="Calibri"/>
        <family val="2"/>
        <scheme val="minor"/>
      </rPr>
      <t>(AMUX)</t>
    </r>
  </si>
  <si>
    <t>Safety 
Mechanism</t>
  </si>
  <si>
    <t>The failure mode considered for the windowed watchdog is the impossibility to detect the MCU malfunction in the Fault Tolerant Time Interval</t>
  </si>
  <si>
    <t xml:space="preserve">The failure mode to be considered for the MCU error output monitoring is the impossibility to detect MCU malfunction </t>
  </si>
  <si>
    <t>Operation mode</t>
  </si>
  <si>
    <t>Mode</t>
  </si>
  <si>
    <t>The failure modes considered for a voltage regulator (linear or DCDC converter) is the “over-voltage” and the “under-voltage”</t>
  </si>
  <si>
    <t xml:space="preserve">The failure mode to be considered for the Fail Safe outputs pins (FS0b and FS1b) is the “stuck-at” </t>
  </si>
  <si>
    <t>A FCCU fault not detected could lead to the violation of system safety goals</t>
  </si>
  <si>
    <t>Power up mode</t>
  </si>
  <si>
    <t xml:space="preserve">The FS6500 shall supply the MCU within the specified range ( Safety Context/SRS document) </t>
  </si>
  <si>
    <t>Internal Block Diagram</t>
  </si>
  <si>
    <t>Generic Application Example</t>
  </si>
  <si>
    <t>Embedded Blocks</t>
  </si>
  <si>
    <t>Block 
Failure Rate</t>
  </si>
  <si>
    <t xml:space="preserve">Failure Mechanism </t>
  </si>
  <si>
    <t>Vcore Regulation Example</t>
  </si>
  <si>
    <t>The Dynamic FMEDA consists of a single xlsx file having several sheets and it provides the Failure Mode Effect and Diagnostics Analysis (FMEDA) with the ISO26262 Metrics calculation.</t>
  </si>
  <si>
    <t>This particular User Guide sheet describes the definition of each spreadsheet located in this document.</t>
  </si>
  <si>
    <t>The table defines the list of the Function Block partitioning of the FS65_FS45 product family.</t>
  </si>
  <si>
    <t>The Block reference for each function block is extracted from the device internal block diagram (refer to the left figure below)</t>
  </si>
  <si>
    <t>A generic application example is also provided to ease the understanding (refer to teh right figure below)</t>
  </si>
  <si>
    <t>The total failure rate of the die is calculated with the IEC62380 TR Standard Model (refer to Failure Rate Evaluation document) and distributed per function based on their representative die size</t>
  </si>
  <si>
    <t>The Safety Goals are defined in the Safety Concept.</t>
  </si>
  <si>
    <t>SC0006</t>
  </si>
  <si>
    <t>SC0015</t>
  </si>
  <si>
    <t>SC0019</t>
  </si>
  <si>
    <t>SC0038</t>
  </si>
  <si>
    <t>SC0104</t>
  </si>
  <si>
    <t xml:space="preserve"> - Stuck-at (for eg wrong detection threshold) =&gt; It is a Latent fault, it will be detected at the next startup thru LBIST/ABIST sequences</t>
  </si>
  <si>
    <t xml:space="preserve"> - Mask of the Voltage supervisor information =&gt; It is a Latent fault, it will be detected at the next startup thru LBIST/ABIST sequences</t>
  </si>
  <si>
    <t xml:space="preserve"> - Activation of the Fail Safe Pin =&gt; The system is in a safe state, it is a Latent fault, it will be detected at the next startup thru LBIST/ABIST sequences</t>
  </si>
  <si>
    <t xml:space="preserve"> - Stuck-at in the FailSafe Digital block (in the LBIST partition) =&gt; It is a Latent fault, it will be detected at the next startup thru LBIST/ABIST sequences</t>
  </si>
  <si>
    <t xml:space="preserve"> - Stuck-at in the FailSafe Digital block  =&gt; It is a Latent fault, it will be detected at the next startup thru LBIST/ABIST sequences</t>
  </si>
  <si>
    <t xml:space="preserve"> - Reactivation (or Stuck-at) of the Debug mode function (The watchdog is inhibited, DeepFailSafe state not available)  =&gt; It is a Latent fault, it will be detected at the next startup thru LBIST/ABIST sequences</t>
  </si>
  <si>
    <t>FB_core monitoring (Monitoring of voltage)
Overvoltage and Undervoltage detections</t>
  </si>
  <si>
    <t>FB_Core Monitoring</t>
  </si>
  <si>
    <t>FB_Core Monitoring
Fail Safe State Machine
I/Os Interface</t>
  </si>
  <si>
    <r>
      <rPr>
        <b/>
        <sz val="11"/>
        <color theme="1"/>
        <rFont val="Calibri"/>
        <family val="2"/>
        <scheme val="minor"/>
      </rPr>
      <t>Latent Fault</t>
    </r>
    <r>
      <rPr>
        <sz val="11"/>
        <color theme="1"/>
        <rFont val="Calibri"/>
        <family val="2"/>
        <scheme val="minor"/>
      </rPr>
      <t xml:space="preserve">
FB_Core monitoring is a safety mechanism and can't involved violation of the safety goal as a single point fault.</t>
    </r>
  </si>
  <si>
    <t>FCRBM shorted to GND</t>
  </si>
  <si>
    <t>FCRBM pin shorted to adjacent pin FS0b</t>
  </si>
  <si>
    <t>FCRBM pin open</t>
  </si>
  <si>
    <t>RSTb pin shorted to adjacent pin FS1b</t>
  </si>
  <si>
    <t>FS0b pin shorted to adjacent pin FCRBM</t>
  </si>
  <si>
    <t>FCRBM
AGND</t>
  </si>
  <si>
    <t>IO_0
IO_2
IO_3
IO_4
IO_5
DGND</t>
  </si>
  <si>
    <t>MUX_OUT
AGND
IO_0
FCRBM
Vsense</t>
  </si>
  <si>
    <t>SM1, SM2, SM3</t>
  </si>
  <si>
    <r>
      <rPr>
        <b/>
        <sz val="11"/>
        <rFont val="Calibri"/>
        <family val="2"/>
        <scheme val="minor"/>
      </rPr>
      <t>Latent Fault</t>
    </r>
    <r>
      <rPr>
        <sz val="11"/>
        <rFont val="Calibri"/>
        <family val="2"/>
        <scheme val="minor"/>
      </rPr>
      <t xml:space="preserve">
Part of the safety mechanism and can't involved violation of the safety goal as a single point fault.</t>
    </r>
  </si>
  <si>
    <t>System Assumptions</t>
  </si>
  <si>
    <t>The FS65_FS45 devices are used in application for which the “driving cycle” (i.e. the time of operation without a Power On Reset of the Fail Safe Machine) is 12 hours</t>
  </si>
  <si>
    <t xml:space="preserve">External component disconnection is NOT considered </t>
  </si>
  <si>
    <t>Safety Concept 
Requirement</t>
  </si>
  <si>
    <t>FS1b pin shorted to adjacent pin VSUP3</t>
  </si>
  <si>
    <t>LDT counting too fast</t>
  </si>
  <si>
    <t>LDT counting too slow</t>
  </si>
  <si>
    <t>FS1b
VPU_FS
AGND</t>
  </si>
  <si>
    <t>IO5/VKAM</t>
  </si>
  <si>
    <t>Debug</t>
  </si>
  <si>
    <t>N/A</t>
  </si>
  <si>
    <t>MOSI
MISO
SCLK
NSC
AGND
RSTb
FS0b</t>
  </si>
  <si>
    <t>LIN</t>
  </si>
  <si>
    <t>LIN
Power Management State Machine for LIN</t>
  </si>
  <si>
    <r>
      <rPr>
        <b/>
        <sz val="11"/>
        <color theme="1"/>
        <rFont val="Calibri"/>
        <family val="2"/>
        <scheme val="minor"/>
      </rPr>
      <t xml:space="preserve">Not safety related. </t>
    </r>
    <r>
      <rPr>
        <sz val="11"/>
        <color theme="1"/>
        <rFont val="Calibri"/>
        <family val="2"/>
        <scheme val="minor"/>
      </rPr>
      <t xml:space="preserve">
Failure mode in LIN will not increase the risk (not part of a safety mechanism). LIN control signals from Power Management State Machine are dedicated to LIN block. They do not have common path with other blocks. Freedom of interferences between LIN control signals and other safety related signals in PowerManagement State Machine are justified in DFA.</t>
    </r>
  </si>
  <si>
    <t>FS65 pin out</t>
  </si>
  <si>
    <t>Fail Safe outputs - FS1b
VPU_FS circuit
Fail Safe State Machine</t>
  </si>
  <si>
    <r>
      <rPr>
        <b/>
        <sz val="11"/>
        <rFont val="Calibri"/>
        <family val="2"/>
        <scheme val="minor"/>
      </rPr>
      <t xml:space="preserve">Not safety related. </t>
    </r>
    <r>
      <rPr>
        <sz val="11"/>
        <rFont val="Calibri"/>
        <family val="2"/>
        <scheme val="minor"/>
      </rPr>
      <t xml:space="preserve">
VKAM does not impact the service functions, All other safety mechanism and reactions remain functional.</t>
    </r>
  </si>
  <si>
    <r>
      <rPr>
        <b/>
        <sz val="11"/>
        <rFont val="Calibri"/>
        <family val="2"/>
        <scheme val="minor"/>
      </rPr>
      <t xml:space="preserve">Not safety related. </t>
    </r>
    <r>
      <rPr>
        <sz val="11"/>
        <rFont val="Calibri"/>
        <family val="2"/>
        <scheme val="minor"/>
      </rPr>
      <t xml:space="preserve">
Long Duration Timer does not impact the service functions, All other safety mechanism and reactions remain functional.</t>
    </r>
  </si>
  <si>
    <t>The failure mode to be considered for the FS1b pins is the impossibility to guarantee and achieved the delay between the two Fail Safe outputs (FS0b and FS1b)</t>
  </si>
  <si>
    <t>LPOFF  mode</t>
  </si>
  <si>
    <t>SC0006  (Application dependent)</t>
  </si>
  <si>
    <t xml:space="preserve">SC0006 </t>
  </si>
  <si>
    <t>IO_5/VKAM
Power Management State Machine</t>
  </si>
  <si>
    <t>Monitoring Affected</t>
  </si>
  <si>
    <t>LIN physical layer</t>
  </si>
  <si>
    <t>LIN shorted to GND</t>
  </si>
  <si>
    <t>LIN shorted to adjacent pin "Vsense"</t>
  </si>
  <si>
    <t>LIN shorted to adjacent pin "GND_COM"</t>
  </si>
  <si>
    <t>LIN pin open</t>
  </si>
  <si>
    <t>RXDL shorted to GND</t>
  </si>
  <si>
    <t>RXDL shorted to adjacent pin "TXDL"</t>
  </si>
  <si>
    <t>RXDL shorted to adjacent pin "RSTb"</t>
  </si>
  <si>
    <t>RXDL pin open</t>
  </si>
  <si>
    <t>TXDL shorted to GND</t>
  </si>
  <si>
    <t>TXDL shorted to adjacent pin "RXD"</t>
  </si>
  <si>
    <t>TXDL shorted to adjacent pin "RXDL"</t>
  </si>
  <si>
    <t>TXDL pin open</t>
  </si>
  <si>
    <t>RXD pin shorted to adjacent pin VPU_FS</t>
  </si>
  <si>
    <t>- Add FMEDA_PWRUP
- All block die size increased by +5% to take into account new pad ring</t>
  </si>
  <si>
    <t>IO_4/5 External IC error monitoring</t>
  </si>
  <si>
    <t>IO_4 &amp; IO_5 - External IC error monitoring
Fail Safe State Machine
I/Os Interface</t>
  </si>
  <si>
    <t>IO_0
IO_1
IO_4
IO_5
AGND</t>
  </si>
  <si>
    <t>IO_5 transition after IO_4 detection not possible</t>
  </si>
  <si>
    <t xml:space="preserve"> External IC error monitoring</t>
  </si>
  <si>
    <t>SM10</t>
  </si>
  <si>
    <t>Information redundancy / Frame counter / Timeout monitoring</t>
  </si>
  <si>
    <t>SMA5</t>
  </si>
  <si>
    <t>Verify the good activation of FS0b before starting the application with IO_4/5 configured safety critical</t>
  </si>
  <si>
    <t>Fault counter stuck</t>
  </si>
  <si>
    <t>SM10, SMA5</t>
  </si>
  <si>
    <t>SM5, SMA2, SMA3</t>
  </si>
  <si>
    <t>FS6500_FS1b_Dynamic_FMEDA</t>
  </si>
  <si>
    <t>FMEDA_OP</t>
  </si>
  <si>
    <t>FMEDA_PWRUP</t>
  </si>
  <si>
    <t>SPFM</t>
  </si>
  <si>
    <t>LFM</t>
  </si>
  <si>
    <t>According to ISO26262, part 10, chapter 8.3.3</t>
  </si>
  <si>
    <t>- Update to 53 FIT with RTH(ja)=30°C/W
- Reintroduce IO_4/5 External IC error monitoring
- Add Metrics summary sheet
- Correct PMHF formula</t>
  </si>
  <si>
    <t>The Dynamic FMEDA is an example of the result of the safety analysis performed for the context of use of
the PowerSBCLIN using the mission profile described below and when applying all recommendations
and assumptions mentioned in the associated safety manual.</t>
  </si>
  <si>
    <t>Technical ssumption considered as violating the safety goal</t>
  </si>
  <si>
    <t>FS6500</t>
  </si>
  <si>
    <t>03/27/2015</t>
  </si>
  <si>
    <t>- Update/Correction following first review meeting</t>
  </si>
  <si>
    <t>- Correction of PMHF calculation</t>
  </si>
  <si>
    <t>FMEDA</t>
  </si>
  <si>
    <t>The method to perform the FMEDA is the one described in the ISO26262 Part5 Annex F.</t>
  </si>
  <si>
    <t>The product propose 3 modes of operation:</t>
  </si>
  <si>
    <t>POWER UP</t>
  </si>
  <si>
    <t>OPERATION</t>
  </si>
  <si>
    <t>LPOFF (equivalent to a sleep mode)</t>
  </si>
  <si>
    <t>See below for the Simplified state diagram extracted from the Datasheet.</t>
  </si>
  <si>
    <t>Simplified State Diagram from Datasheet</t>
  </si>
  <si>
    <t>Refer to FMEDA_OP sheet for the OPERATION mode and FMEDA_PWRUP for power up mode.</t>
  </si>
  <si>
    <t>In POWER UP and LPOFF modes, the product is in Safe State by default. Most of the Failures have no direct impact. Since all the power supplies are OFF in LPOFF, this mode is not analyzed.</t>
  </si>
  <si>
    <t>FS1b activated before FS0b could lead to the violation of the system safety goals (when FS1b configured in tdelay mode)</t>
  </si>
  <si>
    <t>PMHF calculated in Operation mode only. PMHF in PWRUP and LPOFF modes is negligeable.</t>
  </si>
  <si>
    <t>PMHF claculation during Operation mode</t>
  </si>
  <si>
    <t>Type m, Sub_m or sm</t>
  </si>
  <si>
    <t>Failure mode classification and justification related to the device</t>
  </si>
  <si>
    <t>PMHF
(device level)</t>
  </si>
  <si>
    <t>Device M
(m1+m2+m3+m4 with sub_mx)</t>
  </si>
  <si>
    <t>All Safety Blocks</t>
  </si>
  <si>
    <t xml:space="preserve">Single Points &amp; Latent Faults </t>
  </si>
  <si>
    <t>m1</t>
  </si>
  <si>
    <t>Single point Fault</t>
  </si>
  <si>
    <t>m2</t>
  </si>
  <si>
    <t>m3</t>
  </si>
  <si>
    <t>m4</t>
  </si>
  <si>
    <t>sm</t>
  </si>
  <si>
    <t>Latent Fault</t>
  </si>
  <si>
    <t>sub_m</t>
  </si>
  <si>
    <t>Sub_m</t>
  </si>
  <si>
    <t>sm(system)</t>
  </si>
  <si>
    <t>n/a</t>
  </si>
  <si>
    <t xml:space="preserve">Not safety related. </t>
  </si>
  <si>
    <r>
      <t>l</t>
    </r>
    <r>
      <rPr>
        <b/>
        <sz val="11"/>
        <color theme="0"/>
        <rFont val="Calibri"/>
        <family val="2"/>
        <scheme val="minor"/>
      </rPr>
      <t>Block</t>
    </r>
  </si>
  <si>
    <r>
      <rPr>
        <b/>
        <sz val="11"/>
        <rFont val="Calibri"/>
        <family val="2"/>
        <scheme val="minor"/>
      </rPr>
      <t>Single point Fault</t>
    </r>
    <r>
      <rPr>
        <sz val="11"/>
        <rFont val="Calibri"/>
        <family val="2"/>
        <scheme val="minor"/>
      </rPr>
      <t xml:space="preserve">
1 failure mode 
</t>
    </r>
    <r>
      <rPr>
        <b/>
        <sz val="11"/>
        <rFont val="Calibri"/>
        <family val="2"/>
        <scheme val="minor"/>
      </rPr>
      <t>Latent Fault</t>
    </r>
    <r>
      <rPr>
        <sz val="11"/>
        <rFont val="Calibri"/>
        <family val="2"/>
        <scheme val="minor"/>
      </rPr>
      <t xml:space="preserve">
5 failure modes </t>
    </r>
  </si>
  <si>
    <r>
      <t>l</t>
    </r>
    <r>
      <rPr>
        <b/>
        <sz val="11"/>
        <color theme="0"/>
        <rFont val="Calibri"/>
        <family val="2"/>
        <scheme val="minor"/>
      </rPr>
      <t>S (device)</t>
    </r>
  </si>
  <si>
    <r>
      <t>l</t>
    </r>
    <r>
      <rPr>
        <b/>
        <sz val="11"/>
        <color theme="0"/>
        <rFont val="Calibri"/>
        <family val="2"/>
        <scheme val="minor"/>
      </rPr>
      <t>m</t>
    </r>
    <r>
      <rPr>
        <b/>
        <sz val="11"/>
        <color theme="0"/>
        <rFont val="Symbol"/>
        <family val="1"/>
        <charset val="2"/>
      </rPr>
      <t>,</t>
    </r>
    <r>
      <rPr>
        <b/>
        <sz val="11"/>
        <color theme="0"/>
        <rFont val="Calibri"/>
        <family val="2"/>
        <scheme val="minor"/>
      </rPr>
      <t>DPF</t>
    </r>
  </si>
  <si>
    <r>
      <t>l</t>
    </r>
    <r>
      <rPr>
        <b/>
        <sz val="11"/>
        <color theme="0"/>
        <rFont val="Calibri"/>
        <family val="2"/>
        <scheme val="minor"/>
      </rPr>
      <t>m</t>
    </r>
    <r>
      <rPr>
        <b/>
        <sz val="11"/>
        <color theme="0"/>
        <rFont val="Symbol"/>
        <family val="1"/>
        <charset val="2"/>
      </rPr>
      <t>,</t>
    </r>
    <r>
      <rPr>
        <b/>
        <sz val="11"/>
        <color theme="0"/>
        <rFont val="Calibri"/>
        <family val="2"/>
        <scheme val="minor"/>
      </rPr>
      <t>RF</t>
    </r>
  </si>
  <si>
    <r>
      <t>l</t>
    </r>
    <r>
      <rPr>
        <b/>
        <sz val="11"/>
        <color theme="0"/>
        <rFont val="Calibri"/>
        <family val="2"/>
        <scheme val="minor"/>
      </rPr>
      <t>sm</t>
    </r>
    <r>
      <rPr>
        <b/>
        <sz val="11"/>
        <color theme="0"/>
        <rFont val="Symbol"/>
        <family val="1"/>
        <charset val="2"/>
      </rPr>
      <t>,</t>
    </r>
    <r>
      <rPr>
        <b/>
        <sz val="11"/>
        <color theme="0"/>
        <rFont val="Calibri"/>
        <family val="2"/>
        <scheme val="minor"/>
      </rPr>
      <t>DPF,latent</t>
    </r>
  </si>
  <si>
    <r>
      <rPr>
        <b/>
        <sz val="11"/>
        <color theme="1"/>
        <rFont val="Calibri"/>
        <family val="2"/>
        <scheme val="minor"/>
      </rPr>
      <t>Latent Fault</t>
    </r>
    <r>
      <rPr>
        <sz val="11"/>
        <color theme="1"/>
        <rFont val="Calibri"/>
        <family val="2"/>
        <scheme val="minor"/>
      </rPr>
      <t xml:space="preserve">
Debug mode activation does not impact the service functions. WD monitoring and Deep Fail Safe are disable. All other safety mechanism and reactions remain functional.</t>
    </r>
  </si>
  <si>
    <t>PMHF (10^-9)</t>
  </si>
  <si>
    <t>FS1b delay from FS0b not respected 
(loss of OSC_FS)</t>
  </si>
  <si>
    <t>FS1b delay from FS0b not respected 
(loss of VSUP)</t>
  </si>
  <si>
    <t>Verification of external Rpd/Cpd components connected to VPU_FS to guarantee FS1b back up delay</t>
  </si>
  <si>
    <t>FS1b delay from FS0b not respected
(loss of OSC_FS)</t>
  </si>
  <si>
    <t>D.2.3.6</t>
  </si>
  <si>
    <t>HW redundancy (FS1b back up delay)</t>
  </si>
  <si>
    <t>External IC error not detected could lead to the violation of the system safety goals</t>
  </si>
  <si>
    <t>All part numbers listed in 
MC33FS6500-MC33FS4500 datasheet</t>
  </si>
  <si>
    <t>N84R</t>
  </si>
  <si>
    <t>The failure mode to be considered for the external IC error monitoring is the impossibility to bring the system in fail safe state when a safety function error (other than MCU) is reported and not handled by MCU itself.</t>
  </si>
  <si>
    <t>SC0108</t>
  </si>
  <si>
    <t>- Correct "." decimal issue in block failure rate sheet
- Align traceability to Safety Concept
- Align FIT rate number to Failure rate evaluation report</t>
  </si>
  <si>
    <t>Title</t>
  </si>
  <si>
    <t>U1</t>
  </si>
  <si>
    <t>U2</t>
  </si>
  <si>
    <t>N°</t>
  </si>
  <si>
    <t>Revision</t>
  </si>
  <si>
    <t>Related Documents</t>
  </si>
  <si>
    <t>Change History</t>
  </si>
  <si>
    <t>U3</t>
  </si>
  <si>
    <t>System Assumptions from [U1]</t>
  </si>
  <si>
    <t>Failure Rate from [U3]</t>
  </si>
  <si>
    <t>Safety Functions from [U2]</t>
  </si>
  <si>
    <t>1 - Safety Context (DOORS)</t>
  </si>
  <si>
    <t>Safety Functions</t>
  </si>
  <si>
    <t>The Safety Function is described and illustrated with an example when the safety goal associated is violated.</t>
  </si>
  <si>
    <t>The table defines the list of the Safety Functions which are indicated in the FMEDA and can violate a safety goal in case of failure.</t>
  </si>
  <si>
    <t>FM12</t>
  </si>
  <si>
    <t>FM13</t>
  </si>
  <si>
    <t>FM14</t>
  </si>
  <si>
    <t>FM15</t>
  </si>
  <si>
    <t>FM16</t>
  </si>
  <si>
    <t>FM17</t>
  </si>
  <si>
    <t>FM18</t>
  </si>
  <si>
    <t>FM19</t>
  </si>
  <si>
    <t>FM20</t>
  </si>
  <si>
    <t>FM21</t>
  </si>
  <si>
    <t>FM22</t>
  </si>
  <si>
    <t>FM23</t>
  </si>
  <si>
    <t>FM24</t>
  </si>
  <si>
    <t>FM25</t>
  </si>
  <si>
    <t>FM26</t>
  </si>
  <si>
    <t>FM27</t>
  </si>
  <si>
    <t>FM28</t>
  </si>
  <si>
    <t>FM29</t>
  </si>
  <si>
    <t>FM30</t>
  </si>
  <si>
    <t>FM31</t>
  </si>
  <si>
    <t>FM32</t>
  </si>
  <si>
    <t>FM33</t>
  </si>
  <si>
    <t>FM34</t>
  </si>
  <si>
    <t>FM35</t>
  </si>
  <si>
    <t>FM36</t>
  </si>
  <si>
    <t>FM37</t>
  </si>
  <si>
    <t>FM38</t>
  </si>
  <si>
    <t>FM39</t>
  </si>
  <si>
    <t>FM40</t>
  </si>
  <si>
    <t>FM41</t>
  </si>
  <si>
    <t>FM42</t>
  </si>
  <si>
    <t>FM43</t>
  </si>
  <si>
    <t>FM44</t>
  </si>
  <si>
    <t>FM45</t>
  </si>
  <si>
    <t>FM46</t>
  </si>
  <si>
    <t>FM47</t>
  </si>
  <si>
    <t>FM48</t>
  </si>
  <si>
    <t>FM49</t>
  </si>
  <si>
    <t>FM50</t>
  </si>
  <si>
    <t>FM51</t>
  </si>
  <si>
    <t>FM52</t>
  </si>
  <si>
    <t>FM53</t>
  </si>
  <si>
    <t>FM54</t>
  </si>
  <si>
    <t>FM55</t>
  </si>
  <si>
    <t>FM56</t>
  </si>
  <si>
    <t>FM57</t>
  </si>
  <si>
    <t>FM58</t>
  </si>
  <si>
    <t>FM59</t>
  </si>
  <si>
    <t>FM60</t>
  </si>
  <si>
    <t>FM61</t>
  </si>
  <si>
    <t>FM62</t>
  </si>
  <si>
    <t>FM63</t>
  </si>
  <si>
    <t>FM64</t>
  </si>
  <si>
    <t>FM65</t>
  </si>
  <si>
    <t>FM66</t>
  </si>
  <si>
    <t>FM67</t>
  </si>
  <si>
    <t>FM68</t>
  </si>
  <si>
    <t>FM69</t>
  </si>
  <si>
    <t>FM70</t>
  </si>
  <si>
    <t>FM71</t>
  </si>
  <si>
    <t>FM72</t>
  </si>
  <si>
    <t>FM73</t>
  </si>
  <si>
    <t>FM74</t>
  </si>
  <si>
    <t>FM75</t>
  </si>
  <si>
    <t>FM76</t>
  </si>
  <si>
    <t>FM77</t>
  </si>
  <si>
    <t>FM78</t>
  </si>
  <si>
    <t>FM79</t>
  </si>
  <si>
    <t>FM80</t>
  </si>
  <si>
    <t>FM81</t>
  </si>
  <si>
    <t>FM82</t>
  </si>
  <si>
    <t>FM83</t>
  </si>
  <si>
    <t>FM84</t>
  </si>
  <si>
    <t>FM85</t>
  </si>
  <si>
    <t>FM86</t>
  </si>
  <si>
    <t>FM87</t>
  </si>
  <si>
    <t>FM88</t>
  </si>
  <si>
    <t>FM89</t>
  </si>
  <si>
    <t>FM90</t>
  </si>
  <si>
    <t>FM91</t>
  </si>
  <si>
    <t>FM92</t>
  </si>
  <si>
    <t>FM93</t>
  </si>
  <si>
    <t>FM94</t>
  </si>
  <si>
    <t>FM95</t>
  </si>
  <si>
    <t>FM96</t>
  </si>
  <si>
    <t>FM97</t>
  </si>
  <si>
    <t>FM98</t>
  </si>
  <si>
    <t>FM99</t>
  </si>
  <si>
    <t>FM100</t>
  </si>
  <si>
    <t>FM101</t>
  </si>
  <si>
    <t>FM102</t>
  </si>
  <si>
    <t>FM103</t>
  </si>
  <si>
    <t>FM104</t>
  </si>
  <si>
    <t>FM105</t>
  </si>
  <si>
    <t>FM106</t>
  </si>
  <si>
    <t>FM107</t>
  </si>
  <si>
    <t>FM108</t>
  </si>
  <si>
    <t>FM109</t>
  </si>
  <si>
    <t>FM110</t>
  </si>
  <si>
    <t>FM111</t>
  </si>
  <si>
    <t>FM112</t>
  </si>
  <si>
    <t>FM113</t>
  </si>
  <si>
    <t>FM114</t>
  </si>
  <si>
    <t>FM115</t>
  </si>
  <si>
    <t>FM116</t>
  </si>
  <si>
    <t>FM117</t>
  </si>
  <si>
    <t>FM118</t>
  </si>
  <si>
    <t>FM119</t>
  </si>
  <si>
    <t>FM120</t>
  </si>
  <si>
    <t>FM121</t>
  </si>
  <si>
    <t>FM122</t>
  </si>
  <si>
    <t>FM123</t>
  </si>
  <si>
    <t>FM124</t>
  </si>
  <si>
    <t>FM125</t>
  </si>
  <si>
    <t>FM126</t>
  </si>
  <si>
    <t>FM127</t>
  </si>
  <si>
    <t>FM128</t>
  </si>
  <si>
    <t>FM129</t>
  </si>
  <si>
    <t>FM130</t>
  </si>
  <si>
    <t>FM131</t>
  </si>
  <si>
    <t>FM132</t>
  </si>
  <si>
    <t>FM133</t>
  </si>
  <si>
    <t>FM134</t>
  </si>
  <si>
    <t>FM135</t>
  </si>
  <si>
    <t>FM136</t>
  </si>
  <si>
    <t>FM137</t>
  </si>
  <si>
    <t>FM138</t>
  </si>
  <si>
    <t>FM139</t>
  </si>
  <si>
    <t>FM140</t>
  </si>
  <si>
    <t>FM141</t>
  </si>
  <si>
    <t>FM142</t>
  </si>
  <si>
    <t>FM143</t>
  </si>
  <si>
    <t>FM144</t>
  </si>
  <si>
    <t>FM145</t>
  </si>
  <si>
    <t>FM146</t>
  </si>
  <si>
    <t>FM147</t>
  </si>
  <si>
    <t>FM148</t>
  </si>
  <si>
    <t>FM149</t>
  </si>
  <si>
    <t>FM150</t>
  </si>
  <si>
    <t>FM151</t>
  </si>
  <si>
    <t>FM152</t>
  </si>
  <si>
    <t>FM153</t>
  </si>
  <si>
    <t>FM154</t>
  </si>
  <si>
    <t>FM155</t>
  </si>
  <si>
    <t>FM156</t>
  </si>
  <si>
    <t>FM157</t>
  </si>
  <si>
    <t>FM158</t>
  </si>
  <si>
    <t>FM159</t>
  </si>
  <si>
    <t>FM160</t>
  </si>
  <si>
    <t>FM161</t>
  </si>
  <si>
    <t>FM162</t>
  </si>
  <si>
    <t>FM163</t>
  </si>
  <si>
    <t>FM164</t>
  </si>
  <si>
    <t>FM165</t>
  </si>
  <si>
    <t>FM166</t>
  </si>
  <si>
    <t>FM167</t>
  </si>
  <si>
    <t>FM168</t>
  </si>
  <si>
    <t>FM169</t>
  </si>
  <si>
    <t>FM170</t>
  </si>
  <si>
    <t>FM171</t>
  </si>
  <si>
    <t>FM172</t>
  </si>
  <si>
    <t>FM173</t>
  </si>
  <si>
    <t>FM174</t>
  </si>
  <si>
    <t>FM175</t>
  </si>
  <si>
    <t>FM176</t>
  </si>
  <si>
    <t>FM177</t>
  </si>
  <si>
    <t>FM178</t>
  </si>
  <si>
    <t>FM179</t>
  </si>
  <si>
    <t>FM180</t>
  </si>
  <si>
    <t>FM181</t>
  </si>
  <si>
    <t>FM182</t>
  </si>
  <si>
    <t>FM183</t>
  </si>
  <si>
    <t>FM184</t>
  </si>
  <si>
    <t>FM185</t>
  </si>
  <si>
    <t>FM186</t>
  </si>
  <si>
    <t>FM187</t>
  </si>
  <si>
    <t>FM188</t>
  </si>
  <si>
    <t>FM189</t>
  </si>
  <si>
    <t>FM190</t>
  </si>
  <si>
    <t>FM191</t>
  </si>
  <si>
    <t>FM192</t>
  </si>
  <si>
    <t>FM193</t>
  </si>
  <si>
    <t>FM194</t>
  </si>
  <si>
    <t>FM195</t>
  </si>
  <si>
    <t>FM196</t>
  </si>
  <si>
    <t>FM197</t>
  </si>
  <si>
    <t>FM198</t>
  </si>
  <si>
    <t>FM199</t>
  </si>
  <si>
    <t>FM200</t>
  </si>
  <si>
    <t>FM201</t>
  </si>
  <si>
    <t>FM202</t>
  </si>
  <si>
    <t>FM203</t>
  </si>
  <si>
    <t>FM204</t>
  </si>
  <si>
    <t>FM205</t>
  </si>
  <si>
    <t>FM206</t>
  </si>
  <si>
    <t>FM207</t>
  </si>
  <si>
    <t>FM208</t>
  </si>
  <si>
    <t>FM209</t>
  </si>
  <si>
    <t>FM210</t>
  </si>
  <si>
    <t>FM211</t>
  </si>
  <si>
    <t>FM212</t>
  </si>
  <si>
    <t>FM213</t>
  </si>
  <si>
    <t>FM214</t>
  </si>
  <si>
    <t>FM219</t>
  </si>
  <si>
    <t>FM220</t>
  </si>
  <si>
    <t>FM221</t>
  </si>
  <si>
    <t>FM222</t>
  </si>
  <si>
    <t>FM223</t>
  </si>
  <si>
    <t>FM224</t>
  </si>
  <si>
    <t>FM225</t>
  </si>
  <si>
    <t>FM226</t>
  </si>
  <si>
    <t>FM227</t>
  </si>
  <si>
    <t>FM228</t>
  </si>
  <si>
    <t>FM229</t>
  </si>
  <si>
    <t>FM230</t>
  </si>
  <si>
    <t>FM231</t>
  </si>
  <si>
    <t>FM232</t>
  </si>
  <si>
    <t>FM233</t>
  </si>
  <si>
    <t>FM234</t>
  </si>
  <si>
    <t>FM235</t>
  </si>
  <si>
    <t>FM236</t>
  </si>
  <si>
    <t>FM237</t>
  </si>
  <si>
    <t>FM238</t>
  </si>
  <si>
    <t>FM239</t>
  </si>
  <si>
    <t>FM240</t>
  </si>
  <si>
    <t>FM241</t>
  </si>
  <si>
    <t>FM242</t>
  </si>
  <si>
    <t>FM243</t>
  </si>
  <si>
    <t>FM244</t>
  </si>
  <si>
    <t>FM245</t>
  </si>
  <si>
    <t>FM246</t>
  </si>
  <si>
    <t>FM247</t>
  </si>
  <si>
    <t>FM248</t>
  </si>
  <si>
    <t>FM249</t>
  </si>
  <si>
    <t>FM250</t>
  </si>
  <si>
    <t>FM251</t>
  </si>
  <si>
    <t>FM252</t>
  </si>
  <si>
    <t>FM253</t>
  </si>
  <si>
    <t>FM254</t>
  </si>
  <si>
    <t>FM255</t>
  </si>
  <si>
    <t>FM256</t>
  </si>
  <si>
    <t>FM257</t>
  </si>
  <si>
    <t>FM258</t>
  </si>
  <si>
    <t>FM259</t>
  </si>
  <si>
    <t>FM260</t>
  </si>
  <si>
    <t>FM261</t>
  </si>
  <si>
    <t>FM262</t>
  </si>
  <si>
    <t>FM263</t>
  </si>
  <si>
    <t>FM264</t>
  </si>
  <si>
    <t>FM265</t>
  </si>
  <si>
    <t>FM266</t>
  </si>
  <si>
    <t>FM267</t>
  </si>
  <si>
    <t>FM268</t>
  </si>
  <si>
    <t>FM269</t>
  </si>
  <si>
    <t>FM270</t>
  </si>
  <si>
    <t>FM271</t>
  </si>
  <si>
    <t>FM272</t>
  </si>
  <si>
    <t>FM273</t>
  </si>
  <si>
    <t>FM274</t>
  </si>
  <si>
    <t>FM275</t>
  </si>
  <si>
    <t>FM276</t>
  </si>
  <si>
    <t>FM277</t>
  </si>
  <si>
    <t>FM278</t>
  </si>
  <si>
    <t>FM279</t>
  </si>
  <si>
    <t>FM280</t>
  </si>
  <si>
    <t>FM281</t>
  </si>
  <si>
    <t>FM282</t>
  </si>
  <si>
    <t>FM283</t>
  </si>
  <si>
    <t>FM284</t>
  </si>
  <si>
    <t>FM285</t>
  </si>
  <si>
    <t>FM286</t>
  </si>
  <si>
    <t>FM287</t>
  </si>
  <si>
    <t>FM288</t>
  </si>
  <si>
    <t>FM289</t>
  </si>
  <si>
    <t>FM290</t>
  </si>
  <si>
    <t>FM291</t>
  </si>
  <si>
    <t>FM292</t>
  </si>
  <si>
    <t>FM293</t>
  </si>
  <si>
    <t>FM294</t>
  </si>
  <si>
    <t>FM295</t>
  </si>
  <si>
    <t>FM296</t>
  </si>
  <si>
    <t>FM297</t>
  </si>
  <si>
    <t>FM298</t>
  </si>
  <si>
    <t>FM299</t>
  </si>
  <si>
    <t>FM300</t>
  </si>
  <si>
    <t>FM301</t>
  </si>
  <si>
    <t>FM302</t>
  </si>
  <si>
    <t>FM303</t>
  </si>
  <si>
    <t>FM304</t>
  </si>
  <si>
    <t>FM305</t>
  </si>
  <si>
    <t>FM306</t>
  </si>
  <si>
    <t>FM307</t>
  </si>
  <si>
    <t>FM308</t>
  </si>
  <si>
    <t>FM309</t>
  </si>
  <si>
    <t>FM310</t>
  </si>
  <si>
    <t>FM311</t>
  </si>
  <si>
    <t>FM312</t>
  </si>
  <si>
    <t>FM313</t>
  </si>
  <si>
    <t>FM314</t>
  </si>
  <si>
    <t>FM315</t>
  </si>
  <si>
    <t>FM316</t>
  </si>
  <si>
    <t>FM317</t>
  </si>
  <si>
    <t>FM318</t>
  </si>
  <si>
    <t>FM319</t>
  </si>
  <si>
    <t>FM320</t>
  </si>
  <si>
    <t>FM321</t>
  </si>
  <si>
    <t>FM322</t>
  </si>
  <si>
    <t>FM323</t>
  </si>
  <si>
    <t>FM324</t>
  </si>
  <si>
    <t>FM325</t>
  </si>
  <si>
    <t>FM326</t>
  </si>
  <si>
    <t>FM327</t>
  </si>
  <si>
    <t>FM328</t>
  </si>
  <si>
    <t>FM329</t>
  </si>
  <si>
    <t>FM330</t>
  </si>
  <si>
    <t>FM331</t>
  </si>
  <si>
    <t>FM332</t>
  </si>
  <si>
    <t>FM333</t>
  </si>
  <si>
    <t>FM334</t>
  </si>
  <si>
    <t>FM335</t>
  </si>
  <si>
    <t>FM336</t>
  </si>
  <si>
    <t>FM337</t>
  </si>
  <si>
    <t>FM338</t>
  </si>
  <si>
    <t>FM339</t>
  </si>
  <si>
    <t>FM340</t>
  </si>
  <si>
    <t>FM341</t>
  </si>
  <si>
    <t>FM342</t>
  </si>
  <si>
    <t>FM343</t>
  </si>
  <si>
    <t>FM344</t>
  </si>
  <si>
    <t>FM345</t>
  </si>
  <si>
    <t>FM346</t>
  </si>
  <si>
    <t>FM347</t>
  </si>
  <si>
    <t>FM348</t>
  </si>
  <si>
    <t>FM349</t>
  </si>
  <si>
    <t>FM350</t>
  </si>
  <si>
    <t>FM351</t>
  </si>
  <si>
    <t>FM352</t>
  </si>
  <si>
    <t>FM353</t>
  </si>
  <si>
    <t>FM354</t>
  </si>
  <si>
    <t>FM355</t>
  </si>
  <si>
    <t>FM356</t>
  </si>
  <si>
    <t>FM357</t>
  </si>
  <si>
    <t>FM358</t>
  </si>
  <si>
    <t>FM359</t>
  </si>
  <si>
    <t>FM360</t>
  </si>
  <si>
    <t>FM361</t>
  </si>
  <si>
    <t>FM362</t>
  </si>
  <si>
    <t>FM363</t>
  </si>
  <si>
    <t>FM364</t>
  </si>
  <si>
    <t>FM365</t>
  </si>
  <si>
    <t>FM366</t>
  </si>
  <si>
    <t>FM367</t>
  </si>
  <si>
    <t>FM368</t>
  </si>
  <si>
    <t>FM369</t>
  </si>
  <si>
    <t>FM370</t>
  </si>
  <si>
    <t>FM371</t>
  </si>
  <si>
    <t>FM372</t>
  </si>
  <si>
    <t>FM373</t>
  </si>
  <si>
    <t>FM374</t>
  </si>
  <si>
    <t>FM375</t>
  </si>
  <si>
    <t>FM376</t>
  </si>
  <si>
    <t>FM377</t>
  </si>
  <si>
    <t>FM378</t>
  </si>
  <si>
    <t>FM379</t>
  </si>
  <si>
    <t>FM380</t>
  </si>
  <si>
    <t>FM381</t>
  </si>
  <si>
    <t>FM382</t>
  </si>
  <si>
    <t>FM383</t>
  </si>
  <si>
    <t>FM384</t>
  </si>
  <si>
    <t>FM385</t>
  </si>
  <si>
    <t>FM386</t>
  </si>
  <si>
    <t>FM387</t>
  </si>
  <si>
    <t>FM388</t>
  </si>
  <si>
    <t>FM389</t>
  </si>
  <si>
    <t>FM390</t>
  </si>
  <si>
    <t>FM391</t>
  </si>
  <si>
    <t>FM392</t>
  </si>
  <si>
    <t>FM393</t>
  </si>
  <si>
    <t>FM394</t>
  </si>
  <si>
    <t>FM395</t>
  </si>
  <si>
    <t>FM396</t>
  </si>
  <si>
    <t>FM397</t>
  </si>
  <si>
    <t>FM398</t>
  </si>
  <si>
    <t>FM399</t>
  </si>
  <si>
    <t>FM400</t>
  </si>
  <si>
    <t>FM401</t>
  </si>
  <si>
    <t>FM402</t>
  </si>
  <si>
    <t>FM403</t>
  </si>
  <si>
    <t>FM404</t>
  </si>
  <si>
    <t>FM405</t>
  </si>
  <si>
    <t>FM406</t>
  </si>
  <si>
    <t>FM407</t>
  </si>
  <si>
    <t>FM408</t>
  </si>
  <si>
    <t>FM409</t>
  </si>
  <si>
    <t>FM410</t>
  </si>
  <si>
    <t>FM411</t>
  </si>
  <si>
    <t>FM412</t>
  </si>
  <si>
    <t>FM413</t>
  </si>
  <si>
    <t>FM414</t>
  </si>
  <si>
    <t>FM415</t>
  </si>
  <si>
    <t>FM416</t>
  </si>
  <si>
    <t>FM417</t>
  </si>
  <si>
    <t>FM418</t>
  </si>
  <si>
    <t>FM419</t>
  </si>
  <si>
    <t>FM420</t>
  </si>
  <si>
    <t>FM421</t>
  </si>
  <si>
    <t>FM422</t>
  </si>
  <si>
    <t>FM423</t>
  </si>
  <si>
    <t>FM424</t>
  </si>
  <si>
    <t>FM425</t>
  </si>
  <si>
    <t>FM426</t>
  </si>
  <si>
    <t>FM427</t>
  </si>
  <si>
    <t>FM428</t>
  </si>
  <si>
    <t>FM429</t>
  </si>
  <si>
    <t>FM430</t>
  </si>
  <si>
    <t>FM431</t>
  </si>
  <si>
    <t>FM432</t>
  </si>
  <si>
    <t>FM433</t>
  </si>
  <si>
    <t>FM434</t>
  </si>
  <si>
    <t>FM435</t>
  </si>
  <si>
    <t>FM436</t>
  </si>
  <si>
    <t>FM437</t>
  </si>
  <si>
    <t>FM438</t>
  </si>
  <si>
    <t>FM439</t>
  </si>
  <si>
    <t>FM440</t>
  </si>
  <si>
    <t>FM441</t>
  </si>
  <si>
    <t>FM442</t>
  </si>
  <si>
    <t>FM443</t>
  </si>
  <si>
    <t>FM444</t>
  </si>
  <si>
    <t>FM445</t>
  </si>
  <si>
    <t>FM446</t>
  </si>
  <si>
    <t>FM447</t>
  </si>
  <si>
    <t>FM448</t>
  </si>
  <si>
    <t>FM449</t>
  </si>
  <si>
    <t>FM450</t>
  </si>
  <si>
    <t>FM451</t>
  </si>
  <si>
    <t>FM452</t>
  </si>
  <si>
    <t>FM453</t>
  </si>
  <si>
    <t>FM454</t>
  </si>
  <si>
    <t>FM455</t>
  </si>
  <si>
    <t>FM456</t>
  </si>
  <si>
    <t>FM457</t>
  </si>
  <si>
    <t>FM458</t>
  </si>
  <si>
    <t>FM459</t>
  </si>
  <si>
    <t>FM460</t>
  </si>
  <si>
    <t>FM461</t>
  </si>
  <si>
    <t>FM462</t>
  </si>
  <si>
    <t>FM463</t>
  </si>
  <si>
    <t>FM464</t>
  </si>
  <si>
    <t>- Update with Safety Manual tag traceability</t>
  </si>
  <si>
    <t>SMR_19
SMR_22
SMR_24</t>
  </si>
  <si>
    <t>SMR_20</t>
  </si>
  <si>
    <t>SMR_29</t>
  </si>
  <si>
    <t>SMR_30</t>
  </si>
  <si>
    <t>SMR_16</t>
  </si>
  <si>
    <t>Vcca_HW -&gt; SMR_21
Vaux_HW -&gt; SMR_23
LS_detect -&gt; SMR_17
DBG_HW -&gt; SMR_41
DFS_HW1/2 -&gt; SMR_40</t>
  </si>
  <si>
    <t>Read HW_Config SPI register and extract Vcca_HW, Vaux_HW, LS_detect, DBG_HW and DFS_HW1/2 configuration bits to compare with expected values before releasing Fail Safe path</t>
  </si>
  <si>
    <t>LBIST &amp; ABIST1 -&gt; SMR_38
ABIST2 -&gt; SMR_39</t>
  </si>
  <si>
    <t>SMR_28</t>
  </si>
  <si>
    <t>SMR_26
SMR_27</t>
  </si>
  <si>
    <t>SMR_37</t>
  </si>
  <si>
    <t>Chapter 5.6.1
Chapter 5.7.3</t>
  </si>
  <si>
    <t>SMR_32</t>
  </si>
  <si>
    <t>SMR_35</t>
  </si>
  <si>
    <t>doc_FS6500_Failure_Rate_Evaluation</t>
  </si>
  <si>
    <t>2 - Safety Concept (DOORS)</t>
  </si>
  <si>
    <t>The SMx are Safety Mechanism at device level while SMAx are Safety Mechanism at application level.</t>
  </si>
  <si>
    <t>Reviewed</t>
  </si>
  <si>
    <t>Advance Analog Automotive</t>
  </si>
  <si>
    <t>NXP CONFIDENTIAL PROPRIETARY</t>
  </si>
  <si>
    <t>All Rights Reserved. Presence of copyright notice is not an acknowledgement of publication.</t>
  </si>
  <si>
    <t>System Architecte</t>
  </si>
  <si>
    <t>Functional Safety Manager</t>
  </si>
  <si>
    <t>Valerie Bernon</t>
  </si>
  <si>
    <t>1.0</t>
  </si>
  <si>
    <t>R40959</t>
  </si>
  <si>
    <r>
      <t xml:space="preserve">·         ISO11898 high speed CAN FD interface compatibility for baud rates of 40kb/s to 2Mb/s. </t>
    </r>
    <r>
      <rPr>
        <b/>
        <sz val="10"/>
        <color theme="1"/>
        <rFont val="Calibri"/>
        <family val="2"/>
        <scheme val="minor"/>
      </rPr>
      <t>(CAN Phy &amp; CAN_5V)</t>
    </r>
  </si>
  <si>
    <t>Reviewer 4</t>
  </si>
  <si>
    <t>Safety metrics calculation is performed with all internal Safety Mechanism implemented (SMx) and all external Safety Mechanism at Application level implemented (SMAx).</t>
  </si>
  <si>
    <t>Technical assumption considered as violating the safety goal</t>
  </si>
  <si>
    <t>FS6500_SCX_117</t>
  </si>
  <si>
    <t>FS6500_SCX_124</t>
  </si>
  <si>
    <t>FS6500_SAF37</t>
  </si>
  <si>
    <t>FS6500_SAF90</t>
  </si>
  <si>
    <t>FS6500_SAF131</t>
  </si>
  <si>
    <t>FS6500_SAF110</t>
  </si>
  <si>
    <t>FS6500_SAF184</t>
  </si>
  <si>
    <t>FS6500_SAF139</t>
  </si>
  <si>
    <t>Power Up mode is defined as state between Fail Safe logic POR and Reset release. In this mode, the device is in Safe State by default (RSTb, FS0b and FS1b are asserted Low)</t>
  </si>
  <si>
    <t>FS6500_SAF181</t>
  </si>
  <si>
    <t>FS6500_SAF182</t>
  </si>
  <si>
    <t>Low Power OFF mode is defined as state where all power supplies are turned OFF, and Fail Safe logic is unpowered. In this mode, the device is in Safe State by default (RSTb, FS0b and FS1b are asserted Low).</t>
  </si>
  <si>
    <t>1.3</t>
  </si>
  <si>
    <t>TSR_02, TSR_03, TSR_04</t>
  </si>
  <si>
    <t>TSR_05, TSR_06, TSR_07</t>
  </si>
  <si>
    <t>TSR_08, TSR_09</t>
  </si>
  <si>
    <t>TSR_10, TSR_11</t>
  </si>
  <si>
    <t>TSR_12</t>
  </si>
  <si>
    <t xml:space="preserve">Short-circuit between PCB track is NOT considered </t>
  </si>
  <si>
    <t>SMR_12</t>
  </si>
  <si>
    <t>SMR_15</t>
  </si>
  <si>
    <t>SMR_14</t>
  </si>
  <si>
    <t>Simultaneous pin disconnections (i.e. pin lift on the PCB) are restricted to 1.</t>
  </si>
  <si>
    <t>SMR_04</t>
  </si>
  <si>
    <t>FS6500_SCX_155</t>
  </si>
  <si>
    <t>FS6500_SCX_156</t>
  </si>
  <si>
    <t>- Verification review</t>
  </si>
  <si>
    <t>- Update traceability vs Safety Context and Concept following ISO26262 assessment</t>
  </si>
  <si>
    <t>2.0</t>
  </si>
  <si>
    <t>SC0106</t>
  </si>
  <si>
    <t>SC0107</t>
  </si>
  <si>
    <t>Safety Goal</t>
  </si>
  <si>
    <t>Comment</t>
  </si>
  <si>
    <r>
      <t xml:space="preserve">Select </t>
    </r>
    <r>
      <rPr>
        <b/>
        <sz val="11"/>
        <color theme="1"/>
        <rFont val="Calibri"/>
        <family val="2"/>
        <scheme val="minor"/>
      </rPr>
      <t>Yes</t>
    </r>
    <r>
      <rPr>
        <sz val="11"/>
        <color theme="1"/>
        <rFont val="Calibri"/>
        <family val="2"/>
        <scheme val="minor"/>
      </rPr>
      <t xml:space="preserve"> for Part number </t>
    </r>
    <r>
      <rPr>
        <b/>
        <sz val="11"/>
        <color theme="1"/>
        <rFont val="Calibri"/>
        <family val="2"/>
        <scheme val="minor"/>
      </rPr>
      <t>with</t>
    </r>
    <r>
      <rPr>
        <sz val="11"/>
        <color theme="1"/>
        <rFont val="Calibri"/>
        <family val="2"/>
        <scheme val="minor"/>
      </rPr>
      <t xml:space="preserve"> FS1b
Select </t>
    </r>
    <r>
      <rPr>
        <b/>
        <sz val="11"/>
        <color theme="1"/>
        <rFont val="Calibri"/>
        <family val="2"/>
        <scheme val="minor"/>
      </rPr>
      <t>No</t>
    </r>
    <r>
      <rPr>
        <sz val="11"/>
        <color theme="1"/>
        <rFont val="Calibri"/>
        <family val="2"/>
        <scheme val="minor"/>
      </rPr>
      <t xml:space="preserve"> for Part number </t>
    </r>
    <r>
      <rPr>
        <b/>
        <sz val="11"/>
        <color theme="1"/>
        <rFont val="Calibri"/>
        <family val="2"/>
        <scheme val="minor"/>
      </rPr>
      <t>without</t>
    </r>
    <r>
      <rPr>
        <sz val="11"/>
        <color theme="1"/>
        <rFont val="Calibri"/>
        <family val="2"/>
        <scheme val="minor"/>
      </rPr>
      <t xml:space="preserve"> FS1b</t>
    </r>
  </si>
  <si>
    <t>- Add easy FS1b selection in "Safety Mechanisms"sheet</t>
  </si>
  <si>
    <r>
      <t xml:space="preserve">FS6500 metrics summary for </t>
    </r>
    <r>
      <rPr>
        <b/>
        <sz val="12"/>
        <color theme="1"/>
        <rFont val="Arial"/>
        <family val="2"/>
      </rPr>
      <t>Tlifetime</t>
    </r>
    <r>
      <rPr>
        <sz val="12"/>
        <color theme="1"/>
        <rFont val="Arial"/>
        <family val="2"/>
      </rPr>
      <t xml:space="preserve"> years</t>
    </r>
  </si>
  <si>
    <r>
      <rPr>
        <b/>
        <sz val="12"/>
        <color theme="1"/>
        <rFont val="Arial"/>
        <family val="2"/>
      </rPr>
      <t>Tlifetime</t>
    </r>
    <r>
      <rPr>
        <sz val="12"/>
        <color theme="1"/>
        <rFont val="Arial"/>
        <family val="2"/>
      </rPr>
      <t xml:space="preserve">: </t>
    </r>
  </si>
  <si>
    <t>years</t>
  </si>
  <si>
    <t>Failure mode rate x10^-9</t>
  </si>
  <si>
    <r>
      <rPr>
        <b/>
        <sz val="12"/>
        <color theme="1"/>
        <rFont val="Arial"/>
        <family val="2"/>
      </rPr>
      <t>λmDPF</t>
    </r>
    <r>
      <rPr>
        <sz val="12"/>
        <color theme="1"/>
        <rFont val="Arial"/>
        <family val="2"/>
      </rPr>
      <t>:</t>
    </r>
  </si>
  <si>
    <r>
      <t>λsmDPF,latent</t>
    </r>
    <r>
      <rPr>
        <sz val="12"/>
        <color theme="1"/>
        <rFont val="Arial"/>
        <family val="2"/>
      </rPr>
      <t>:</t>
    </r>
  </si>
  <si>
    <t>Residual of single point fault failure rate x10^-9</t>
  </si>
  <si>
    <r>
      <rPr>
        <b/>
        <sz val="12"/>
        <color theme="1"/>
        <rFont val="Arial"/>
        <family val="2"/>
      </rPr>
      <t>λRF</t>
    </r>
    <r>
      <rPr>
        <sz val="12"/>
        <color theme="1"/>
        <rFont val="Arial"/>
        <family val="2"/>
      </rPr>
      <t>:</t>
    </r>
  </si>
  <si>
    <t>Latent multiple point fault failure rate x10^-9</t>
  </si>
  <si>
    <r>
      <t xml:space="preserve">Select </t>
    </r>
    <r>
      <rPr>
        <b/>
        <sz val="11"/>
        <color theme="1"/>
        <rFont val="Calibri"/>
        <family val="2"/>
        <scheme val="minor"/>
      </rPr>
      <t>Yes</t>
    </r>
    <r>
      <rPr>
        <sz val="11"/>
        <color theme="1"/>
        <rFont val="Calibri"/>
        <family val="2"/>
        <scheme val="minor"/>
      </rPr>
      <t xml:space="preserve"> if IO_45 External IC Error monitoring is </t>
    </r>
    <r>
      <rPr>
        <b/>
        <sz val="11"/>
        <color theme="1"/>
        <rFont val="Calibri"/>
        <family val="2"/>
        <scheme val="minor"/>
      </rPr>
      <t>used</t>
    </r>
    <r>
      <rPr>
        <sz val="11"/>
        <color theme="1"/>
        <rFont val="Calibri"/>
        <family val="2"/>
        <scheme val="minor"/>
      </rPr>
      <t xml:space="preserve">
Select </t>
    </r>
    <r>
      <rPr>
        <b/>
        <sz val="11"/>
        <color theme="1"/>
        <rFont val="Calibri"/>
        <family val="2"/>
        <scheme val="minor"/>
      </rPr>
      <t>No</t>
    </r>
    <r>
      <rPr>
        <sz val="11"/>
        <color theme="1"/>
        <rFont val="Calibri"/>
        <family val="2"/>
        <scheme val="minor"/>
      </rPr>
      <t xml:space="preserve"> if IO_45 External IC Error monitoring is </t>
    </r>
    <r>
      <rPr>
        <b/>
        <sz val="11"/>
        <color theme="1"/>
        <rFont val="Calibri"/>
        <family val="2"/>
        <scheme val="minor"/>
      </rPr>
      <t>not used</t>
    </r>
  </si>
  <si>
    <t>- Update FS1b selection in "Safety Mechanisms"sheet
- Add IO_45 External IC Error monitoring selection in "Safety Mechanisms"sheet</t>
  </si>
  <si>
    <t>V1.3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</si>
</sst>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00"/>
    <numFmt numFmtId="166" formatCode="0.000"/>
    <numFmt numFmtId="167" formatCode="[$$-409]#,##0.00;[Red]&quot;-&quot;[$$-409]#,##0.00"/>
    <numFmt numFmtId="168" formatCode="???.###E+00;\-###.###E+00;0"/>
    <numFmt numFmtId="169" formatCode="00000"/>
    <numFmt numFmtId="170" formatCode="0.00000"/>
  </numFmts>
  <fonts count="70">
    <font>
      <sz val="11"/>
      <color theme="1"/>
      <name val="Calibri"/>
      <family val="2"/>
      <scheme val="minor"/>
    </font>
    <font>
      <b/>
      <sz val="11"/>
      <color theme="1"/>
      <name val="Calibri"/>
      <family val="2"/>
      <scheme val="minor"/>
    </font>
    <font>
      <b/>
      <sz val="11"/>
      <color theme="1"/>
      <name val="Calibri"/>
      <family val="2"/>
    </font>
    <font>
      <b/>
      <sz val="11"/>
      <name val="Calibri"/>
      <family val="2"/>
      <scheme val="minor"/>
    </font>
    <font>
      <b/>
      <sz val="16"/>
      <color theme="1"/>
      <name val="Calibri"/>
      <family val="2"/>
      <scheme val="minor"/>
    </font>
    <font>
      <sz val="11"/>
      <color theme="0" tint="-0.34998626667073579"/>
      <name val="Calibri"/>
      <family val="2"/>
      <scheme val="minor"/>
    </font>
    <font>
      <b/>
      <sz val="11"/>
      <color theme="0"/>
      <name val="Calibri"/>
      <family val="2"/>
      <scheme val="minor"/>
    </font>
    <font>
      <vertAlign val="subscript"/>
      <sz val="7.7"/>
      <color theme="1"/>
      <name val="Calibri"/>
      <family val="2"/>
    </font>
    <font>
      <sz val="11"/>
      <color theme="1"/>
      <name val="Calibri"/>
      <family val="2"/>
      <scheme val="minor"/>
    </font>
    <font>
      <sz val="11"/>
      <name val="Calibri"/>
      <family val="2"/>
      <scheme val="minor"/>
    </font>
    <font>
      <sz val="11"/>
      <color rgb="FF9C0006"/>
      <name val="Calibri"/>
      <family val="2"/>
      <scheme val="minor"/>
    </font>
    <font>
      <b/>
      <sz val="14"/>
      <color theme="1"/>
      <name val="Calibri"/>
      <family val="2"/>
      <scheme val="minor"/>
    </font>
    <font>
      <b/>
      <sz val="10"/>
      <color theme="1"/>
      <name val="Arial"/>
      <family val="2"/>
    </font>
    <font>
      <sz val="10"/>
      <color theme="1"/>
      <name val="Arial"/>
      <family val="2"/>
    </font>
    <font>
      <b/>
      <sz val="8"/>
      <color theme="1"/>
      <name val="Arial"/>
      <family val="2"/>
    </font>
    <font>
      <b/>
      <sz val="10"/>
      <color rgb="FF000000"/>
      <name val="Arial"/>
      <family val="2"/>
    </font>
    <font>
      <sz val="11"/>
      <color indexed="8"/>
      <name val="Calibri"/>
      <family val="2"/>
    </font>
    <font>
      <sz val="11"/>
      <color indexed="9"/>
      <name val="Calibri"/>
      <family val="2"/>
    </font>
    <font>
      <sz val="11"/>
      <color indexed="20"/>
      <name val="Calibri"/>
      <family val="2"/>
    </font>
    <font>
      <sz val="10"/>
      <color rgb="FF9C0006"/>
      <name val="Calibri"/>
      <family val="2"/>
      <scheme val="minor"/>
    </font>
    <font>
      <b/>
      <sz val="11"/>
      <color indexed="10"/>
      <name val="Calibri"/>
      <family val="2"/>
    </font>
    <font>
      <b/>
      <sz val="11"/>
      <color indexed="9"/>
      <name val="Calibri"/>
      <family val="2"/>
    </font>
    <font>
      <sz val="10"/>
      <color theme="1"/>
      <name val="Bitstream Vera Sans"/>
    </font>
    <font>
      <sz val="10"/>
      <color theme="1"/>
      <name val="Arial1"/>
    </font>
    <font>
      <i/>
      <sz val="11"/>
      <color indexed="23"/>
      <name val="Calibri"/>
      <family val="2"/>
    </font>
    <font>
      <sz val="11"/>
      <color indexed="17"/>
      <name val="Calibri"/>
      <family val="2"/>
    </font>
    <font>
      <b/>
      <i/>
      <sz val="16"/>
      <color theme="1"/>
      <name val="Arial1"/>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0"/>
      <name val="Calibri"/>
      <family val="2"/>
    </font>
    <font>
      <sz val="11"/>
      <color indexed="60"/>
      <name val="Calibri"/>
      <family val="2"/>
    </font>
    <font>
      <sz val="10"/>
      <name val="Courier"/>
      <family val="3"/>
    </font>
    <font>
      <sz val="11"/>
      <color theme="1"/>
      <name val="Arial1"/>
    </font>
    <font>
      <sz val="11"/>
      <name val="Arial"/>
      <family val="2"/>
    </font>
    <font>
      <sz val="10"/>
      <name val="Arial"/>
      <family val="2"/>
    </font>
    <font>
      <b/>
      <sz val="11"/>
      <color indexed="63"/>
      <name val="Calibri"/>
      <family val="2"/>
    </font>
    <font>
      <b/>
      <i/>
      <u/>
      <sz val="11"/>
      <color theme="1"/>
      <name val="Arial1"/>
    </font>
    <font>
      <b/>
      <sz val="10"/>
      <name val="Arial"/>
      <family val="2"/>
    </font>
    <font>
      <b/>
      <sz val="10"/>
      <color indexed="9"/>
      <name val="Arial"/>
      <family val="2"/>
    </font>
    <font>
      <sz val="10"/>
      <color indexed="23"/>
      <name val="Courier New"/>
      <family val="3"/>
    </font>
    <font>
      <sz val="10"/>
      <name val="Courier New"/>
      <family val="3"/>
    </font>
    <font>
      <sz val="10"/>
      <color indexed="23"/>
      <name val="Arial"/>
      <family val="2"/>
    </font>
    <font>
      <b/>
      <sz val="20"/>
      <color indexed="47"/>
      <name val="Arial"/>
      <family val="2"/>
    </font>
    <font>
      <b/>
      <sz val="10"/>
      <color indexed="47"/>
      <name val="Arial"/>
      <family val="2"/>
    </font>
    <font>
      <b/>
      <sz val="18"/>
      <color indexed="62"/>
      <name val="Cambria"/>
      <family val="2"/>
    </font>
    <font>
      <b/>
      <sz val="11"/>
      <color indexed="8"/>
      <name val="Calibri"/>
      <family val="2"/>
    </font>
    <font>
      <sz val="9"/>
      <color indexed="81"/>
      <name val="Tahoma"/>
      <family val="2"/>
    </font>
    <font>
      <sz val="8"/>
      <color theme="1"/>
      <name val="Arial"/>
      <family val="2"/>
    </font>
    <font>
      <b/>
      <sz val="14"/>
      <color theme="1"/>
      <name val="Arial"/>
      <family val="2"/>
    </font>
    <font>
      <b/>
      <sz val="12"/>
      <color theme="1"/>
      <name val="Arial"/>
      <family val="2"/>
    </font>
    <font>
      <sz val="10"/>
      <color rgb="FFFF0000"/>
      <name val="Arial"/>
      <family val="2"/>
    </font>
    <font>
      <b/>
      <sz val="10"/>
      <color theme="0"/>
      <name val="Arial"/>
      <family val="2"/>
    </font>
    <font>
      <i/>
      <sz val="10"/>
      <color theme="1"/>
      <name val="Arial"/>
      <family val="2"/>
    </font>
    <font>
      <sz val="11"/>
      <color indexed="81"/>
      <name val="Tahoma"/>
      <family val="2"/>
    </font>
    <font>
      <b/>
      <sz val="11"/>
      <color theme="0"/>
      <name val="Calibri"/>
      <family val="2"/>
    </font>
    <font>
      <sz val="10"/>
      <color rgb="FF000000"/>
      <name val="Calibri"/>
      <family val="2"/>
      <scheme val="minor"/>
    </font>
    <font>
      <b/>
      <sz val="10"/>
      <color theme="1"/>
      <name val="Calibri"/>
      <family val="2"/>
      <scheme val="minor"/>
    </font>
    <font>
      <sz val="10"/>
      <color theme="1"/>
      <name val="Calibri"/>
      <family val="2"/>
      <scheme val="minor"/>
    </font>
    <font>
      <sz val="10"/>
      <color rgb="FFA5A5A5"/>
      <name val="Calibri"/>
      <family val="2"/>
      <scheme val="minor"/>
    </font>
    <font>
      <b/>
      <sz val="12"/>
      <color theme="1"/>
      <name val="Calibri"/>
      <family val="2"/>
      <scheme val="minor"/>
    </font>
    <font>
      <sz val="11"/>
      <color theme="1"/>
      <name val="Calibri"/>
      <family val="2"/>
      <scheme val="minor"/>
    </font>
    <font>
      <sz val="11"/>
      <color rgb="FFFF0000"/>
      <name val="Calibri"/>
      <family val="2"/>
      <scheme val="minor"/>
    </font>
    <font>
      <sz val="12"/>
      <color theme="1"/>
      <name val="Calibri"/>
      <family val="2"/>
      <scheme val="minor"/>
    </font>
    <font>
      <sz val="12"/>
      <color theme="1"/>
      <name val="Arial"/>
      <family val="2"/>
    </font>
    <font>
      <sz val="14"/>
      <color theme="1"/>
      <name val="Arial"/>
      <family val="2"/>
    </font>
    <font>
      <b/>
      <sz val="11"/>
      <color theme="0"/>
      <name val="Symbol"/>
      <family val="1"/>
      <charset val="2"/>
    </font>
    <font>
      <b/>
      <sz val="9"/>
      <color indexed="81"/>
      <name val="Tahoma"/>
      <family val="2"/>
    </font>
    <font>
      <sz val="9"/>
      <name val="Calibri"/>
      <family val="3"/>
      <charset val="134"/>
      <scheme val="minor"/>
    </font>
  </fonts>
  <fills count="50">
    <fill>
      <patternFill patternType="none"/>
    </fill>
    <fill>
      <patternFill patternType="gray125"/>
    </fill>
    <fill>
      <patternFill patternType="solid">
        <fgColor theme="9"/>
        <bgColor theme="9"/>
      </patternFill>
    </fill>
    <fill>
      <patternFill patternType="solid">
        <fgColor theme="9" tint="0.59999389629810485"/>
        <bgColor theme="9" tint="0.59999389629810485"/>
      </patternFill>
    </fill>
    <fill>
      <patternFill patternType="solid">
        <fgColor theme="9" tint="0.79998168889431442"/>
        <bgColor theme="9" tint="0.79998168889431442"/>
      </patternFill>
    </fill>
    <fill>
      <patternFill patternType="solid">
        <fgColor rgb="FFFFC7CE"/>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rgb="FFFBD4B4"/>
        <bgColor indexed="64"/>
      </patternFill>
    </fill>
    <fill>
      <patternFill patternType="solid">
        <fgColor indexed="50"/>
      </patternFill>
    </fill>
    <fill>
      <patternFill patternType="solid">
        <fgColor indexed="49"/>
      </patternFill>
    </fill>
    <fill>
      <patternFill patternType="solid">
        <fgColor indexed="26"/>
      </patternFill>
    </fill>
    <fill>
      <patternFill patternType="solid">
        <fgColor indexed="27"/>
      </patternFill>
    </fill>
    <fill>
      <patternFill patternType="solid">
        <fgColor indexed="22"/>
      </patternFill>
    </fill>
    <fill>
      <patternFill patternType="solid">
        <fgColor indexed="29"/>
      </patternFill>
    </fill>
    <fill>
      <patternFill patternType="solid">
        <fgColor indexed="43"/>
      </patternFill>
    </fill>
    <fill>
      <patternFill patternType="solid">
        <fgColor indexed="44"/>
      </patternFill>
    </fill>
    <fill>
      <patternFill patternType="solid">
        <fgColor indexed="62"/>
      </patternFill>
    </fill>
    <fill>
      <patternFill patternType="solid">
        <fgColor indexed="10"/>
      </patternFill>
    </fill>
    <fill>
      <patternFill patternType="solid">
        <fgColor indexed="57"/>
      </patternFill>
    </fill>
    <fill>
      <patternFill patternType="solid">
        <fgColor indexed="23"/>
      </patternFill>
    </fill>
    <fill>
      <patternFill patternType="solid">
        <fgColor indexed="45"/>
      </patternFill>
    </fill>
    <fill>
      <patternFill patternType="solid">
        <fgColor indexed="9"/>
      </patternFill>
    </fill>
    <fill>
      <patternFill patternType="solid">
        <fgColor indexed="55"/>
      </patternFill>
    </fill>
    <fill>
      <patternFill patternType="solid">
        <fgColor indexed="42"/>
      </patternFill>
    </fill>
    <fill>
      <patternFill patternType="solid">
        <fgColor indexed="47"/>
      </patternFill>
    </fill>
    <fill>
      <patternFill patternType="lightUp">
        <fgColor indexed="22"/>
      </patternFill>
    </fill>
    <fill>
      <patternFill patternType="solid">
        <fgColor indexed="48"/>
      </patternFill>
    </fill>
    <fill>
      <patternFill patternType="solid">
        <fgColor theme="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3" tint="0.39997558519241921"/>
        <bgColor indexed="64"/>
      </patternFill>
    </fill>
    <fill>
      <patternFill patternType="solid">
        <fgColor rgb="FF00B050"/>
        <bgColor indexed="64"/>
      </patternFill>
    </fill>
    <fill>
      <patternFill patternType="solid">
        <fgColor rgb="FFFF9933"/>
        <bgColor indexed="64"/>
      </patternFill>
    </fill>
    <fill>
      <patternFill patternType="solid">
        <fgColor rgb="FFFF0000"/>
        <bgColor indexed="64"/>
      </patternFill>
    </fill>
    <fill>
      <patternFill patternType="solid">
        <fgColor theme="0" tint="-0.14999847407452621"/>
        <bgColor theme="9"/>
      </patternFill>
    </fill>
    <fill>
      <patternFill patternType="solid">
        <fgColor theme="9" tint="0.79998168889431442"/>
        <bgColor indexed="64"/>
      </patternFill>
    </fill>
    <fill>
      <patternFill patternType="solid">
        <fgColor theme="9"/>
        <bgColor indexed="64"/>
      </patternFill>
    </fill>
  </fills>
  <borders count="70">
    <border>
      <left/>
      <right/>
      <top/>
      <bottom/>
      <diagonal/>
    </border>
    <border>
      <left/>
      <right style="thin">
        <color theme="0"/>
      </right>
      <top/>
      <bottom/>
      <diagonal/>
    </border>
    <border>
      <left/>
      <right style="thin">
        <color theme="0"/>
      </right>
      <top/>
      <bottom style="thick">
        <color theme="0"/>
      </bottom>
      <diagonal/>
    </border>
    <border>
      <left/>
      <right style="thin">
        <color theme="0"/>
      </right>
      <top style="thin">
        <color theme="0"/>
      </top>
      <bottom style="thin">
        <color theme="0"/>
      </bottom>
      <diagonal/>
    </border>
    <border>
      <left/>
      <right style="thin">
        <color theme="0"/>
      </right>
      <top/>
      <bottom style="thin">
        <color theme="0"/>
      </bottom>
      <diagonal/>
    </border>
    <border>
      <left style="thin">
        <color rgb="FFB2B2B2"/>
      </left>
      <right style="thin">
        <color rgb="FFB2B2B2"/>
      </right>
      <top style="thin">
        <color rgb="FFB2B2B2"/>
      </top>
      <bottom style="thin">
        <color rgb="FFB2B2B2"/>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22"/>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medium">
        <color indexed="9"/>
      </left>
      <right style="medium">
        <color indexed="9"/>
      </right>
      <top style="medium">
        <color indexed="9"/>
      </top>
      <bottom style="medium">
        <color indexed="9"/>
      </bottom>
      <diagonal/>
    </border>
    <border>
      <left/>
      <right style="hair">
        <color indexed="23"/>
      </right>
      <top/>
      <bottom/>
      <diagonal/>
    </border>
    <border>
      <left/>
      <right/>
      <top style="thin">
        <color indexed="62"/>
      </top>
      <bottom style="double">
        <color indexed="62"/>
      </bottom>
      <diagonal/>
    </border>
    <border>
      <left/>
      <right/>
      <top/>
      <bottom style="thick">
        <color theme="0"/>
      </bottom>
      <diagonal/>
    </border>
    <border>
      <left/>
      <right/>
      <top/>
      <bottom style="thin">
        <color theme="0"/>
      </bottom>
      <diagonal/>
    </border>
    <border>
      <left/>
      <right style="thin">
        <color theme="0"/>
      </right>
      <top style="thick">
        <color theme="0"/>
      </top>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s>
  <cellStyleXfs count="7181">
    <xf numFmtId="0" fontId="0" fillId="0" borderId="0"/>
    <xf numFmtId="0" fontId="8" fillId="7" borderId="0" applyNumberFormat="0" applyBorder="0" applyAlignment="0" applyProtection="0"/>
    <xf numFmtId="0" fontId="8" fillId="7" borderId="0" applyNumberFormat="0" applyBorder="0" applyAlignment="0" applyProtection="0"/>
    <xf numFmtId="0" fontId="16" fillId="20"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16" fillId="20"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16" fillId="20"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16" fillId="21"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16" fillId="21"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16" fillId="21"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16" fillId="22"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16" fillId="22"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16" fillId="22"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16" fillId="20"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16" fillId="20"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16" fillId="20"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16" fillId="23"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16" fillId="23"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16" fillId="23"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16" fillId="21"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16" fillId="21"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16" fillId="21"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16" fillId="24"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16" fillId="24"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16" fillId="24"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16" fillId="25"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16" fillId="25"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16" fillId="25"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16" fillId="26"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16" fillId="26"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16" fillId="26"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16" fillId="2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16" fillId="2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16" fillId="2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16" fillId="27"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16" fillId="27"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16" fillId="27"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16" fillId="21"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16" fillId="21"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16" fillId="21"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7" fillId="26" borderId="0" applyNumberFormat="0" applyBorder="0" applyAlignment="0" applyProtection="0"/>
    <xf numFmtId="0" fontId="17" fillId="24" borderId="0" applyNumberFormat="0" applyBorder="0" applyAlignment="0" applyProtection="0"/>
    <xf numFmtId="0" fontId="17" fillId="27" borderId="0" applyNumberFormat="0" applyBorder="0" applyAlignment="0" applyProtection="0"/>
    <xf numFmtId="0" fontId="17" fillId="25"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7" fillId="30" borderId="0" applyNumberFormat="0" applyBorder="0" applyAlignment="0" applyProtection="0"/>
    <xf numFmtId="0" fontId="17" fillId="31" borderId="0" applyNumberFormat="0" applyBorder="0" applyAlignment="0" applyProtection="0"/>
    <xf numFmtId="0" fontId="17" fillId="30" borderId="0" applyNumberFormat="0" applyBorder="0" applyAlignment="0" applyProtection="0"/>
    <xf numFmtId="0" fontId="17" fillId="29" borderId="0" applyNumberFormat="0" applyBorder="0" applyAlignment="0" applyProtection="0"/>
    <xf numFmtId="0" fontId="18" fillId="32" borderId="0" applyNumberFormat="0" applyBorder="0" applyAlignment="0" applyProtection="0"/>
    <xf numFmtId="0" fontId="19" fillId="5" borderId="0" applyNumberFormat="0" applyBorder="0" applyAlignment="0" applyProtection="0"/>
    <xf numFmtId="0" fontId="18" fillId="32" borderId="0" applyNumberFormat="0" applyBorder="0" applyAlignment="0" applyProtection="0"/>
    <xf numFmtId="0" fontId="10" fillId="5" borderId="0" applyNumberFormat="0" applyBorder="0" applyAlignment="0" applyProtection="0"/>
    <xf numFmtId="0" fontId="20" fillId="33" borderId="19" applyNumberFormat="0" applyAlignment="0" applyProtection="0"/>
    <xf numFmtId="0" fontId="21" fillId="34" borderId="20" applyNumberFormat="0" applyAlignment="0" applyProtection="0"/>
    <xf numFmtId="0" fontId="22" fillId="0" borderId="0"/>
    <xf numFmtId="9" fontId="23" fillId="0" borderId="0"/>
    <xf numFmtId="0" fontId="24" fillId="0" borderId="0" applyNumberFormat="0" applyFill="0" applyBorder="0" applyAlignment="0" applyProtection="0"/>
    <xf numFmtId="0" fontId="25" fillId="35" borderId="0" applyNumberFormat="0" applyBorder="0" applyAlignment="0" applyProtection="0"/>
    <xf numFmtId="0" fontId="26" fillId="0" borderId="0">
      <alignment horizontal="center"/>
    </xf>
    <xf numFmtId="0" fontId="27" fillId="0" borderId="21" applyNumberFormat="0" applyFill="0" applyAlignment="0" applyProtection="0"/>
    <xf numFmtId="0" fontId="28" fillId="0" borderId="22" applyNumberFormat="0" applyFill="0" applyAlignment="0" applyProtection="0"/>
    <xf numFmtId="0" fontId="29" fillId="0" borderId="23" applyNumberFormat="0" applyFill="0" applyAlignment="0" applyProtection="0"/>
    <xf numFmtId="0" fontId="29" fillId="0" borderId="0" applyNumberFormat="0" applyFill="0" applyBorder="0" applyAlignment="0" applyProtection="0"/>
    <xf numFmtId="0" fontId="26" fillId="0" borderId="0">
      <alignment horizontal="center" textRotation="90"/>
    </xf>
    <xf numFmtId="0" fontId="30" fillId="26" borderId="19" applyNumberFormat="0" applyAlignment="0" applyProtection="0"/>
    <xf numFmtId="0" fontId="31" fillId="0" borderId="24" applyNumberFormat="0" applyFill="0" applyAlignment="0" applyProtection="0"/>
    <xf numFmtId="0" fontId="32" fillId="26" borderId="0" applyNumberFormat="0" applyBorder="0" applyAlignment="0" applyProtection="0"/>
    <xf numFmtId="0" fontId="16" fillId="0" borderId="0"/>
    <xf numFmtId="0" fontId="16" fillId="0" borderId="0"/>
    <xf numFmtId="0" fontId="1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6" fillId="0" borderId="0"/>
    <xf numFmtId="0" fontId="16" fillId="0" borderId="0"/>
    <xf numFmtId="0" fontId="1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6" fillId="0" borderId="0"/>
    <xf numFmtId="0" fontId="16" fillId="0" borderId="0"/>
    <xf numFmtId="0" fontId="1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3" fillId="0" borderId="0"/>
    <xf numFmtId="0" fontId="33" fillId="0" borderId="0"/>
    <xf numFmtId="0" fontId="3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3" fillId="0" borderId="0"/>
    <xf numFmtId="0" fontId="33" fillId="0" borderId="0"/>
    <xf numFmtId="0" fontId="33" fillId="0" borderId="0"/>
    <xf numFmtId="0" fontId="16" fillId="0" borderId="0"/>
    <xf numFmtId="0" fontId="16" fillId="0" borderId="0"/>
    <xf numFmtId="0" fontId="16"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16" fillId="0" borderId="0"/>
    <xf numFmtId="0" fontId="16" fillId="0" borderId="0"/>
    <xf numFmtId="0" fontId="16"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8" fillId="0" borderId="0"/>
    <xf numFmtId="0" fontId="16" fillId="0" borderId="0"/>
    <xf numFmtId="0" fontId="16" fillId="0" borderId="0"/>
    <xf numFmtId="0" fontId="16" fillId="0" borderId="0"/>
    <xf numFmtId="0" fontId="8" fillId="0" borderId="0"/>
    <xf numFmtId="0" fontId="8" fillId="0" borderId="0"/>
    <xf numFmtId="0" fontId="33" fillId="0" borderId="0"/>
    <xf numFmtId="0" fontId="33" fillId="0" borderId="0"/>
    <xf numFmtId="0" fontId="33" fillId="0" borderId="0"/>
    <xf numFmtId="0" fontId="33" fillId="0" borderId="0"/>
    <xf numFmtId="0" fontId="33" fillId="0" borderId="0"/>
    <xf numFmtId="0" fontId="33" fillId="0" borderId="0"/>
    <xf numFmtId="0" fontId="34" fillId="0" borderId="0"/>
    <xf numFmtId="0" fontId="35" fillId="0" borderId="0"/>
    <xf numFmtId="0" fontId="16" fillId="0" borderId="0"/>
    <xf numFmtId="0" fontId="16" fillId="0" borderId="0"/>
    <xf numFmtId="0" fontId="16" fillId="0" borderId="0"/>
    <xf numFmtId="0" fontId="3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3" fillId="0" borderId="0"/>
    <xf numFmtId="0" fontId="36" fillId="0" borderId="0"/>
    <xf numFmtId="0" fontId="36" fillId="0" borderId="0"/>
    <xf numFmtId="0" fontId="3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6" fillId="0" borderId="0"/>
    <xf numFmtId="0" fontId="36" fillId="0" borderId="0"/>
    <xf numFmtId="0" fontId="3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6" fillId="0" borderId="0"/>
    <xf numFmtId="0" fontId="36" fillId="0" borderId="0"/>
    <xf numFmtId="0" fontId="36" fillId="0" borderId="0"/>
    <xf numFmtId="0" fontId="33" fillId="0" borderId="0"/>
    <xf numFmtId="0" fontId="8" fillId="0" borderId="0"/>
    <xf numFmtId="0" fontId="8" fillId="0" borderId="0"/>
    <xf numFmtId="0" fontId="8" fillId="0" borderId="0"/>
    <xf numFmtId="0" fontId="8"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3" fillId="0" borderId="0"/>
    <xf numFmtId="0" fontId="36" fillId="0" borderId="0"/>
    <xf numFmtId="0" fontId="33"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3" fillId="0" borderId="0"/>
    <xf numFmtId="0" fontId="33" fillId="0" borderId="0"/>
    <xf numFmtId="0" fontId="33" fillId="0" borderId="0"/>
    <xf numFmtId="0" fontId="8" fillId="0" borderId="0"/>
    <xf numFmtId="0" fontId="8" fillId="0" borderId="0"/>
    <xf numFmtId="0" fontId="8" fillId="0" borderId="0"/>
    <xf numFmtId="0" fontId="8" fillId="0" borderId="0"/>
    <xf numFmtId="0" fontId="36" fillId="0" borderId="0"/>
    <xf numFmtId="0" fontId="36" fillId="0" borderId="0"/>
    <xf numFmtId="0" fontId="3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3" fillId="0" borderId="0"/>
    <xf numFmtId="0" fontId="3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6" fillId="0" borderId="0"/>
    <xf numFmtId="0" fontId="36" fillId="0" borderId="0"/>
    <xf numFmtId="0" fontId="3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6" fillId="0" borderId="0"/>
    <xf numFmtId="0" fontId="36" fillId="0" borderId="0"/>
    <xf numFmtId="0" fontId="3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6" fillId="0" borderId="0"/>
    <xf numFmtId="0" fontId="36" fillId="0" borderId="0"/>
    <xf numFmtId="0" fontId="3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3" fillId="0" borderId="0"/>
    <xf numFmtId="0" fontId="1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6" fillId="0" borderId="0"/>
    <xf numFmtId="0" fontId="1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3" fillId="0" borderId="0"/>
    <xf numFmtId="0" fontId="1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6" fillId="0" borderId="0"/>
    <xf numFmtId="0" fontId="1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6" fillId="0" borderId="0"/>
    <xf numFmtId="0" fontId="1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6" fillId="0" borderId="0"/>
    <xf numFmtId="0" fontId="16" fillId="0" borderId="0"/>
    <xf numFmtId="0" fontId="8" fillId="0" borderId="0"/>
    <xf numFmtId="0" fontId="8" fillId="0" borderId="0"/>
    <xf numFmtId="0" fontId="1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6" fillId="0" borderId="0"/>
    <xf numFmtId="0" fontId="16" fillId="0" borderId="0"/>
    <xf numFmtId="0" fontId="33" fillId="0" borderId="0"/>
    <xf numFmtId="0" fontId="1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6" fillId="22" borderId="25" applyNumberFormat="0" applyFont="0" applyAlignment="0" applyProtection="0"/>
    <xf numFmtId="0" fontId="16" fillId="6" borderId="5" applyNumberFormat="0" applyFont="0" applyAlignment="0" applyProtection="0"/>
    <xf numFmtId="0" fontId="36" fillId="22" borderId="25" applyNumberFormat="0" applyFont="0" applyAlignment="0" applyProtection="0"/>
    <xf numFmtId="0" fontId="36" fillId="22" borderId="25" applyNumberFormat="0" applyFont="0" applyAlignment="0" applyProtection="0"/>
    <xf numFmtId="0" fontId="8" fillId="6" borderId="5" applyNumberFormat="0" applyFont="0" applyAlignment="0" applyProtection="0"/>
    <xf numFmtId="0" fontId="8" fillId="6" borderId="5" applyNumberFormat="0" applyFont="0" applyAlignment="0" applyProtection="0"/>
    <xf numFmtId="0" fontId="8" fillId="6" borderId="5" applyNumberFormat="0" applyFont="0" applyAlignment="0" applyProtection="0"/>
    <xf numFmtId="0" fontId="8" fillId="6" borderId="5" applyNumberFormat="0" applyFont="0" applyAlignment="0" applyProtection="0"/>
    <xf numFmtId="0" fontId="8" fillId="6" borderId="5" applyNumberFormat="0" applyFont="0" applyAlignment="0" applyProtection="0"/>
    <xf numFmtId="0" fontId="8" fillId="6" borderId="5" applyNumberFormat="0" applyFont="0" applyAlignment="0" applyProtection="0"/>
    <xf numFmtId="0" fontId="8" fillId="6" borderId="5" applyNumberFormat="0" applyFont="0" applyAlignment="0" applyProtection="0"/>
    <xf numFmtId="0" fontId="8" fillId="6" borderId="5" applyNumberFormat="0" applyFont="0" applyAlignment="0" applyProtection="0"/>
    <xf numFmtId="0" fontId="8" fillId="6" borderId="5" applyNumberFormat="0" applyFont="0" applyAlignment="0" applyProtection="0"/>
    <xf numFmtId="0" fontId="8" fillId="6" borderId="5" applyNumberFormat="0" applyFont="0" applyAlignment="0" applyProtection="0"/>
    <xf numFmtId="0" fontId="8" fillId="6" borderId="5" applyNumberFormat="0" applyFont="0" applyAlignment="0" applyProtection="0"/>
    <xf numFmtId="0" fontId="8" fillId="6" borderId="5" applyNumberFormat="0" applyFont="0" applyAlignment="0" applyProtection="0"/>
    <xf numFmtId="0" fontId="8" fillId="6" borderId="5" applyNumberFormat="0" applyFont="0" applyAlignment="0" applyProtection="0"/>
    <xf numFmtId="0" fontId="8" fillId="6" borderId="5" applyNumberFormat="0" applyFont="0" applyAlignment="0" applyProtection="0"/>
    <xf numFmtId="0" fontId="8" fillId="6" borderId="5" applyNumberFormat="0" applyFont="0" applyAlignment="0" applyProtection="0"/>
    <xf numFmtId="0" fontId="8" fillId="6" borderId="5" applyNumberFormat="0" applyFont="0" applyAlignment="0" applyProtection="0"/>
    <xf numFmtId="0" fontId="8" fillId="6" borderId="5" applyNumberFormat="0" applyFont="0" applyAlignment="0" applyProtection="0"/>
    <xf numFmtId="0" fontId="8" fillId="6" borderId="5" applyNumberFormat="0" applyFont="0" applyAlignment="0" applyProtection="0"/>
    <xf numFmtId="0" fontId="8" fillId="6" borderId="5" applyNumberFormat="0" applyFont="0" applyAlignment="0" applyProtection="0"/>
    <xf numFmtId="0" fontId="8" fillId="6" borderId="5" applyNumberFormat="0" applyFont="0" applyAlignment="0" applyProtection="0"/>
    <xf numFmtId="0" fontId="8" fillId="6" borderId="5" applyNumberFormat="0" applyFont="0" applyAlignment="0" applyProtection="0"/>
    <xf numFmtId="0" fontId="8" fillId="6" borderId="5" applyNumberFormat="0" applyFont="0" applyAlignment="0" applyProtection="0"/>
    <xf numFmtId="0" fontId="8" fillId="6" borderId="5" applyNumberFormat="0" applyFont="0" applyAlignment="0" applyProtection="0"/>
    <xf numFmtId="0" fontId="8" fillId="6" borderId="5" applyNumberFormat="0" applyFont="0" applyAlignment="0" applyProtection="0"/>
    <xf numFmtId="0" fontId="36" fillId="22" borderId="25" applyNumberFormat="0" applyFont="0" applyAlignment="0" applyProtection="0"/>
    <xf numFmtId="0" fontId="8" fillId="6" borderId="5" applyNumberFormat="0" applyFont="0" applyAlignment="0" applyProtection="0"/>
    <xf numFmtId="0" fontId="8" fillId="6" borderId="5" applyNumberFormat="0" applyFont="0" applyAlignment="0" applyProtection="0"/>
    <xf numFmtId="0" fontId="8" fillId="6" borderId="5" applyNumberFormat="0" applyFont="0" applyAlignment="0" applyProtection="0"/>
    <xf numFmtId="0" fontId="8" fillId="6" borderId="5" applyNumberFormat="0" applyFont="0" applyAlignment="0" applyProtection="0"/>
    <xf numFmtId="0" fontId="8" fillId="6" borderId="5" applyNumberFormat="0" applyFont="0" applyAlignment="0" applyProtection="0"/>
    <xf numFmtId="0" fontId="8" fillId="6" borderId="5" applyNumberFormat="0" applyFont="0" applyAlignment="0" applyProtection="0"/>
    <xf numFmtId="0" fontId="8" fillId="6" borderId="5" applyNumberFormat="0" applyFont="0" applyAlignment="0" applyProtection="0"/>
    <xf numFmtId="0" fontId="8" fillId="6" borderId="5" applyNumberFormat="0" applyFont="0" applyAlignment="0" applyProtection="0"/>
    <xf numFmtId="0" fontId="8" fillId="6" borderId="5" applyNumberFormat="0" applyFont="0" applyAlignment="0" applyProtection="0"/>
    <xf numFmtId="0" fontId="8" fillId="6" borderId="5" applyNumberFormat="0" applyFont="0" applyAlignment="0" applyProtection="0"/>
    <xf numFmtId="0" fontId="8" fillId="6" borderId="5" applyNumberFormat="0" applyFont="0" applyAlignment="0" applyProtection="0"/>
    <xf numFmtId="0" fontId="8" fillId="6" borderId="5" applyNumberFormat="0" applyFont="0" applyAlignment="0" applyProtection="0"/>
    <xf numFmtId="0" fontId="8" fillId="6" borderId="5" applyNumberFormat="0" applyFont="0" applyAlignment="0" applyProtection="0"/>
    <xf numFmtId="0" fontId="8" fillId="6" borderId="5" applyNumberFormat="0" applyFont="0" applyAlignment="0" applyProtection="0"/>
    <xf numFmtId="0" fontId="8" fillId="6" borderId="5" applyNumberFormat="0" applyFont="0" applyAlignment="0" applyProtection="0"/>
    <xf numFmtId="0" fontId="8" fillId="6" borderId="5" applyNumberFormat="0" applyFont="0" applyAlignment="0" applyProtection="0"/>
    <xf numFmtId="0" fontId="37" fillId="33" borderId="26" applyNumberFormat="0" applyAlignment="0" applyProtection="0"/>
    <xf numFmtId="9" fontId="16" fillId="0" borderId="0" applyFont="0" applyFill="0" applyBorder="0" applyAlignment="0" applyProtection="0"/>
    <xf numFmtId="0" fontId="38" fillId="0" borderId="0"/>
    <xf numFmtId="167" fontId="38" fillId="0" borderId="0"/>
    <xf numFmtId="49" fontId="39" fillId="24" borderId="27"/>
    <xf numFmtId="49" fontId="39" fillId="24" borderId="27"/>
    <xf numFmtId="49" fontId="39" fillId="24" borderId="27"/>
    <xf numFmtId="49" fontId="40" fillId="36" borderId="27"/>
    <xf numFmtId="168" fontId="41" fillId="37" borderId="28"/>
    <xf numFmtId="168" fontId="42" fillId="0" borderId="28"/>
    <xf numFmtId="168" fontId="36" fillId="21" borderId="28"/>
    <xf numFmtId="0" fontId="43" fillId="33" borderId="28"/>
    <xf numFmtId="0" fontId="39" fillId="0" borderId="28"/>
    <xf numFmtId="0" fontId="36" fillId="0" borderId="28"/>
    <xf numFmtId="0" fontId="43" fillId="20" borderId="28"/>
    <xf numFmtId="168" fontId="41" fillId="20" borderId="28"/>
    <xf numFmtId="49" fontId="36" fillId="0" borderId="28"/>
    <xf numFmtId="49" fontId="43" fillId="37" borderId="28"/>
    <xf numFmtId="0" fontId="44" fillId="38" borderId="0"/>
    <xf numFmtId="0" fontId="45" fillId="38" borderId="0"/>
    <xf numFmtId="0" fontId="46" fillId="0" borderId="0" applyNumberFormat="0" applyFill="0" applyBorder="0" applyAlignment="0" applyProtection="0"/>
    <xf numFmtId="0" fontId="47" fillId="0" borderId="29" applyNumberFormat="0" applyFill="0" applyAlignment="0" applyProtection="0"/>
    <xf numFmtId="0" fontId="31" fillId="0" borderId="0" applyNumberFormat="0" applyFill="0" applyBorder="0" applyAlignment="0" applyProtection="0"/>
  </cellStyleXfs>
  <cellXfs count="401">
    <xf numFmtId="0" fontId="0" fillId="0" borderId="0" xfId="0"/>
    <xf numFmtId="0" fontId="0" fillId="0" borderId="0" xfId="0" applyAlignment="1" applyProtection="1">
      <alignment vertical="center" wrapText="1"/>
      <protection hidden="1"/>
    </xf>
    <xf numFmtId="2" fontId="0" fillId="0" borderId="0" xfId="0" applyNumberFormat="1" applyAlignment="1" applyProtection="1">
      <alignment horizontal="center" vertical="center" wrapText="1"/>
      <protection hidden="1"/>
    </xf>
    <xf numFmtId="0" fontId="0" fillId="0" borderId="0" xfId="0" applyAlignment="1" applyProtection="1">
      <alignment horizontal="center" vertical="center" wrapText="1"/>
      <protection hidden="1"/>
    </xf>
    <xf numFmtId="9" fontId="0" fillId="0" borderId="0" xfId="0" applyNumberFormat="1" applyAlignment="1" applyProtection="1">
      <alignment horizontal="center" vertical="center" wrapText="1"/>
      <protection hidden="1"/>
    </xf>
    <xf numFmtId="0" fontId="0" fillId="0" borderId="0" xfId="0" applyBorder="1" applyAlignment="1" applyProtection="1">
      <alignment horizontal="center" vertical="center" wrapText="1"/>
      <protection hidden="1"/>
    </xf>
    <xf numFmtId="0" fontId="0" fillId="0" borderId="0" xfId="0" applyAlignment="1" applyProtection="1">
      <alignment horizontal="left" vertical="center" wrapText="1"/>
      <protection hidden="1"/>
    </xf>
    <xf numFmtId="0" fontId="1" fillId="0" borderId="0" xfId="0" applyFont="1" applyBorder="1" applyAlignment="1" applyProtection="1">
      <alignment horizontal="center" vertical="center" wrapText="1"/>
      <protection hidden="1"/>
    </xf>
    <xf numFmtId="0" fontId="3" fillId="0" borderId="0" xfId="0" applyFont="1" applyBorder="1" applyAlignment="1" applyProtection="1">
      <alignment horizontal="center" vertical="center" wrapText="1"/>
      <protection hidden="1"/>
    </xf>
    <xf numFmtId="0" fontId="0" fillId="0" borderId="0" xfId="0" applyBorder="1" applyAlignment="1" applyProtection="1">
      <alignment horizontal="left" vertical="center" wrapText="1"/>
      <protection hidden="1"/>
    </xf>
    <xf numFmtId="9" fontId="3" fillId="0" borderId="0" xfId="0" applyNumberFormat="1" applyFont="1" applyAlignment="1" applyProtection="1">
      <alignment horizontal="center" vertical="center" wrapText="1"/>
      <protection hidden="1"/>
    </xf>
    <xf numFmtId="0" fontId="0" fillId="0" borderId="0" xfId="0" applyAlignment="1" applyProtection="1">
      <alignment horizontal="center" vertical="center" wrapText="1"/>
    </xf>
    <xf numFmtId="0" fontId="0" fillId="0" borderId="0" xfId="0" applyAlignment="1" applyProtection="1">
      <alignment vertical="center" wrapText="1"/>
    </xf>
    <xf numFmtId="164" fontId="0" fillId="0" borderId="0" xfId="0" applyNumberFormat="1" applyAlignment="1" applyProtection="1">
      <alignment horizontal="center" vertical="center" wrapText="1"/>
    </xf>
    <xf numFmtId="0" fontId="6" fillId="2" borderId="2" xfId="0" applyFont="1" applyFill="1" applyBorder="1" applyAlignment="1" applyProtection="1">
      <alignment horizontal="center" vertical="center" wrapText="1"/>
    </xf>
    <xf numFmtId="0" fontId="6" fillId="2" borderId="1" xfId="0" applyFont="1" applyFill="1" applyBorder="1" applyAlignment="1" applyProtection="1">
      <alignment horizontal="center" vertical="center" wrapText="1"/>
    </xf>
    <xf numFmtId="9" fontId="0" fillId="0" borderId="0" xfId="0" applyNumberFormat="1" applyAlignment="1" applyProtection="1">
      <alignment horizontal="center" vertical="center" wrapText="1"/>
    </xf>
    <xf numFmtId="166" fontId="0" fillId="0" borderId="0" xfId="0" applyNumberFormat="1" applyAlignment="1" applyProtection="1">
      <alignment horizontal="center" vertical="center" wrapText="1"/>
    </xf>
    <xf numFmtId="0" fontId="0" fillId="3" borderId="3" xfId="0" applyFont="1" applyFill="1" applyBorder="1" applyAlignment="1" applyProtection="1">
      <alignment horizontal="center" vertical="center" wrapText="1"/>
    </xf>
    <xf numFmtId="0" fontId="0" fillId="0" borderId="0" xfId="0" applyFont="1" applyBorder="1" applyAlignment="1" applyProtection="1">
      <alignment horizontal="left" vertical="center" wrapText="1"/>
    </xf>
    <xf numFmtId="0" fontId="0" fillId="0" borderId="0" xfId="0" applyNumberFormat="1" applyAlignment="1" applyProtection="1">
      <alignment vertical="center" wrapText="1"/>
    </xf>
    <xf numFmtId="0" fontId="0" fillId="0" borderId="0" xfId="0" applyNumberFormat="1" applyAlignment="1" applyProtection="1">
      <alignment horizontal="center" vertical="center" wrapText="1"/>
    </xf>
    <xf numFmtId="165" fontId="0" fillId="0" borderId="0" xfId="0" applyNumberFormat="1" applyAlignment="1" applyProtection="1">
      <alignment horizontal="center" vertical="center" wrapText="1"/>
    </xf>
    <xf numFmtId="0" fontId="0" fillId="4" borderId="4" xfId="0" applyFont="1" applyFill="1" applyBorder="1" applyAlignment="1" applyProtection="1">
      <alignment horizontal="center" vertical="center" wrapText="1"/>
    </xf>
    <xf numFmtId="0" fontId="5" fillId="0" borderId="0" xfId="0" applyNumberFormat="1" applyFont="1" applyAlignment="1" applyProtection="1">
      <alignment horizontal="center" vertical="center" wrapText="1"/>
    </xf>
    <xf numFmtId="0" fontId="0" fillId="0" borderId="0" xfId="0" applyBorder="1" applyAlignment="1" applyProtection="1">
      <alignment horizontal="center" vertical="center" wrapText="1"/>
    </xf>
    <xf numFmtId="0" fontId="0" fillId="0" borderId="0" xfId="0" applyNumberFormat="1" applyBorder="1" applyAlignment="1" applyProtection="1">
      <alignment vertical="center" wrapText="1"/>
    </xf>
    <xf numFmtId="0" fontId="0" fillId="0" borderId="0" xfId="0" applyNumberFormat="1" applyBorder="1" applyAlignment="1" applyProtection="1">
      <alignment horizontal="center" vertical="center" wrapText="1"/>
    </xf>
    <xf numFmtId="9" fontId="0" fillId="0" borderId="0" xfId="0" applyNumberFormat="1" applyBorder="1" applyAlignment="1" applyProtection="1">
      <alignment horizontal="center" vertical="center" wrapText="1"/>
    </xf>
    <xf numFmtId="165" fontId="0" fillId="0" borderId="0" xfId="0" applyNumberFormat="1" applyBorder="1" applyAlignment="1" applyProtection="1">
      <alignment horizontal="center" vertical="center" wrapText="1"/>
    </xf>
    <xf numFmtId="0" fontId="0" fillId="0" borderId="0" xfId="0" applyFont="1" applyAlignment="1" applyProtection="1">
      <alignment horizontal="left" vertical="center" wrapText="1"/>
    </xf>
    <xf numFmtId="0" fontId="5" fillId="0" borderId="0" xfId="0" applyFont="1" applyAlignment="1" applyProtection="1">
      <alignment vertical="center" wrapText="1"/>
    </xf>
    <xf numFmtId="164" fontId="0" fillId="0" borderId="0" xfId="0" applyNumberFormat="1" applyBorder="1" applyAlignment="1" applyProtection="1">
      <alignment horizontal="center" vertical="center" wrapText="1"/>
    </xf>
    <xf numFmtId="0" fontId="0" fillId="0" borderId="0" xfId="0" applyBorder="1" applyAlignment="1" applyProtection="1">
      <alignment horizontal="left" vertical="center" wrapText="1"/>
    </xf>
    <xf numFmtId="0" fontId="9" fillId="0" borderId="0" xfId="0" applyFont="1" applyAlignment="1" applyProtection="1">
      <alignment vertical="center" wrapText="1"/>
    </xf>
    <xf numFmtId="0" fontId="8" fillId="0" borderId="0" xfId="0" applyFont="1" applyAlignment="1" applyProtection="1">
      <alignment horizontal="left" vertical="center" wrapText="1"/>
    </xf>
    <xf numFmtId="0" fontId="11" fillId="0" borderId="0" xfId="0" applyFont="1" applyAlignment="1">
      <alignment vertical="center"/>
    </xf>
    <xf numFmtId="0" fontId="0" fillId="0" borderId="0" xfId="0" applyAlignment="1">
      <alignment horizontal="left" vertical="center"/>
    </xf>
    <xf numFmtId="0" fontId="12" fillId="0" borderId="0" xfId="0" applyFont="1" applyAlignment="1">
      <alignment horizontal="left" vertical="center"/>
    </xf>
    <xf numFmtId="0" fontId="13" fillId="0" borderId="0" xfId="0" applyFont="1" applyAlignment="1">
      <alignment horizontal="left" vertical="center"/>
    </xf>
    <xf numFmtId="0" fontId="15" fillId="0" borderId="0" xfId="0" applyFont="1" applyAlignment="1">
      <alignment horizontal="left" vertical="center"/>
    </xf>
    <xf numFmtId="0" fontId="53" fillId="2" borderId="2" xfId="0" applyFont="1" applyFill="1" applyBorder="1" applyAlignment="1">
      <alignment horizontal="center" vertical="center" wrapText="1"/>
    </xf>
    <xf numFmtId="0" fontId="53" fillId="2" borderId="2" xfId="0" applyNumberFormat="1" applyFont="1" applyFill="1" applyBorder="1" applyAlignment="1">
      <alignment horizontal="center" vertical="center" wrapText="1"/>
    </xf>
    <xf numFmtId="0" fontId="53" fillId="2" borderId="30" xfId="0" applyFont="1" applyFill="1" applyBorder="1" applyAlignment="1">
      <alignment horizontal="center" vertical="center" wrapText="1"/>
    </xf>
    <xf numFmtId="164" fontId="13" fillId="3" borderId="4" xfId="0" applyNumberFormat="1" applyFont="1" applyFill="1" applyBorder="1" applyAlignment="1">
      <alignment horizontal="center" vertical="center" wrapText="1"/>
    </xf>
    <xf numFmtId="0" fontId="13" fillId="3" borderId="4" xfId="0" applyNumberFormat="1" applyFont="1" applyFill="1" applyBorder="1" applyAlignment="1">
      <alignment horizontal="center" vertical="center" wrapText="1"/>
    </xf>
    <xf numFmtId="2" fontId="13" fillId="3" borderId="4" xfId="0" applyNumberFormat="1" applyFont="1" applyFill="1" applyBorder="1" applyAlignment="1">
      <alignment horizontal="center" vertical="center" wrapText="1"/>
    </xf>
    <xf numFmtId="2" fontId="13" fillId="3" borderId="31" xfId="0" applyNumberFormat="1" applyFont="1" applyFill="1" applyBorder="1" applyAlignment="1">
      <alignment horizontal="center" vertical="center" wrapText="1"/>
    </xf>
    <xf numFmtId="0" fontId="13" fillId="3" borderId="4" xfId="0" applyFont="1" applyFill="1" applyBorder="1" applyAlignment="1">
      <alignment horizontal="center" vertical="center" wrapText="1"/>
    </xf>
    <xf numFmtId="0" fontId="53" fillId="2" borderId="2" xfId="0" applyFont="1" applyFill="1" applyBorder="1" applyAlignment="1">
      <alignment horizontal="left" vertical="center" wrapText="1"/>
    </xf>
    <xf numFmtId="0" fontId="53" fillId="2" borderId="33" xfId="0" applyFont="1" applyFill="1" applyBorder="1" applyAlignment="1">
      <alignment horizontal="center" vertical="center" wrapText="1"/>
    </xf>
    <xf numFmtId="0" fontId="53" fillId="2" borderId="34" xfId="0" applyFont="1" applyFill="1" applyBorder="1" applyAlignment="1">
      <alignment horizontal="center" vertical="center" wrapText="1"/>
    </xf>
    <xf numFmtId="0" fontId="13" fillId="4" borderId="4" xfId="0" applyFont="1" applyFill="1" applyBorder="1" applyAlignment="1">
      <alignment horizontal="center" vertical="center" wrapText="1"/>
    </xf>
    <xf numFmtId="0" fontId="13" fillId="4" borderId="4" xfId="0" applyFont="1" applyFill="1" applyBorder="1" applyAlignment="1">
      <alignment horizontal="left" vertical="center" wrapText="1"/>
    </xf>
    <xf numFmtId="9" fontId="39" fillId="4" borderId="4" xfId="0" applyNumberFormat="1" applyFont="1" applyFill="1" applyBorder="1" applyAlignment="1">
      <alignment horizontal="center" vertical="center" wrapText="1"/>
    </xf>
    <xf numFmtId="9" fontId="13" fillId="4" borderId="31" xfId="0" applyNumberFormat="1" applyFont="1" applyFill="1" applyBorder="1" applyAlignment="1">
      <alignment horizontal="center" vertical="center" wrapText="1"/>
    </xf>
    <xf numFmtId="0" fontId="13" fillId="0" borderId="0" xfId="0" applyFont="1" applyAlignment="1">
      <alignment horizontal="center" vertical="center"/>
    </xf>
    <xf numFmtId="0" fontId="13" fillId="0" borderId="0" xfId="0" applyFont="1" applyAlignment="1">
      <alignment horizontal="center" vertical="center" wrapText="1"/>
    </xf>
    <xf numFmtId="0" fontId="13" fillId="3" borderId="4" xfId="0" applyFont="1" applyFill="1" applyBorder="1" applyAlignment="1">
      <alignment horizontal="left" vertical="center" wrapText="1"/>
    </xf>
    <xf numFmtId="0" fontId="13" fillId="3" borderId="31" xfId="0" applyFont="1" applyFill="1" applyBorder="1" applyAlignment="1">
      <alignment horizontal="center" vertical="center" wrapText="1"/>
    </xf>
    <xf numFmtId="0" fontId="13" fillId="0" borderId="0" xfId="0" applyFont="1" applyAlignment="1">
      <alignment vertical="center"/>
    </xf>
    <xf numFmtId="0" fontId="13" fillId="0" borderId="0" xfId="0" applyFont="1" applyFill="1" applyAlignment="1">
      <alignment vertical="center"/>
    </xf>
    <xf numFmtId="0" fontId="12" fillId="0" borderId="0" xfId="0" applyFont="1" applyAlignment="1">
      <alignment vertical="center"/>
    </xf>
    <xf numFmtId="0" fontId="52" fillId="0" borderId="0" xfId="0" applyFont="1" applyAlignment="1">
      <alignment vertical="center"/>
    </xf>
    <xf numFmtId="0" fontId="13" fillId="0" borderId="0" xfId="0" applyFont="1" applyAlignment="1">
      <alignment vertical="center" wrapText="1"/>
    </xf>
    <xf numFmtId="0" fontId="54" fillId="0" borderId="0" xfId="0" applyFont="1" applyAlignment="1">
      <alignment vertical="center"/>
    </xf>
    <xf numFmtId="0" fontId="13" fillId="40" borderId="0" xfId="0" applyFont="1" applyFill="1" applyAlignment="1">
      <alignment vertical="center"/>
    </xf>
    <xf numFmtId="0" fontId="9" fillId="0" borderId="0" xfId="0" applyNumberFormat="1" applyFont="1" applyAlignment="1" applyProtection="1">
      <alignment horizontal="center" vertical="center" wrapText="1"/>
    </xf>
    <xf numFmtId="0" fontId="0" fillId="0" borderId="0" xfId="0" quotePrefix="1" applyAlignment="1" applyProtection="1">
      <alignment horizontal="center" vertical="center" wrapText="1"/>
    </xf>
    <xf numFmtId="0" fontId="6" fillId="2" borderId="32" xfId="0" applyFont="1" applyFill="1" applyBorder="1" applyAlignment="1">
      <alignment horizontal="center" vertical="center" wrapText="1"/>
    </xf>
    <xf numFmtId="166" fontId="0" fillId="0" borderId="0" xfId="0" applyNumberFormat="1" applyBorder="1" applyAlignment="1" applyProtection="1">
      <alignment horizontal="center" vertical="center" wrapText="1"/>
    </xf>
    <xf numFmtId="0" fontId="0" fillId="3" borderId="4" xfId="0" applyFill="1" applyBorder="1" applyAlignment="1">
      <alignment vertical="center" wrapText="1"/>
    </xf>
    <xf numFmtId="0" fontId="0" fillId="4" borderId="4" xfId="0" applyFill="1" applyBorder="1" applyAlignment="1">
      <alignment vertical="center" wrapText="1"/>
    </xf>
    <xf numFmtId="166" fontId="0" fillId="0" borderId="0" xfId="0" applyNumberFormat="1" applyAlignment="1" applyProtection="1">
      <alignment horizontal="center" vertical="center" wrapText="1"/>
      <protection hidden="1"/>
    </xf>
    <xf numFmtId="0" fontId="0" fillId="0" borderId="0" xfId="0" applyFill="1" applyAlignment="1">
      <alignment horizontal="center"/>
    </xf>
    <xf numFmtId="0" fontId="0" fillId="0" borderId="0" xfId="0" applyFill="1" applyAlignment="1">
      <alignment horizontal="center" vertical="center" wrapText="1"/>
    </xf>
    <xf numFmtId="0" fontId="13" fillId="40" borderId="0" xfId="0" applyFont="1" applyFill="1" applyAlignment="1">
      <alignment horizontal="center" vertical="center"/>
    </xf>
    <xf numFmtId="0" fontId="51" fillId="0" borderId="0" xfId="0" applyFont="1" applyAlignment="1"/>
    <xf numFmtId="0" fontId="51" fillId="0" borderId="0" xfId="0" applyFont="1"/>
    <xf numFmtId="0" fontId="59" fillId="0" borderId="0" xfId="0" applyFont="1"/>
    <xf numFmtId="0" fontId="60" fillId="0" borderId="0" xfId="0" applyFont="1" applyAlignment="1">
      <alignment horizontal="justify"/>
    </xf>
    <xf numFmtId="0" fontId="58" fillId="0" borderId="0" xfId="0" applyFont="1" applyAlignment="1">
      <alignment horizontal="justify"/>
    </xf>
    <xf numFmtId="0" fontId="59" fillId="0" borderId="0" xfId="0" applyFont="1" applyAlignment="1">
      <alignment horizontal="justify"/>
    </xf>
    <xf numFmtId="0" fontId="57" fillId="0" borderId="0" xfId="0" applyFont="1" applyAlignment="1">
      <alignment horizontal="justify"/>
    </xf>
    <xf numFmtId="0" fontId="13" fillId="39" borderId="17" xfId="0" quotePrefix="1" applyFont="1" applyFill="1" applyBorder="1" applyAlignment="1">
      <alignment horizontal="left" vertical="center" wrapText="1"/>
    </xf>
    <xf numFmtId="14" fontId="13" fillId="39" borderId="38" xfId="0" applyNumberFormat="1" applyFont="1" applyFill="1" applyBorder="1" applyAlignment="1">
      <alignment horizontal="center" vertical="center"/>
    </xf>
    <xf numFmtId="0" fontId="13" fillId="39" borderId="41" xfId="0" applyFont="1" applyFill="1" applyBorder="1" applyAlignment="1">
      <alignment horizontal="center" vertical="center" wrapText="1"/>
    </xf>
    <xf numFmtId="14" fontId="13" fillId="39" borderId="7" xfId="0" applyNumberFormat="1" applyFont="1" applyFill="1" applyBorder="1" applyAlignment="1">
      <alignment horizontal="center" vertical="center"/>
    </xf>
    <xf numFmtId="0" fontId="0" fillId="0" borderId="0" xfId="0" applyFill="1" applyAlignment="1">
      <alignment vertical="center" wrapText="1"/>
    </xf>
    <xf numFmtId="0" fontId="0" fillId="3" borderId="14" xfId="0" applyFont="1" applyFill="1" applyBorder="1" applyAlignment="1">
      <alignment horizontal="center" vertical="center" wrapText="1"/>
    </xf>
    <xf numFmtId="0" fontId="0" fillId="3" borderId="12" xfId="0" applyFont="1" applyFill="1" applyBorder="1" applyAlignment="1" applyProtection="1">
      <alignment horizontal="center" vertical="center" wrapText="1"/>
    </xf>
    <xf numFmtId="0" fontId="0" fillId="4" borderId="11" xfId="0" applyFont="1" applyFill="1" applyBorder="1" applyAlignment="1">
      <alignment horizontal="center" vertical="center" wrapText="1"/>
    </xf>
    <xf numFmtId="0" fontId="0" fillId="4" borderId="9" xfId="0" applyFont="1" applyFill="1" applyBorder="1" applyAlignment="1" applyProtection="1">
      <alignment horizontal="center" vertical="center" wrapText="1"/>
    </xf>
    <xf numFmtId="0" fontId="0" fillId="3" borderId="11" xfId="0" applyFont="1" applyFill="1" applyBorder="1" applyAlignment="1">
      <alignment horizontal="center" vertical="center" wrapText="1"/>
    </xf>
    <xf numFmtId="0" fontId="0" fillId="3" borderId="9" xfId="0" applyFont="1" applyFill="1" applyBorder="1" applyAlignment="1" applyProtection="1">
      <alignment horizontal="center" vertical="center" wrapText="1"/>
    </xf>
    <xf numFmtId="0" fontId="0" fillId="0" borderId="0" xfId="0" applyFill="1" applyBorder="1"/>
    <xf numFmtId="0" fontId="6" fillId="0" borderId="0" xfId="0" applyFont="1" applyFill="1" applyBorder="1" applyAlignment="1">
      <alignment vertical="center" wrapText="1"/>
    </xf>
    <xf numFmtId="0" fontId="0" fillId="0" borderId="13" xfId="0" applyFill="1" applyBorder="1" applyAlignment="1">
      <alignment horizontal="center" vertical="center" wrapText="1"/>
    </xf>
    <xf numFmtId="0" fontId="0" fillId="0" borderId="12" xfId="0" applyBorder="1" applyAlignment="1">
      <alignment horizontal="center" vertical="center" wrapText="1"/>
    </xf>
    <xf numFmtId="0" fontId="0" fillId="0" borderId="12" xfId="0" applyBorder="1" applyAlignment="1">
      <alignment horizontal="center"/>
    </xf>
    <xf numFmtId="9" fontId="0" fillId="3" borderId="14" xfId="0" applyNumberFormat="1" applyFont="1" applyFill="1" applyBorder="1" applyAlignment="1">
      <alignment horizontal="center" vertical="center" wrapText="1"/>
    </xf>
    <xf numFmtId="0" fontId="0" fillId="3" borderId="13" xfId="0" applyFont="1" applyFill="1" applyBorder="1" applyAlignment="1">
      <alignment horizontal="center" vertical="center" wrapText="1"/>
    </xf>
    <xf numFmtId="0" fontId="0" fillId="3" borderId="13" xfId="0" applyFont="1" applyFill="1" applyBorder="1" applyAlignment="1">
      <alignment horizontal="left" vertical="center" wrapText="1"/>
    </xf>
    <xf numFmtId="0" fontId="0" fillId="3" borderId="12" xfId="0" applyFont="1" applyFill="1" applyBorder="1" applyAlignment="1">
      <alignment horizontal="center" vertical="center" wrapText="1"/>
    </xf>
    <xf numFmtId="9" fontId="0" fillId="4" borderId="11" xfId="0" applyNumberFormat="1" applyFont="1" applyFill="1" applyBorder="1" applyAlignment="1">
      <alignment horizontal="center" vertical="center" wrapText="1"/>
    </xf>
    <xf numFmtId="0" fontId="0" fillId="4" borderId="9" xfId="0" applyFont="1" applyFill="1" applyBorder="1" applyAlignment="1">
      <alignment horizontal="center" vertical="center" wrapText="1"/>
    </xf>
    <xf numFmtId="0" fontId="0" fillId="3" borderId="10" xfId="0" applyFont="1" applyFill="1" applyBorder="1" applyAlignment="1">
      <alignment horizontal="left" vertical="center" wrapText="1"/>
    </xf>
    <xf numFmtId="0" fontId="0" fillId="4" borderId="10" xfId="0" applyFont="1" applyFill="1" applyBorder="1" applyAlignment="1">
      <alignment horizontal="left" vertical="center" wrapText="1"/>
    </xf>
    <xf numFmtId="0" fontId="0" fillId="4" borderId="10" xfId="0" applyFont="1" applyFill="1" applyBorder="1" applyAlignment="1">
      <alignment horizontal="center" vertical="center" wrapText="1"/>
    </xf>
    <xf numFmtId="2" fontId="0" fillId="0" borderId="14" xfId="0" applyNumberFormat="1" applyBorder="1" applyAlignment="1" applyProtection="1">
      <alignment horizontal="center" vertical="center" wrapText="1"/>
      <protection hidden="1"/>
    </xf>
    <xf numFmtId="164" fontId="0" fillId="0" borderId="13" xfId="0" applyNumberFormat="1" applyBorder="1" applyAlignment="1" applyProtection="1">
      <alignment horizontal="center" vertical="center" wrapText="1"/>
      <protection hidden="1"/>
    </xf>
    <xf numFmtId="0" fontId="0" fillId="0" borderId="13" xfId="0" applyBorder="1" applyAlignment="1" applyProtection="1">
      <alignment horizontal="center" vertical="center" wrapText="1"/>
      <protection hidden="1"/>
    </xf>
    <xf numFmtId="0" fontId="6" fillId="2" borderId="8"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0" fillId="0" borderId="0" xfId="0" applyFill="1"/>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0" borderId="0" xfId="0" applyAlignment="1" applyProtection="1">
      <alignment vertical="center" wrapText="1"/>
      <protection hidden="1"/>
    </xf>
    <xf numFmtId="0" fontId="0" fillId="0" borderId="0" xfId="0" applyAlignment="1" applyProtection="1">
      <alignment horizontal="center" vertical="center" wrapText="1"/>
      <protection hidden="1"/>
    </xf>
    <xf numFmtId="164" fontId="0" fillId="0" borderId="0" xfId="0" applyNumberFormat="1" applyAlignment="1" applyProtection="1">
      <alignment horizontal="center" vertical="center" wrapText="1"/>
      <protection hidden="1"/>
    </xf>
    <xf numFmtId="0" fontId="0" fillId="0" borderId="0" xfId="0" applyAlignment="1" applyProtection="1">
      <alignment horizontal="center" vertical="center" wrapText="1"/>
    </xf>
    <xf numFmtId="0" fontId="0" fillId="0" borderId="0" xfId="0" applyAlignment="1" applyProtection="1">
      <alignment vertical="center" wrapText="1"/>
    </xf>
    <xf numFmtId="164" fontId="0" fillId="0" borderId="0" xfId="0" applyNumberFormat="1" applyAlignment="1" applyProtection="1">
      <alignment horizontal="center" vertical="center" wrapText="1"/>
    </xf>
    <xf numFmtId="166" fontId="0" fillId="0" borderId="0" xfId="0" applyNumberFormat="1" applyAlignment="1" applyProtection="1">
      <alignment horizontal="center" vertical="center" wrapText="1"/>
    </xf>
    <xf numFmtId="165" fontId="0" fillId="0" borderId="0" xfId="0" applyNumberFormat="1" applyAlignment="1" applyProtection="1">
      <alignment horizontal="center" vertical="center" wrapText="1"/>
    </xf>
    <xf numFmtId="166" fontId="0" fillId="0" borderId="0" xfId="0" applyNumberFormat="1" applyAlignment="1" applyProtection="1">
      <alignment vertical="center" wrapText="1"/>
    </xf>
    <xf numFmtId="0" fontId="0" fillId="4" borderId="4" xfId="0" applyFont="1" applyFill="1" applyBorder="1" applyAlignment="1" applyProtection="1">
      <alignment horizontal="center" vertical="center" wrapText="1"/>
    </xf>
    <xf numFmtId="0" fontId="0" fillId="0" borderId="0" xfId="0" applyFont="1" applyAlignment="1" applyProtection="1">
      <alignment horizontal="left" vertical="center" wrapText="1"/>
    </xf>
    <xf numFmtId="0" fontId="5" fillId="0" borderId="0" xfId="0" applyFont="1" applyAlignment="1" applyProtection="1">
      <alignment vertical="center" wrapText="1"/>
    </xf>
    <xf numFmtId="164" fontId="0" fillId="0" borderId="0" xfId="0" applyNumberFormat="1" applyBorder="1" applyAlignment="1" applyProtection="1">
      <alignment horizontal="center" vertical="center" wrapText="1"/>
    </xf>
    <xf numFmtId="0" fontId="6" fillId="2" borderId="2" xfId="0" applyFont="1" applyFill="1" applyBorder="1" applyAlignment="1">
      <alignment horizontal="center" vertical="center" wrapText="1"/>
    </xf>
    <xf numFmtId="0" fontId="0" fillId="4" borderId="4" xfId="0" applyFont="1" applyFill="1" applyBorder="1" applyAlignment="1">
      <alignment vertical="center" wrapText="1"/>
    </xf>
    <xf numFmtId="0" fontId="12" fillId="19" borderId="39" xfId="0" applyFont="1" applyFill="1" applyBorder="1" applyAlignment="1">
      <alignment horizontal="center" vertical="center" wrapText="1"/>
    </xf>
    <xf numFmtId="0" fontId="12" fillId="19" borderId="40" xfId="0" applyFont="1" applyFill="1" applyBorder="1" applyAlignment="1">
      <alignment horizontal="center" vertical="center" wrapText="1"/>
    </xf>
    <xf numFmtId="0" fontId="12" fillId="19" borderId="37" xfId="0" applyFont="1" applyFill="1" applyBorder="1" applyAlignment="1">
      <alignment horizontal="center" vertical="center" wrapText="1"/>
    </xf>
    <xf numFmtId="0" fontId="13" fillId="39" borderId="0" xfId="0" applyFont="1" applyFill="1" applyAlignment="1">
      <alignment horizontal="center" vertical="center"/>
    </xf>
    <xf numFmtId="0" fontId="13" fillId="39" borderId="18" xfId="0" applyFont="1" applyFill="1" applyBorder="1" applyAlignment="1">
      <alignment horizontal="center" vertical="center" wrapText="1"/>
    </xf>
    <xf numFmtId="0" fontId="13" fillId="39" borderId="12" xfId="0" applyFont="1" applyFill="1" applyBorder="1" applyAlignment="1">
      <alignment horizontal="center" vertical="center" wrapText="1"/>
    </xf>
    <xf numFmtId="0" fontId="13" fillId="39" borderId="13" xfId="0" applyFont="1" applyFill="1" applyBorder="1" applyAlignment="1">
      <alignment horizontal="center" vertical="center" wrapText="1"/>
    </xf>
    <xf numFmtId="0" fontId="0" fillId="0" borderId="0" xfId="0" applyAlignment="1">
      <alignment horizontal="center"/>
    </xf>
    <xf numFmtId="0" fontId="13" fillId="40" borderId="0" xfId="0" applyFont="1" applyFill="1" applyAlignment="1">
      <alignment vertical="center"/>
    </xf>
    <xf numFmtId="0" fontId="9" fillId="0" borderId="0" xfId="0" applyFont="1" applyAlignment="1" applyProtection="1">
      <alignment horizontal="center" vertical="center" wrapText="1"/>
    </xf>
    <xf numFmtId="0" fontId="0" fillId="0" borderId="0" xfId="0" applyFont="1" applyAlignment="1" applyProtection="1">
      <alignment vertical="center" wrapText="1"/>
    </xf>
    <xf numFmtId="0" fontId="0" fillId="0" borderId="0" xfId="0" applyFont="1" applyAlignment="1" applyProtection="1">
      <alignment horizontal="center" vertical="center" wrapText="1"/>
    </xf>
    <xf numFmtId="166" fontId="0" fillId="0" borderId="0" xfId="0" applyNumberFormat="1" applyFont="1" applyAlignment="1" applyProtection="1">
      <alignment horizontal="center" vertical="center" wrapText="1"/>
    </xf>
    <xf numFmtId="0" fontId="0" fillId="0" borderId="0" xfId="0" applyNumberFormat="1" applyFont="1" applyAlignment="1" applyProtection="1">
      <alignment vertical="center" wrapText="1"/>
    </xf>
    <xf numFmtId="0" fontId="0" fillId="0" borderId="0" xfId="0" applyNumberFormat="1" applyFont="1" applyAlignment="1" applyProtection="1">
      <alignment horizontal="center" vertical="center" wrapText="1"/>
    </xf>
    <xf numFmtId="9" fontId="0" fillId="0" borderId="0" xfId="0" applyNumberFormat="1" applyFont="1" applyAlignment="1" applyProtection="1">
      <alignment horizontal="center" vertical="center" wrapText="1"/>
    </xf>
    <xf numFmtId="165" fontId="0" fillId="0" borderId="0" xfId="0" applyNumberFormat="1" applyFont="1" applyAlignment="1" applyProtection="1">
      <alignment horizontal="center" vertical="center" wrapText="1"/>
    </xf>
    <xf numFmtId="166" fontId="0" fillId="0" borderId="0" xfId="0" applyNumberFormat="1" applyFont="1" applyAlignment="1" applyProtection="1">
      <alignment vertical="center" wrapText="1"/>
    </xf>
    <xf numFmtId="0" fontId="9" fillId="0" borderId="0" xfId="0" applyFont="1" applyBorder="1" applyAlignment="1" applyProtection="1">
      <alignment horizontal="left" vertical="center" wrapText="1"/>
    </xf>
    <xf numFmtId="166" fontId="9" fillId="0" borderId="0" xfId="0" applyNumberFormat="1" applyFont="1" applyAlignment="1" applyProtection="1">
      <alignment horizontal="center" vertical="center" wrapText="1"/>
    </xf>
    <xf numFmtId="0" fontId="9" fillId="0" borderId="0" xfId="0" applyNumberFormat="1" applyFont="1" applyAlignment="1" applyProtection="1">
      <alignment vertical="center" wrapText="1"/>
    </xf>
    <xf numFmtId="9" fontId="9" fillId="0" borderId="0" xfId="0" applyNumberFormat="1" applyFont="1" applyAlignment="1" applyProtection="1">
      <alignment horizontal="center" vertical="center" wrapText="1"/>
    </xf>
    <xf numFmtId="165" fontId="9" fillId="0" borderId="0" xfId="0" applyNumberFormat="1" applyFont="1" applyAlignment="1" applyProtection="1">
      <alignment horizontal="center" vertical="center" wrapText="1"/>
    </xf>
    <xf numFmtId="166" fontId="9" fillId="0" borderId="0" xfId="0" applyNumberFormat="1" applyFont="1" applyAlignment="1" applyProtection="1">
      <alignment vertical="center" wrapText="1"/>
    </xf>
    <xf numFmtId="166" fontId="9" fillId="0" borderId="0" xfId="0" applyNumberFormat="1" applyFont="1" applyAlignment="1" applyProtection="1">
      <alignment horizontal="center" vertical="center" wrapText="1"/>
      <protection hidden="1"/>
    </xf>
    <xf numFmtId="0" fontId="9" fillId="3" borderId="3" xfId="0" applyFont="1" applyFill="1" applyBorder="1" applyAlignment="1">
      <alignment vertical="center" wrapText="1"/>
    </xf>
    <xf numFmtId="169" fontId="0" fillId="0" borderId="0" xfId="0" applyNumberFormat="1" applyAlignment="1">
      <alignment vertical="top" wrapText="1"/>
    </xf>
    <xf numFmtId="0" fontId="61" fillId="0" borderId="0" xfId="0" applyFont="1"/>
    <xf numFmtId="0" fontId="13" fillId="39" borderId="14" xfId="0" applyFont="1" applyFill="1" applyBorder="1" applyAlignment="1">
      <alignment horizontal="left" vertical="center" wrapText="1"/>
    </xf>
    <xf numFmtId="0" fontId="13" fillId="39" borderId="11" xfId="0" quotePrefix="1" applyFont="1" applyFill="1" applyBorder="1" applyAlignment="1">
      <alignment horizontal="left" vertical="center" wrapText="1"/>
    </xf>
    <xf numFmtId="0" fontId="13" fillId="39" borderId="6" xfId="0" quotePrefix="1" applyFont="1" applyFill="1" applyBorder="1" applyAlignment="1">
      <alignment horizontal="center" vertical="center" wrapText="1"/>
    </xf>
    <xf numFmtId="0" fontId="13" fillId="39" borderId="8" xfId="0" quotePrefix="1" applyFont="1" applyFill="1" applyBorder="1" applyAlignment="1">
      <alignment horizontal="left" vertical="center"/>
    </xf>
    <xf numFmtId="0" fontId="0" fillId="0" borderId="0" xfId="0" applyProtection="1">
      <protection hidden="1"/>
    </xf>
    <xf numFmtId="170" fontId="0" fillId="0" borderId="0" xfId="0" applyNumberFormat="1" applyAlignment="1" applyProtection="1">
      <alignment horizontal="center" vertical="center" wrapText="1"/>
    </xf>
    <xf numFmtId="0" fontId="62" fillId="0" borderId="0" xfId="0" applyFont="1" applyBorder="1" applyAlignment="1" applyProtection="1">
      <alignment horizontal="left" vertical="center" wrapText="1"/>
    </xf>
    <xf numFmtId="0" fontId="0" fillId="0" borderId="0" xfId="0" quotePrefix="1" applyBorder="1" applyAlignment="1" applyProtection="1">
      <alignment horizontal="center" vertical="center" wrapText="1"/>
    </xf>
    <xf numFmtId="0" fontId="0" fillId="0" borderId="0" xfId="0" applyAlignment="1" applyProtection="1">
      <alignment horizontal="left" vertical="center" wrapText="1"/>
    </xf>
    <xf numFmtId="0" fontId="0" fillId="0" borderId="0" xfId="0" applyNumberFormat="1" applyAlignment="1" applyProtection="1">
      <alignment horizontal="left" vertical="center" wrapText="1"/>
    </xf>
    <xf numFmtId="166" fontId="0" fillId="0" borderId="0" xfId="0" applyNumberFormat="1" applyAlignment="1" applyProtection="1">
      <alignment horizontal="left" vertical="center" wrapText="1"/>
    </xf>
    <xf numFmtId="0" fontId="9" fillId="0" borderId="0" xfId="0" applyFont="1" applyAlignment="1" applyProtection="1">
      <alignment horizontal="left" vertical="center" wrapText="1"/>
    </xf>
    <xf numFmtId="0" fontId="0" fillId="0" borderId="0" xfId="0" quotePrefix="1" applyAlignment="1" applyProtection="1">
      <alignment horizontal="left" vertical="center" wrapText="1"/>
    </xf>
    <xf numFmtId="166" fontId="9" fillId="0" borderId="0" xfId="0" quotePrefix="1" applyNumberFormat="1" applyFont="1" applyAlignment="1" applyProtection="1">
      <alignment horizontal="center" vertical="center" wrapText="1"/>
      <protection hidden="1"/>
    </xf>
    <xf numFmtId="10" fontId="9" fillId="0" borderId="0" xfId="0" quotePrefix="1" applyNumberFormat="1" applyFont="1" applyAlignment="1" applyProtection="1">
      <alignment horizontal="center" vertical="center" wrapText="1"/>
      <protection hidden="1"/>
    </xf>
    <xf numFmtId="2" fontId="9" fillId="0" borderId="0" xfId="0" quotePrefix="1" applyNumberFormat="1" applyFont="1" applyAlignment="1" applyProtection="1">
      <alignment horizontal="center" vertical="center" wrapText="1"/>
      <protection hidden="1"/>
    </xf>
    <xf numFmtId="164" fontId="9" fillId="0" borderId="0" xfId="0" applyNumberFormat="1" applyFont="1" applyAlignment="1" applyProtection="1">
      <alignment horizontal="center" vertical="center" wrapText="1"/>
    </xf>
    <xf numFmtId="0" fontId="13" fillId="0" borderId="0" xfId="0" applyFont="1" applyAlignment="1">
      <alignment horizontal="left" vertical="center"/>
    </xf>
    <xf numFmtId="0" fontId="13" fillId="0" borderId="0" xfId="0" applyFont="1" applyAlignment="1">
      <alignment horizontal="left" vertical="center"/>
    </xf>
    <xf numFmtId="0" fontId="13" fillId="0" borderId="0" xfId="0" applyFont="1" applyAlignment="1">
      <alignment horizontal="left" vertical="center"/>
    </xf>
    <xf numFmtId="0" fontId="6" fillId="2" borderId="33" xfId="0" applyFont="1" applyFill="1" applyBorder="1" applyAlignment="1">
      <alignment horizontal="center" vertical="center" wrapText="1"/>
    </xf>
    <xf numFmtId="0" fontId="6" fillId="2" borderId="34" xfId="0" applyFont="1" applyFill="1" applyBorder="1" applyAlignment="1">
      <alignment horizontal="center" vertical="center" wrapText="1"/>
    </xf>
    <xf numFmtId="0" fontId="13" fillId="3" borderId="53" xfId="0" applyFont="1" applyFill="1" applyBorder="1" applyAlignment="1">
      <alignment vertical="center" wrapText="1"/>
    </xf>
    <xf numFmtId="0" fontId="0" fillId="3" borderId="53" xfId="0" applyFont="1" applyFill="1" applyBorder="1" applyAlignment="1">
      <alignment vertical="center" wrapText="1"/>
    </xf>
    <xf numFmtId="0" fontId="0" fillId="3" borderId="53" xfId="0" applyFont="1" applyFill="1" applyBorder="1" applyAlignment="1">
      <alignment horizontal="center" vertical="center" wrapText="1"/>
    </xf>
    <xf numFmtId="0" fontId="0" fillId="3" borderId="54" xfId="0" applyFont="1" applyFill="1" applyBorder="1" applyAlignment="1">
      <alignment horizontal="center" vertical="center" wrapText="1"/>
    </xf>
    <xf numFmtId="0" fontId="0" fillId="0" borderId="0" xfId="0" quotePrefix="1" applyAlignment="1">
      <alignment horizontal="center" vertical="center" wrapText="1"/>
    </xf>
    <xf numFmtId="0" fontId="63" fillId="0" borderId="0" xfId="0" applyFont="1" applyAlignment="1" applyProtection="1">
      <alignment vertical="center" wrapText="1"/>
    </xf>
    <xf numFmtId="0" fontId="0" fillId="0" borderId="0" xfId="0" applyFont="1" applyBorder="1" applyAlignment="1" applyProtection="1">
      <alignment horizontal="center" vertical="center" wrapText="1"/>
    </xf>
    <xf numFmtId="0" fontId="0" fillId="0" borderId="0" xfId="0" applyFont="1" applyAlignment="1">
      <alignment vertical="center" wrapText="1"/>
    </xf>
    <xf numFmtId="0" fontId="9" fillId="0" borderId="0" xfId="0" applyFont="1" applyAlignment="1" applyProtection="1">
      <alignment vertical="center" wrapText="1"/>
      <protection hidden="1"/>
    </xf>
    <xf numFmtId="0" fontId="0" fillId="39" borderId="0" xfId="0" applyFill="1" applyAlignment="1">
      <alignment vertical="center"/>
    </xf>
    <xf numFmtId="0" fontId="0" fillId="39" borderId="0" xfId="0" applyFill="1" applyAlignment="1">
      <alignment horizontal="center" vertical="center"/>
    </xf>
    <xf numFmtId="0" fontId="0" fillId="39" borderId="0" xfId="0" applyFill="1" applyAlignment="1" applyProtection="1">
      <alignment vertical="center" wrapText="1"/>
      <protection hidden="1"/>
    </xf>
    <xf numFmtId="0" fontId="0" fillId="39" borderId="0" xfId="0" applyFill="1" applyAlignment="1" applyProtection="1">
      <alignment horizontal="center" vertical="center" wrapText="1"/>
      <protection hidden="1"/>
    </xf>
    <xf numFmtId="166" fontId="0" fillId="39" borderId="0" xfId="0" applyNumberFormat="1" applyFill="1" applyAlignment="1" applyProtection="1">
      <alignment horizontal="center" vertical="center" wrapText="1"/>
      <protection hidden="1"/>
    </xf>
    <xf numFmtId="10" fontId="0" fillId="39" borderId="0" xfId="0" applyNumberFormat="1" applyFill="1" applyAlignment="1" applyProtection="1">
      <alignment horizontal="center" vertical="center" wrapText="1"/>
      <protection hidden="1"/>
    </xf>
    <xf numFmtId="0" fontId="0" fillId="39" borderId="0" xfId="0" applyFill="1"/>
    <xf numFmtId="0" fontId="0" fillId="39" borderId="0" xfId="0" applyFill="1" applyAlignment="1" applyProtection="1">
      <alignment horizontal="left" vertical="center" wrapText="1"/>
      <protection hidden="1"/>
    </xf>
    <xf numFmtId="0" fontId="0" fillId="39" borderId="0" xfId="0" applyFill="1" applyAlignment="1" applyProtection="1">
      <alignment vertical="center" wrapText="1"/>
    </xf>
    <xf numFmtId="0" fontId="0" fillId="39" borderId="0" xfId="0" applyFill="1" applyAlignment="1" applyProtection="1">
      <alignment horizontal="center" vertical="center" wrapText="1"/>
    </xf>
    <xf numFmtId="0" fontId="0" fillId="39" borderId="0" xfId="0" applyFont="1" applyFill="1" applyAlignment="1" applyProtection="1">
      <alignment vertical="center" wrapText="1"/>
    </xf>
    <xf numFmtId="0" fontId="9" fillId="39" borderId="0" xfId="0" applyFont="1" applyFill="1" applyAlignment="1" applyProtection="1">
      <alignment vertical="center" wrapText="1"/>
    </xf>
    <xf numFmtId="2" fontId="0" fillId="39" borderId="0" xfId="0" applyNumberFormat="1" applyFill="1" applyAlignment="1" applyProtection="1">
      <alignment horizontal="center" vertical="center" wrapText="1"/>
    </xf>
    <xf numFmtId="164" fontId="0" fillId="39" borderId="0" xfId="0" applyNumberFormat="1" applyFill="1" applyAlignment="1" applyProtection="1">
      <alignment horizontal="center" vertical="center" wrapText="1"/>
    </xf>
    <xf numFmtId="166" fontId="0" fillId="39" borderId="0" xfId="0" applyNumberFormat="1" applyFill="1" applyAlignment="1" applyProtection="1">
      <alignment horizontal="center" vertical="center" wrapText="1"/>
    </xf>
    <xf numFmtId="9" fontId="0" fillId="39" borderId="0" xfId="0" applyNumberFormat="1" applyFill="1" applyAlignment="1" applyProtection="1">
      <alignment horizontal="center" vertical="center" wrapText="1"/>
    </xf>
    <xf numFmtId="0" fontId="0" fillId="39" borderId="0" xfId="0" applyFill="1" applyAlignment="1" applyProtection="1">
      <alignment horizontal="left" vertical="center" wrapText="1"/>
    </xf>
    <xf numFmtId="166" fontId="0" fillId="39" borderId="0" xfId="0" applyNumberFormat="1" applyFill="1" applyAlignment="1" applyProtection="1">
      <alignment vertical="center" wrapText="1"/>
    </xf>
    <xf numFmtId="0" fontId="0" fillId="43" borderId="0" xfId="0" applyFill="1" applyAlignment="1" applyProtection="1">
      <alignment horizontal="center" vertical="center" wrapText="1"/>
    </xf>
    <xf numFmtId="164" fontId="0" fillId="43" borderId="0" xfId="0" applyNumberFormat="1" applyFill="1" applyAlignment="1" applyProtection="1">
      <alignment horizontal="center" vertical="center" wrapText="1"/>
    </xf>
    <xf numFmtId="166" fontId="0" fillId="43" borderId="0" xfId="0" applyNumberFormat="1" applyFill="1" applyAlignment="1" applyProtection="1">
      <alignment horizontal="center" vertical="center" wrapText="1"/>
    </xf>
    <xf numFmtId="9" fontId="0" fillId="43" borderId="0" xfId="0" applyNumberFormat="1" applyFill="1" applyAlignment="1" applyProtection="1">
      <alignment horizontal="center" vertical="center" wrapText="1"/>
    </xf>
    <xf numFmtId="2" fontId="0" fillId="43" borderId="0" xfId="0" applyNumberFormat="1" applyFill="1" applyAlignment="1" applyProtection="1">
      <alignment horizontal="center" vertical="center" wrapText="1"/>
    </xf>
    <xf numFmtId="0" fontId="0" fillId="44" borderId="0" xfId="0" applyFill="1" applyAlignment="1" applyProtection="1">
      <alignment horizontal="center" vertical="center" wrapText="1"/>
    </xf>
    <xf numFmtId="166" fontId="0" fillId="44" borderId="0" xfId="0" applyNumberFormat="1" applyFill="1" applyAlignment="1" applyProtection="1">
      <alignment horizontal="center" vertical="center" wrapText="1"/>
    </xf>
    <xf numFmtId="164" fontId="4" fillId="44" borderId="50" xfId="0" applyNumberFormat="1" applyFont="1" applyFill="1" applyBorder="1" applyAlignment="1" applyProtection="1">
      <alignment horizontal="center" vertical="center" wrapText="1"/>
    </xf>
    <xf numFmtId="164" fontId="4" fillId="43" borderId="50" xfId="0" applyNumberFormat="1" applyFont="1" applyFill="1" applyBorder="1" applyAlignment="1" applyProtection="1">
      <alignment horizontal="center" vertical="center" wrapText="1"/>
    </xf>
    <xf numFmtId="0" fontId="0" fillId="44" borderId="49" xfId="0" applyFill="1" applyBorder="1" applyAlignment="1" applyProtection="1">
      <alignment vertical="center" wrapText="1"/>
    </xf>
    <xf numFmtId="0" fontId="0" fillId="44" borderId="49" xfId="0" applyFill="1" applyBorder="1" applyAlignment="1" applyProtection="1">
      <alignment horizontal="left" vertical="center" wrapText="1"/>
    </xf>
    <xf numFmtId="9" fontId="4" fillId="44" borderId="49" xfId="0" applyNumberFormat="1" applyFont="1" applyFill="1" applyBorder="1" applyAlignment="1" applyProtection="1">
      <alignment horizontal="right" vertical="center" wrapText="1"/>
    </xf>
    <xf numFmtId="0" fontId="0" fillId="43" borderId="49" xfId="0" applyFill="1" applyBorder="1" applyAlignment="1" applyProtection="1">
      <alignment horizontal="center" vertical="center" wrapText="1"/>
    </xf>
    <xf numFmtId="164" fontId="0" fillId="43" borderId="49" xfId="0" applyNumberFormat="1" applyFill="1" applyBorder="1" applyAlignment="1" applyProtection="1">
      <alignment horizontal="center" vertical="center" wrapText="1"/>
    </xf>
    <xf numFmtId="166" fontId="0" fillId="43" borderId="49" xfId="0" applyNumberFormat="1" applyFill="1" applyBorder="1" applyAlignment="1" applyProtection="1">
      <alignment horizontal="center" vertical="center" wrapText="1"/>
    </xf>
    <xf numFmtId="0" fontId="0" fillId="43" borderId="49" xfId="0" applyFill="1" applyBorder="1" applyAlignment="1" applyProtection="1">
      <alignment vertical="center" wrapText="1"/>
    </xf>
    <xf numFmtId="9" fontId="4" fillId="43" borderId="49" xfId="0" applyNumberFormat="1" applyFont="1" applyFill="1" applyBorder="1" applyAlignment="1" applyProtection="1">
      <alignment horizontal="right" vertical="center" wrapText="1"/>
    </xf>
    <xf numFmtId="0" fontId="9" fillId="3" borderId="4" xfId="0" applyFont="1" applyFill="1" applyBorder="1" applyAlignment="1">
      <alignment vertical="center" wrapText="1"/>
    </xf>
    <xf numFmtId="0" fontId="9" fillId="4" borderId="4" xfId="0" applyFont="1" applyFill="1" applyBorder="1" applyAlignment="1">
      <alignment vertical="center" wrapText="1"/>
    </xf>
    <xf numFmtId="0" fontId="9" fillId="0" borderId="0" xfId="0" applyFont="1" applyBorder="1" applyAlignment="1" applyProtection="1">
      <alignment horizontal="center" vertical="center" wrapText="1"/>
      <protection hidden="1"/>
    </xf>
    <xf numFmtId="0" fontId="4" fillId="43" borderId="49" xfId="0" applyFont="1" applyFill="1" applyBorder="1" applyAlignment="1" applyProtection="1">
      <alignment vertical="center" wrapText="1"/>
    </xf>
    <xf numFmtId="0" fontId="0" fillId="0" borderId="0" xfId="0" applyFont="1" applyBorder="1" applyAlignment="1" applyProtection="1">
      <alignment horizontal="center" vertical="center" wrapText="1"/>
      <protection hidden="1"/>
    </xf>
    <xf numFmtId="0" fontId="0" fillId="39" borderId="0" xfId="0" applyFont="1" applyFill="1" applyAlignment="1" applyProtection="1">
      <alignment vertical="center" wrapText="1"/>
      <protection hidden="1"/>
    </xf>
    <xf numFmtId="0" fontId="63" fillId="0" borderId="0" xfId="0" applyFont="1" applyBorder="1" applyAlignment="1" applyProtection="1">
      <alignment horizontal="center" vertical="center" wrapText="1"/>
    </xf>
    <xf numFmtId="0" fontId="64" fillId="39" borderId="0" xfId="0" applyFont="1" applyFill="1"/>
    <xf numFmtId="0" fontId="64" fillId="39" borderId="0" xfId="0" applyFont="1" applyFill="1" applyAlignment="1">
      <alignment horizontal="center"/>
    </xf>
    <xf numFmtId="0" fontId="65" fillId="39" borderId="0" xfId="0" applyFont="1" applyFill="1"/>
    <xf numFmtId="0" fontId="65" fillId="39" borderId="0" xfId="0" applyFont="1" applyFill="1" applyAlignment="1">
      <alignment horizontal="center"/>
    </xf>
    <xf numFmtId="0" fontId="65" fillId="39" borderId="0" xfId="0" applyFont="1" applyFill="1" applyAlignment="1">
      <alignment vertical="center"/>
    </xf>
    <xf numFmtId="0" fontId="65" fillId="40" borderId="0" xfId="0" applyFont="1" applyFill="1" applyAlignment="1">
      <alignment vertical="center"/>
    </xf>
    <xf numFmtId="0" fontId="0" fillId="39" borderId="0" xfId="0" applyFill="1" applyAlignment="1">
      <alignment horizontal="center"/>
    </xf>
    <xf numFmtId="0" fontId="66" fillId="39" borderId="0" xfId="0" applyFont="1" applyFill="1" applyBorder="1" applyAlignment="1">
      <alignment vertical="center"/>
    </xf>
    <xf numFmtId="0" fontId="66" fillId="39" borderId="0" xfId="0" applyFont="1" applyFill="1" applyAlignment="1">
      <alignment vertical="center"/>
    </xf>
    <xf numFmtId="0" fontId="66" fillId="39" borderId="55" xfId="0" applyFont="1" applyFill="1" applyBorder="1" applyAlignment="1">
      <alignment horizontal="center" vertical="center"/>
    </xf>
    <xf numFmtId="0" fontId="66" fillId="39" borderId="56" xfId="0" applyFont="1" applyFill="1" applyBorder="1" applyAlignment="1">
      <alignment horizontal="center" vertical="center"/>
    </xf>
    <xf numFmtId="0" fontId="66" fillId="39" borderId="57" xfId="0" applyFont="1" applyFill="1" applyBorder="1" applyAlignment="1">
      <alignment horizontal="center" vertical="center"/>
    </xf>
    <xf numFmtId="0" fontId="13" fillId="39" borderId="0" xfId="0" applyFont="1" applyFill="1" applyAlignment="1">
      <alignment vertical="center"/>
    </xf>
    <xf numFmtId="9" fontId="4" fillId="44" borderId="49" xfId="0" applyNumberFormat="1" applyFont="1" applyFill="1" applyBorder="1" applyAlignment="1" applyProtection="1">
      <alignment horizontal="center" vertical="center" wrapText="1"/>
    </xf>
    <xf numFmtId="166" fontId="0" fillId="46" borderId="0" xfId="0" applyNumberFormat="1" applyFill="1" applyAlignment="1" applyProtection="1">
      <alignment horizontal="center" vertical="center" wrapText="1"/>
      <protection hidden="1"/>
    </xf>
    <xf numFmtId="166" fontId="0" fillId="46" borderId="0" xfId="0" applyNumberFormat="1" applyFill="1" applyAlignment="1" applyProtection="1">
      <alignment horizontal="center" vertical="center" wrapText="1"/>
    </xf>
    <xf numFmtId="2" fontId="50" fillId="39" borderId="0" xfId="0" applyNumberFormat="1" applyFont="1" applyFill="1" applyBorder="1" applyAlignment="1">
      <alignment vertical="center"/>
    </xf>
    <xf numFmtId="0" fontId="66" fillId="39" borderId="37" xfId="0" applyFont="1" applyFill="1" applyBorder="1" applyAlignment="1">
      <alignment horizontal="center" vertical="center"/>
    </xf>
    <xf numFmtId="164" fontId="50" fillId="39" borderId="44" xfId="0" applyNumberFormat="1" applyFont="1" applyFill="1" applyBorder="1" applyAlignment="1">
      <alignment horizontal="center" vertical="center"/>
    </xf>
    <xf numFmtId="164" fontId="50" fillId="39" borderId="47" xfId="0" applyNumberFormat="1" applyFont="1" applyFill="1" applyBorder="1" applyAlignment="1">
      <alignment horizontal="center" vertical="center"/>
    </xf>
    <xf numFmtId="0" fontId="66" fillId="39" borderId="58" xfId="0" applyFont="1" applyFill="1" applyBorder="1" applyAlignment="1">
      <alignment horizontal="center" vertical="center"/>
    </xf>
    <xf numFmtId="164" fontId="50" fillId="39" borderId="55" xfId="0" applyNumberFormat="1" applyFont="1" applyFill="1" applyBorder="1" applyAlignment="1">
      <alignment horizontal="center" vertical="center"/>
    </xf>
    <xf numFmtId="164" fontId="50" fillId="39" borderId="56" xfId="0" applyNumberFormat="1" applyFont="1" applyFill="1" applyBorder="1" applyAlignment="1">
      <alignment horizontal="center" vertical="center"/>
    </xf>
    <xf numFmtId="0" fontId="6" fillId="2" borderId="38" xfId="0" applyFont="1" applyFill="1" applyBorder="1" applyAlignment="1">
      <alignment horizontal="center" vertical="center" wrapText="1"/>
    </xf>
    <xf numFmtId="0" fontId="3" fillId="47" borderId="10" xfId="0" applyFont="1" applyFill="1" applyBorder="1" applyAlignment="1">
      <alignment horizontal="center" vertical="center" wrapText="1"/>
    </xf>
    <xf numFmtId="0" fontId="3" fillId="3" borderId="10" xfId="0" applyFont="1" applyFill="1" applyBorder="1" applyAlignment="1">
      <alignment vertical="center" wrapText="1"/>
    </xf>
    <xf numFmtId="0" fontId="3" fillId="4" borderId="10" xfId="0" applyFont="1" applyFill="1" applyBorder="1" applyAlignment="1">
      <alignment vertical="center" wrapText="1"/>
    </xf>
    <xf numFmtId="0" fontId="9" fillId="3" borderId="10" xfId="0" applyFont="1" applyFill="1" applyBorder="1" applyAlignment="1">
      <alignment horizontal="center" vertical="center" wrapText="1"/>
    </xf>
    <xf numFmtId="0" fontId="9" fillId="4" borderId="10" xfId="0" applyFont="1" applyFill="1" applyBorder="1" applyAlignment="1">
      <alignment horizontal="center" vertical="center" wrapText="1"/>
    </xf>
    <xf numFmtId="0" fontId="9" fillId="3" borderId="10" xfId="0" applyFont="1" applyFill="1" applyBorder="1" applyAlignment="1">
      <alignment vertical="center" wrapText="1"/>
    </xf>
    <xf numFmtId="0" fontId="9" fillId="4" borderId="10" xfId="0" applyFont="1" applyFill="1" applyBorder="1" applyAlignment="1">
      <alignment vertical="center" wrapText="1"/>
    </xf>
    <xf numFmtId="166" fontId="67" fillId="2" borderId="38" xfId="0" applyNumberFormat="1" applyFont="1" applyFill="1" applyBorder="1" applyAlignment="1">
      <alignment horizontal="center" vertical="center" wrapText="1"/>
    </xf>
    <xf numFmtId="166" fontId="3" fillId="47" borderId="10" xfId="0" applyNumberFormat="1" applyFont="1" applyFill="1" applyBorder="1" applyAlignment="1">
      <alignment horizontal="center" vertical="center" wrapText="1"/>
    </xf>
    <xf numFmtId="166" fontId="0" fillId="3" borderId="10" xfId="0" applyNumberFormat="1" applyFont="1" applyFill="1" applyBorder="1" applyAlignment="1">
      <alignment horizontal="center" vertical="center" wrapText="1"/>
    </xf>
    <xf numFmtId="166" fontId="0" fillId="40" borderId="10" xfId="0" applyNumberFormat="1" applyFont="1" applyFill="1" applyBorder="1" applyAlignment="1">
      <alignment horizontal="center" vertical="center"/>
    </xf>
    <xf numFmtId="166" fontId="0" fillId="48" borderId="10" xfId="0" applyNumberFormat="1" applyFont="1" applyFill="1" applyBorder="1" applyAlignment="1">
      <alignment horizontal="center" vertical="center"/>
    </xf>
    <xf numFmtId="0" fontId="6" fillId="49" borderId="38" xfId="0" applyFont="1" applyFill="1" applyBorder="1" applyAlignment="1">
      <alignment horizontal="center" vertical="center" wrapText="1"/>
    </xf>
    <xf numFmtId="0" fontId="0" fillId="3" borderId="10" xfId="0" applyFont="1" applyFill="1" applyBorder="1" applyAlignment="1">
      <alignment vertical="center" wrapText="1"/>
    </xf>
    <xf numFmtId="0" fontId="0" fillId="4" borderId="10" xfId="0" applyFont="1" applyFill="1" applyBorder="1" applyAlignment="1">
      <alignment vertical="center" wrapText="1"/>
    </xf>
    <xf numFmtId="166" fontId="50" fillId="39" borderId="57" xfId="0" applyNumberFormat="1" applyFont="1" applyFill="1" applyBorder="1" applyAlignment="1">
      <alignment horizontal="center" vertical="center"/>
    </xf>
    <xf numFmtId="0" fontId="13" fillId="40" borderId="0" xfId="0" applyFont="1" applyFill="1" applyBorder="1" applyAlignment="1">
      <alignment vertical="center"/>
    </xf>
    <xf numFmtId="0" fontId="0" fillId="39" borderId="0" xfId="0" applyFill="1" applyBorder="1"/>
    <xf numFmtId="0" fontId="0" fillId="39" borderId="0" xfId="0" applyFill="1" applyBorder="1" applyAlignment="1">
      <alignment horizontal="center"/>
    </xf>
    <xf numFmtId="0" fontId="0" fillId="3" borderId="0" xfId="0" applyFont="1" applyFill="1" applyBorder="1" applyAlignment="1">
      <alignment vertical="center" wrapText="1"/>
    </xf>
    <xf numFmtId="0" fontId="0" fillId="0" borderId="0" xfId="0" quotePrefix="1" applyAlignment="1">
      <alignment horizontal="left" vertical="center" wrapText="1"/>
    </xf>
    <xf numFmtId="166" fontId="3" fillId="3" borderId="10" xfId="0" applyNumberFormat="1" applyFont="1" applyFill="1" applyBorder="1" applyAlignment="1">
      <alignment horizontal="center" vertical="center" wrapText="1"/>
    </xf>
    <xf numFmtId="166" fontId="3" fillId="4" borderId="10" xfId="0" applyNumberFormat="1" applyFont="1" applyFill="1" applyBorder="1" applyAlignment="1">
      <alignment horizontal="center" vertical="center" wrapText="1"/>
    </xf>
    <xf numFmtId="0" fontId="13" fillId="39" borderId="13" xfId="0" applyFont="1" applyFill="1" applyBorder="1" applyAlignment="1">
      <alignment horizontal="center" vertical="center"/>
    </xf>
    <xf numFmtId="0" fontId="13" fillId="39" borderId="14" xfId="0" applyFont="1" applyFill="1" applyBorder="1" applyAlignment="1">
      <alignment horizontal="center" vertical="center"/>
    </xf>
    <xf numFmtId="0" fontId="13" fillId="39" borderId="10" xfId="0" quotePrefix="1" applyFont="1" applyFill="1" applyBorder="1" applyAlignment="1">
      <alignment horizontal="center" vertical="center" wrapText="1"/>
    </xf>
    <xf numFmtId="0" fontId="13" fillId="0" borderId="10" xfId="0" applyFont="1" applyBorder="1" applyAlignment="1">
      <alignment horizontal="center" vertical="center" wrapText="1"/>
    </xf>
    <xf numFmtId="0" fontId="13" fillId="0" borderId="13" xfId="0" applyFont="1" applyBorder="1" applyAlignment="1">
      <alignment horizontal="center" vertical="center" wrapText="1"/>
    </xf>
    <xf numFmtId="14" fontId="13" fillId="0" borderId="14" xfId="0" applyNumberFormat="1" applyFont="1" applyBorder="1" applyAlignment="1">
      <alignment horizontal="center" vertical="center" wrapText="1"/>
    </xf>
    <xf numFmtId="0" fontId="13" fillId="0" borderId="0" xfId="0" applyFont="1" applyAlignment="1">
      <alignment horizontal="left" vertical="center"/>
    </xf>
    <xf numFmtId="0" fontId="49" fillId="39" borderId="0" xfId="0" applyFont="1" applyFill="1" applyAlignment="1">
      <alignment horizontal="left" vertical="center"/>
    </xf>
    <xf numFmtId="0" fontId="14" fillId="39" borderId="0" xfId="0" applyFont="1" applyFill="1" applyAlignment="1">
      <alignment horizontal="left" vertical="center"/>
    </xf>
    <xf numFmtId="0" fontId="13" fillId="0" borderId="7" xfId="0" applyFont="1" applyBorder="1" applyAlignment="1">
      <alignment horizontal="center" vertical="center" wrapText="1"/>
    </xf>
    <xf numFmtId="14" fontId="13" fillId="0" borderId="8" xfId="0" applyNumberFormat="1" applyFont="1" applyBorder="1" applyAlignment="1">
      <alignment horizontal="center" vertical="center" wrapText="1"/>
    </xf>
    <xf numFmtId="14" fontId="13" fillId="0" borderId="11" xfId="0" applyNumberFormat="1" applyFont="1" applyBorder="1" applyAlignment="1">
      <alignment horizontal="center" vertical="center" wrapText="1"/>
    </xf>
    <xf numFmtId="14" fontId="13" fillId="39" borderId="63" xfId="0" applyNumberFormat="1" applyFont="1" applyFill="1" applyBorder="1" applyAlignment="1">
      <alignment horizontal="center" vertical="center"/>
    </xf>
    <xf numFmtId="0" fontId="13" fillId="39" borderId="66" xfId="0" quotePrefix="1" applyFont="1" applyFill="1" applyBorder="1" applyAlignment="1">
      <alignment horizontal="center" vertical="center" wrapText="1"/>
    </xf>
    <xf numFmtId="0" fontId="13" fillId="39" borderId="17" xfId="0" quotePrefix="1" applyFont="1" applyFill="1" applyBorder="1" applyAlignment="1">
      <alignment horizontal="left" vertical="center"/>
    </xf>
    <xf numFmtId="0" fontId="12" fillId="19" borderId="67" xfId="0" applyFont="1" applyFill="1" applyBorder="1" applyAlignment="1">
      <alignment horizontal="center" vertical="center" wrapText="1"/>
    </xf>
    <xf numFmtId="0" fontId="12" fillId="19" borderId="68" xfId="0" applyFont="1" applyFill="1" applyBorder="1" applyAlignment="1">
      <alignment horizontal="center" vertical="center" wrapText="1"/>
    </xf>
    <xf numFmtId="0" fontId="65" fillId="39" borderId="0" xfId="0" applyFont="1" applyFill="1" applyAlignment="1">
      <alignment horizontal="center" vertical="center"/>
    </xf>
    <xf numFmtId="0" fontId="12" fillId="19" borderId="12" xfId="0" applyFont="1" applyFill="1" applyBorder="1" applyAlignment="1">
      <alignment horizontal="left" vertical="center" wrapText="1"/>
    </xf>
    <xf numFmtId="0" fontId="13" fillId="0" borderId="13" xfId="0" applyFont="1" applyBorder="1" applyAlignment="1">
      <alignment horizontal="left" vertical="center" wrapText="1"/>
    </xf>
    <xf numFmtId="0" fontId="12" fillId="19" borderId="9" xfId="0" applyFont="1" applyFill="1" applyBorder="1" applyAlignment="1">
      <alignment horizontal="left" vertical="center" wrapText="1"/>
    </xf>
    <xf numFmtId="0" fontId="13" fillId="0" borderId="10" xfId="0" applyFont="1" applyBorder="1" applyAlignment="1">
      <alignment horizontal="left" vertical="center" wrapText="1"/>
    </xf>
    <xf numFmtId="0" fontId="12" fillId="19" borderId="6" xfId="0" applyFont="1" applyFill="1" applyBorder="1" applyAlignment="1">
      <alignment horizontal="left" vertical="center" wrapText="1"/>
    </xf>
    <xf numFmtId="0" fontId="13" fillId="0" borderId="7" xfId="0" applyFont="1" applyBorder="1" applyAlignment="1">
      <alignment horizontal="left" vertical="center" wrapText="1"/>
    </xf>
    <xf numFmtId="0" fontId="13" fillId="39" borderId="38" xfId="0" quotePrefix="1" applyFont="1" applyFill="1" applyBorder="1" applyAlignment="1">
      <alignment horizontal="center" vertical="center" wrapText="1"/>
    </xf>
    <xf numFmtId="0" fontId="13" fillId="39" borderId="10" xfId="0" applyFont="1" applyFill="1" applyBorder="1" applyAlignment="1">
      <alignment horizontal="center" vertical="center" wrapText="1"/>
    </xf>
    <xf numFmtId="0" fontId="13" fillId="39" borderId="36" xfId="0" applyFont="1" applyFill="1" applyBorder="1" applyAlignment="1">
      <alignment horizontal="center" vertical="center" wrapText="1"/>
    </xf>
    <xf numFmtId="0" fontId="13" fillId="39" borderId="69" xfId="0" quotePrefix="1" applyFont="1" applyFill="1" applyBorder="1" applyAlignment="1">
      <alignment horizontal="left" vertical="center" wrapText="1"/>
    </xf>
    <xf numFmtId="14" fontId="13" fillId="39" borderId="10" xfId="0" applyNumberFormat="1" applyFont="1" applyFill="1" applyBorder="1" applyAlignment="1">
      <alignment horizontal="center" vertical="center"/>
    </xf>
    <xf numFmtId="0" fontId="13" fillId="39" borderId="9" xfId="0" quotePrefix="1" applyFont="1" applyFill="1" applyBorder="1" applyAlignment="1">
      <alignment horizontal="center" vertical="center" wrapText="1"/>
    </xf>
    <xf numFmtId="0" fontId="13" fillId="39" borderId="64" xfId="0" quotePrefix="1" applyFont="1" applyFill="1" applyBorder="1" applyAlignment="1">
      <alignment horizontal="center" vertical="center" wrapText="1"/>
    </xf>
    <xf numFmtId="14" fontId="13" fillId="39" borderId="36" xfId="0" applyNumberFormat="1" applyFont="1" applyFill="1" applyBorder="1" applyAlignment="1">
      <alignment horizontal="center" vertical="center"/>
    </xf>
    <xf numFmtId="0" fontId="13" fillId="39" borderId="10" xfId="0" applyFont="1" applyFill="1" applyBorder="1" applyAlignment="1">
      <alignment horizontal="center" vertical="center" wrapText="1"/>
    </xf>
    <xf numFmtId="9" fontId="3" fillId="0" borderId="0" xfId="0" applyNumberFormat="1" applyFont="1" applyAlignment="1" applyProtection="1">
      <alignment horizontal="center" vertical="center" wrapText="1"/>
      <protection locked="0" hidden="1"/>
    </xf>
    <xf numFmtId="0" fontId="4" fillId="43" borderId="48" xfId="0" applyFont="1" applyFill="1" applyBorder="1" applyAlignment="1" applyProtection="1">
      <alignment vertical="center" wrapText="1"/>
      <protection locked="0"/>
    </xf>
    <xf numFmtId="0" fontId="0" fillId="43" borderId="0" xfId="0" applyFill="1" applyAlignment="1" applyProtection="1">
      <alignment horizontal="center" vertical="center" wrapText="1"/>
      <protection locked="0"/>
    </xf>
    <xf numFmtId="0" fontId="0" fillId="0" borderId="0" xfId="0" applyAlignment="1" applyProtection="1">
      <alignment horizontal="center" vertical="center" wrapText="1"/>
      <protection locked="0"/>
    </xf>
    <xf numFmtId="0" fontId="0" fillId="0" borderId="0" xfId="0" applyFont="1" applyAlignment="1" applyProtection="1">
      <alignment horizontal="center" vertical="center" wrapText="1"/>
      <protection locked="0"/>
    </xf>
    <xf numFmtId="0" fontId="0" fillId="0" borderId="0" xfId="0" applyBorder="1" applyAlignment="1" applyProtection="1">
      <alignment horizontal="center" vertical="center" wrapText="1"/>
      <protection locked="0"/>
    </xf>
    <xf numFmtId="0" fontId="9" fillId="0" borderId="0" xfId="0" applyFont="1" applyAlignment="1" applyProtection="1">
      <alignment horizontal="center" vertical="center" wrapText="1"/>
      <protection locked="0"/>
    </xf>
    <xf numFmtId="0" fontId="0" fillId="39" borderId="0" xfId="0" applyFill="1" applyAlignment="1" applyProtection="1">
      <alignment horizontal="center" vertical="center" wrapText="1"/>
      <protection locked="0"/>
    </xf>
    <xf numFmtId="0" fontId="4" fillId="43" borderId="49" xfId="0" applyFont="1" applyFill="1" applyBorder="1" applyAlignment="1" applyProtection="1">
      <alignment vertical="center" wrapText="1"/>
      <protection locked="0"/>
    </xf>
    <xf numFmtId="0" fontId="0" fillId="0" borderId="0" xfId="0" quotePrefix="1" applyAlignment="1" applyProtection="1">
      <alignment horizontal="center" vertical="center" wrapText="1"/>
      <protection locked="0"/>
    </xf>
    <xf numFmtId="166" fontId="0" fillId="0" borderId="0" xfId="0" applyNumberFormat="1" applyAlignment="1" applyProtection="1">
      <alignment horizontal="center" vertical="center" wrapText="1"/>
      <protection locked="0"/>
    </xf>
    <xf numFmtId="0" fontId="0" fillId="44" borderId="49" xfId="0" applyFill="1" applyBorder="1" applyAlignment="1" applyProtection="1">
      <alignment vertical="center" wrapText="1"/>
      <protection locked="0"/>
    </xf>
    <xf numFmtId="0" fontId="0" fillId="44" borderId="0" xfId="0" applyFill="1" applyAlignment="1" applyProtection="1">
      <alignment horizontal="center" vertical="center" wrapText="1"/>
      <protection locked="0"/>
    </xf>
    <xf numFmtId="0" fontId="0" fillId="39" borderId="0" xfId="0" applyFill="1" applyAlignment="1" applyProtection="1">
      <alignment vertical="center" wrapText="1"/>
      <protection locked="0"/>
    </xf>
    <xf numFmtId="0" fontId="0" fillId="44" borderId="49" xfId="0" applyFill="1" applyBorder="1" applyAlignment="1" applyProtection="1">
      <alignment horizontal="center" vertical="center" wrapText="1"/>
      <protection locked="0"/>
    </xf>
    <xf numFmtId="166" fontId="0" fillId="0" borderId="0" xfId="0" applyNumberFormat="1" applyAlignment="1" applyProtection="1">
      <alignment vertical="center" wrapText="1"/>
      <protection locked="0"/>
    </xf>
    <xf numFmtId="0" fontId="0" fillId="0" borderId="0" xfId="0" applyNumberFormat="1" applyAlignment="1" applyProtection="1">
      <alignment horizontal="left" vertical="center" wrapText="1"/>
      <protection locked="0"/>
    </xf>
    <xf numFmtId="9" fontId="0" fillId="0" borderId="0" xfId="0" applyNumberFormat="1" applyAlignment="1" applyProtection="1">
      <alignment horizontal="center" vertical="center" wrapText="1"/>
      <protection locked="0"/>
    </xf>
    <xf numFmtId="0" fontId="0" fillId="43" borderId="48" xfId="0" applyFill="1" applyBorder="1" applyAlignment="1" applyProtection="1">
      <alignment horizontal="center" vertical="center" wrapText="1"/>
      <protection locked="0"/>
    </xf>
    <xf numFmtId="0" fontId="0" fillId="43" borderId="49" xfId="0" applyFill="1" applyBorder="1" applyAlignment="1" applyProtection="1">
      <alignment horizontal="center" vertical="center" wrapText="1"/>
      <protection locked="0"/>
    </xf>
    <xf numFmtId="0" fontId="13" fillId="39" borderId="10" xfId="0" applyFont="1" applyFill="1" applyBorder="1" applyAlignment="1">
      <alignment horizontal="center" vertical="center" wrapText="1"/>
    </xf>
    <xf numFmtId="0" fontId="4" fillId="45" borderId="48" xfId="0" applyFont="1" applyFill="1" applyBorder="1" applyAlignment="1" applyProtection="1">
      <alignment vertical="center" wrapText="1"/>
    </xf>
    <xf numFmtId="0" fontId="4" fillId="45" borderId="49" xfId="0" applyFont="1" applyFill="1" applyBorder="1" applyAlignment="1" applyProtection="1">
      <alignment vertical="center" wrapText="1"/>
    </xf>
    <xf numFmtId="0" fontId="4" fillId="45" borderId="49" xfId="0" applyFont="1" applyFill="1" applyBorder="1" applyAlignment="1" applyProtection="1">
      <alignment vertical="center" wrapText="1"/>
      <protection locked="0"/>
    </xf>
    <xf numFmtId="0" fontId="0" fillId="0" borderId="0" xfId="0" applyNumberFormat="1" applyAlignment="1" applyProtection="1">
      <alignment horizontal="center" vertical="center" wrapText="1"/>
      <protection locked="0"/>
    </xf>
    <xf numFmtId="0" fontId="0" fillId="0" borderId="0" xfId="0" applyNumberFormat="1" applyFont="1" applyAlignment="1" applyProtection="1">
      <alignment horizontal="center" vertical="center" wrapText="1"/>
      <protection locked="0"/>
    </xf>
    <xf numFmtId="0" fontId="9" fillId="0" borderId="0" xfId="0" applyNumberFormat="1" applyFont="1" applyAlignment="1" applyProtection="1">
      <alignment horizontal="center" vertical="center" wrapText="1"/>
      <protection locked="0"/>
    </xf>
    <xf numFmtId="0" fontId="65" fillId="39" borderId="0" xfId="0" applyFont="1" applyFill="1" applyAlignment="1">
      <alignment horizontal="left"/>
    </xf>
    <xf numFmtId="0" fontId="65" fillId="39" borderId="0" xfId="0" applyFont="1" applyFill="1" applyAlignment="1">
      <alignment horizontal="right" vertical="center"/>
    </xf>
    <xf numFmtId="0" fontId="51" fillId="39" borderId="0" xfId="0" applyFont="1" applyFill="1" applyAlignment="1">
      <alignment horizontal="right" vertical="center"/>
    </xf>
    <xf numFmtId="9" fontId="0" fillId="0" borderId="0" xfId="0" applyNumberFormat="1" applyBorder="1" applyAlignment="1" applyProtection="1">
      <alignment horizontal="center" vertical="center" wrapText="1"/>
      <protection locked="0"/>
    </xf>
    <xf numFmtId="0" fontId="12" fillId="19" borderId="9" xfId="0" applyFont="1" applyFill="1" applyBorder="1" applyAlignment="1">
      <alignment horizontal="left" vertical="center" wrapText="1"/>
    </xf>
    <xf numFmtId="0" fontId="12" fillId="19" borderId="10" xfId="0" applyFont="1" applyFill="1" applyBorder="1" applyAlignment="1">
      <alignment horizontal="left" vertical="center" wrapText="1"/>
    </xf>
    <xf numFmtId="0" fontId="13" fillId="0" borderId="10" xfId="0" applyFont="1" applyBorder="1" applyAlignment="1">
      <alignment horizontal="left" vertical="center" wrapText="1"/>
    </xf>
    <xf numFmtId="0" fontId="13" fillId="0" borderId="11" xfId="0" applyFont="1" applyBorder="1" applyAlignment="1">
      <alignment horizontal="left" vertical="center" wrapText="1"/>
    </xf>
    <xf numFmtId="0" fontId="50" fillId="0" borderId="0" xfId="0" applyFont="1" applyAlignment="1">
      <alignment horizontal="left" vertical="center" wrapText="1"/>
    </xf>
    <xf numFmtId="0" fontId="12" fillId="19" borderId="6" xfId="0" applyFont="1" applyFill="1" applyBorder="1" applyAlignment="1">
      <alignment horizontal="left" vertical="center" wrapText="1"/>
    </xf>
    <xf numFmtId="0" fontId="12" fillId="19" borderId="7" xfId="0" applyFont="1" applyFill="1" applyBorder="1" applyAlignment="1">
      <alignment horizontal="left"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48" xfId="0" applyFont="1" applyBorder="1" applyAlignment="1">
      <alignment horizontal="left" vertical="center" wrapText="1"/>
    </xf>
    <xf numFmtId="0" fontId="13" fillId="0" borderId="49" xfId="0" applyFont="1" applyBorder="1" applyAlignment="1">
      <alignment horizontal="left" vertical="center" wrapText="1"/>
    </xf>
    <xf numFmtId="0" fontId="13" fillId="0" borderId="51" xfId="0" applyFont="1" applyBorder="1" applyAlignment="1">
      <alignment horizontal="left" vertical="center" wrapText="1"/>
    </xf>
    <xf numFmtId="0" fontId="12" fillId="19" borderId="52" xfId="0" applyFont="1" applyFill="1" applyBorder="1" applyAlignment="1">
      <alignment horizontal="left" vertical="center" wrapText="1"/>
    </xf>
    <xf numFmtId="0" fontId="12" fillId="19" borderId="50" xfId="0" applyFont="1" applyFill="1" applyBorder="1" applyAlignment="1">
      <alignment horizontal="left" vertical="center" wrapText="1"/>
    </xf>
    <xf numFmtId="0" fontId="12" fillId="19" borderId="12" xfId="0" applyFont="1" applyFill="1" applyBorder="1" applyAlignment="1">
      <alignment horizontal="left" vertical="center" wrapText="1"/>
    </xf>
    <xf numFmtId="0" fontId="12" fillId="19" borderId="13" xfId="0" applyFont="1" applyFill="1" applyBorder="1" applyAlignment="1">
      <alignment horizontal="left" vertical="center" wrapText="1"/>
    </xf>
    <xf numFmtId="14" fontId="13" fillId="0" borderId="13" xfId="0" applyNumberFormat="1" applyFont="1" applyBorder="1" applyAlignment="1">
      <alignment horizontal="left" vertical="center" wrapText="1"/>
    </xf>
    <xf numFmtId="0" fontId="13" fillId="0" borderId="13" xfId="0" applyFont="1" applyBorder="1" applyAlignment="1">
      <alignment horizontal="left" vertical="center" wrapText="1"/>
    </xf>
    <xf numFmtId="0" fontId="13" fillId="0" borderId="14" xfId="0" applyFont="1" applyBorder="1" applyAlignment="1">
      <alignment horizontal="left" vertical="center" wrapText="1"/>
    </xf>
    <xf numFmtId="0" fontId="12" fillId="0" borderId="15" xfId="0" applyFont="1" applyBorder="1" applyAlignment="1">
      <alignment horizontal="center" vertical="center" wrapText="1"/>
    </xf>
    <xf numFmtId="0" fontId="12" fillId="0" borderId="35" xfId="0" applyFont="1" applyBorder="1" applyAlignment="1">
      <alignment horizontal="center" vertical="center" wrapText="1"/>
    </xf>
    <xf numFmtId="0" fontId="12" fillId="19" borderId="6" xfId="0" applyFont="1" applyFill="1" applyBorder="1" applyAlignment="1">
      <alignment horizontal="center" vertical="center" wrapText="1"/>
    </xf>
    <xf numFmtId="0" fontId="12" fillId="19" borderId="64" xfId="0" applyFont="1" applyFill="1" applyBorder="1" applyAlignment="1">
      <alignment horizontal="center" vertical="center" wrapText="1"/>
    </xf>
    <xf numFmtId="0" fontId="12" fillId="19" borderId="7" xfId="0" applyFont="1" applyFill="1" applyBorder="1" applyAlignment="1">
      <alignment horizontal="center" vertical="center" wrapText="1"/>
    </xf>
    <xf numFmtId="0" fontId="12" fillId="19" borderId="36" xfId="0" applyFont="1" applyFill="1" applyBorder="1" applyAlignment="1">
      <alignment horizontal="center" vertical="center" wrapText="1"/>
    </xf>
    <xf numFmtId="0" fontId="12" fillId="19" borderId="16" xfId="0" applyFont="1" applyFill="1" applyBorder="1" applyAlignment="1">
      <alignment horizontal="center" vertical="center" wrapText="1"/>
    </xf>
    <xf numFmtId="0" fontId="12" fillId="19" borderId="65" xfId="0" applyFont="1" applyFill="1" applyBorder="1" applyAlignment="1">
      <alignment horizontal="center" vertical="center" wrapText="1"/>
    </xf>
    <xf numFmtId="0" fontId="50" fillId="42" borderId="59" xfId="0" applyFont="1" applyFill="1" applyBorder="1" applyAlignment="1">
      <alignment horizontal="center" vertical="center" wrapText="1"/>
    </xf>
    <xf numFmtId="0" fontId="50" fillId="42" borderId="60" xfId="0" applyFont="1" applyFill="1" applyBorder="1" applyAlignment="1">
      <alignment horizontal="center" vertical="center" wrapText="1"/>
    </xf>
    <xf numFmtId="0" fontId="50" fillId="42" borderId="37" xfId="0" applyFont="1" applyFill="1" applyBorder="1" applyAlignment="1">
      <alignment horizontal="center" vertical="center" wrapText="1"/>
    </xf>
    <xf numFmtId="0" fontId="13" fillId="39" borderId="61" xfId="0" applyFont="1" applyFill="1" applyBorder="1" applyAlignment="1">
      <alignment horizontal="center" vertical="center"/>
    </xf>
    <xf numFmtId="0" fontId="13" fillId="39" borderId="62" xfId="0" applyFont="1" applyFill="1" applyBorder="1" applyAlignment="1">
      <alignment horizontal="center" vertical="center"/>
    </xf>
    <xf numFmtId="0" fontId="13" fillId="39" borderId="52" xfId="0" applyFont="1" applyFill="1" applyBorder="1" applyAlignment="1">
      <alignment horizontal="center" vertical="center" wrapText="1"/>
    </xf>
    <xf numFmtId="0" fontId="13" fillId="39" borderId="50" xfId="0" applyFont="1" applyFill="1" applyBorder="1" applyAlignment="1">
      <alignment horizontal="center" vertical="center" wrapText="1"/>
    </xf>
    <xf numFmtId="0" fontId="12" fillId="19" borderId="39" xfId="0" applyFont="1" applyFill="1" applyBorder="1" applyAlignment="1">
      <alignment horizontal="center" vertical="center" wrapText="1"/>
    </xf>
    <xf numFmtId="0" fontId="12" fillId="19" borderId="67" xfId="0" applyFont="1" applyFill="1" applyBorder="1" applyAlignment="1">
      <alignment horizontal="center" vertical="center" wrapText="1"/>
    </xf>
    <xf numFmtId="0" fontId="13" fillId="39" borderId="18" xfId="0" quotePrefix="1" applyFont="1" applyFill="1" applyBorder="1" applyAlignment="1">
      <alignment horizontal="center" vertical="center" wrapText="1"/>
    </xf>
    <xf numFmtId="0" fontId="13" fillId="39" borderId="38" xfId="0" quotePrefix="1" applyFont="1" applyFill="1" applyBorder="1" applyAlignment="1">
      <alignment horizontal="center" vertical="center" wrapText="1"/>
    </xf>
    <xf numFmtId="0" fontId="13" fillId="39" borderId="9" xfId="0" applyFont="1" applyFill="1" applyBorder="1" applyAlignment="1">
      <alignment horizontal="center" vertical="center" wrapText="1"/>
    </xf>
    <xf numFmtId="0" fontId="13" fillId="39" borderId="10" xfId="0" applyFont="1" applyFill="1" applyBorder="1" applyAlignment="1">
      <alignment horizontal="center" vertical="center" wrapText="1"/>
    </xf>
    <xf numFmtId="0" fontId="51" fillId="0" borderId="0" xfId="0" applyFont="1" applyAlignment="1">
      <alignment horizontal="left" vertical="center"/>
    </xf>
    <xf numFmtId="0" fontId="13" fillId="0" borderId="0" xfId="0" applyFont="1" applyAlignment="1">
      <alignment horizontal="left" vertical="center"/>
    </xf>
    <xf numFmtId="0" fontId="6" fillId="2" borderId="42" xfId="0" applyFont="1" applyFill="1" applyBorder="1" applyAlignment="1">
      <alignment horizontal="center" vertical="center" wrapText="1"/>
    </xf>
    <xf numFmtId="0" fontId="6" fillId="2" borderId="43" xfId="0" applyFont="1" applyFill="1" applyBorder="1" applyAlignment="1">
      <alignment horizontal="center" vertical="center" wrapText="1"/>
    </xf>
    <xf numFmtId="0" fontId="6" fillId="2" borderId="44" xfId="0" applyFont="1" applyFill="1" applyBorder="1" applyAlignment="1">
      <alignment horizontal="center" vertical="center" wrapText="1"/>
    </xf>
    <xf numFmtId="0" fontId="0" fillId="0" borderId="45" xfId="0" applyBorder="1" applyAlignment="1">
      <alignment horizontal="center"/>
    </xf>
    <xf numFmtId="0" fontId="0" fillId="0" borderId="46" xfId="0" applyBorder="1" applyAlignment="1">
      <alignment horizontal="center"/>
    </xf>
    <xf numFmtId="0" fontId="0" fillId="0" borderId="47" xfId="0" applyBorder="1" applyAlignment="1">
      <alignment horizontal="center"/>
    </xf>
    <xf numFmtId="169" fontId="0" fillId="42" borderId="48" xfId="0" applyNumberFormat="1" applyFill="1" applyBorder="1" applyAlignment="1">
      <alignment horizontal="left" vertical="center" wrapText="1"/>
    </xf>
    <xf numFmtId="169" fontId="0" fillId="42" borderId="49" xfId="0" applyNumberFormat="1" applyFill="1" applyBorder="1" applyAlignment="1">
      <alignment horizontal="left" vertical="center" wrapText="1"/>
    </xf>
    <xf numFmtId="169" fontId="0" fillId="42" borderId="50" xfId="0" applyNumberFormat="1" applyFill="1" applyBorder="1" applyAlignment="1">
      <alignment horizontal="left" vertical="center" wrapText="1"/>
    </xf>
    <xf numFmtId="0" fontId="0" fillId="41" borderId="0" xfId="0" applyFill="1" applyAlignment="1">
      <alignment horizontal="left" vertical="center" wrapText="1"/>
    </xf>
    <xf numFmtId="0" fontId="61" fillId="42" borderId="48" xfId="0" applyFont="1" applyFill="1" applyBorder="1" applyAlignment="1">
      <alignment horizontal="center" vertical="center"/>
    </xf>
    <xf numFmtId="0" fontId="61" fillId="42" borderId="49" xfId="0" applyFont="1" applyFill="1" applyBorder="1" applyAlignment="1">
      <alignment horizontal="center" vertical="center"/>
    </xf>
    <xf numFmtId="0" fontId="61" fillId="42" borderId="50" xfId="0" applyFont="1" applyFill="1" applyBorder="1" applyAlignment="1">
      <alignment horizontal="center" vertical="center"/>
    </xf>
  </cellXfs>
  <cellStyles count="7181">
    <cellStyle name="20% - Accent1 10" xfId="1" xr:uid="{00000000-0005-0000-0000-000000000000}"/>
    <cellStyle name="20% - Accent1 11" xfId="2" xr:uid="{00000000-0005-0000-0000-000001000000}"/>
    <cellStyle name="20% - Accent1 2" xfId="3" xr:uid="{00000000-0005-0000-0000-000002000000}"/>
    <cellStyle name="20% - Accent1 2 2" xfId="4" xr:uid="{00000000-0005-0000-0000-000003000000}"/>
    <cellStyle name="20% - Accent1 2 2 2" xfId="5" xr:uid="{00000000-0005-0000-0000-000004000000}"/>
    <cellStyle name="20% - Accent1 2 2 2 2" xfId="6" xr:uid="{00000000-0005-0000-0000-000005000000}"/>
    <cellStyle name="20% - Accent1 2 2 2 2 2" xfId="7" xr:uid="{00000000-0005-0000-0000-000006000000}"/>
    <cellStyle name="20% - Accent1 2 2 2 2 2 2" xfId="8" xr:uid="{00000000-0005-0000-0000-000007000000}"/>
    <cellStyle name="20% - Accent1 2 2 2 2 3" xfId="9" xr:uid="{00000000-0005-0000-0000-000008000000}"/>
    <cellStyle name="20% - Accent1 2 2 2 3" xfId="10" xr:uid="{00000000-0005-0000-0000-000009000000}"/>
    <cellStyle name="20% - Accent1 2 2 2 3 2" xfId="11" xr:uid="{00000000-0005-0000-0000-00000A000000}"/>
    <cellStyle name="20% - Accent1 2 2 2 4" xfId="12" xr:uid="{00000000-0005-0000-0000-00000B000000}"/>
    <cellStyle name="20% - Accent1 2 2 3" xfId="13" xr:uid="{00000000-0005-0000-0000-00000C000000}"/>
    <cellStyle name="20% - Accent1 2 2 3 2" xfId="14" xr:uid="{00000000-0005-0000-0000-00000D000000}"/>
    <cellStyle name="20% - Accent1 2 2 3 2 2" xfId="15" xr:uid="{00000000-0005-0000-0000-00000E000000}"/>
    <cellStyle name="20% - Accent1 2 2 3 2 2 2" xfId="16" xr:uid="{00000000-0005-0000-0000-00000F000000}"/>
    <cellStyle name="20% - Accent1 2 2 3 2 3" xfId="17" xr:uid="{00000000-0005-0000-0000-000010000000}"/>
    <cellStyle name="20% - Accent1 2 2 3 3" xfId="18" xr:uid="{00000000-0005-0000-0000-000011000000}"/>
    <cellStyle name="20% - Accent1 2 2 3 3 2" xfId="19" xr:uid="{00000000-0005-0000-0000-000012000000}"/>
    <cellStyle name="20% - Accent1 2 2 3 4" xfId="20" xr:uid="{00000000-0005-0000-0000-000013000000}"/>
    <cellStyle name="20% - Accent1 2 2 4" xfId="21" xr:uid="{00000000-0005-0000-0000-000014000000}"/>
    <cellStyle name="20% - Accent1 2 2 4 2" xfId="22" xr:uid="{00000000-0005-0000-0000-000015000000}"/>
    <cellStyle name="20% - Accent1 2 2 4 2 2" xfId="23" xr:uid="{00000000-0005-0000-0000-000016000000}"/>
    <cellStyle name="20% - Accent1 2 2 4 3" xfId="24" xr:uid="{00000000-0005-0000-0000-000017000000}"/>
    <cellStyle name="20% - Accent1 2 2 5" xfId="25" xr:uid="{00000000-0005-0000-0000-000018000000}"/>
    <cellStyle name="20% - Accent1 2 2 5 2" xfId="26" xr:uid="{00000000-0005-0000-0000-000019000000}"/>
    <cellStyle name="20% - Accent1 2 2 6" xfId="27" xr:uid="{00000000-0005-0000-0000-00001A000000}"/>
    <cellStyle name="20% - Accent1 2 2 7" xfId="28" xr:uid="{00000000-0005-0000-0000-00001B000000}"/>
    <cellStyle name="20% - Accent1 2 3" xfId="29" xr:uid="{00000000-0005-0000-0000-00001C000000}"/>
    <cellStyle name="20% - Accent1 2 4" xfId="30" xr:uid="{00000000-0005-0000-0000-00001D000000}"/>
    <cellStyle name="20% - Accent1 2 4 2" xfId="31" xr:uid="{00000000-0005-0000-0000-00001E000000}"/>
    <cellStyle name="20% - Accent1 2 4 2 2" xfId="32" xr:uid="{00000000-0005-0000-0000-00001F000000}"/>
    <cellStyle name="20% - Accent1 2 4 2 2 2" xfId="33" xr:uid="{00000000-0005-0000-0000-000020000000}"/>
    <cellStyle name="20% - Accent1 2 4 2 3" xfId="34" xr:uid="{00000000-0005-0000-0000-000021000000}"/>
    <cellStyle name="20% - Accent1 2 4 3" xfId="35" xr:uid="{00000000-0005-0000-0000-000022000000}"/>
    <cellStyle name="20% - Accent1 2 4 3 2" xfId="36" xr:uid="{00000000-0005-0000-0000-000023000000}"/>
    <cellStyle name="20% - Accent1 2 4 4" xfId="37" xr:uid="{00000000-0005-0000-0000-000024000000}"/>
    <cellStyle name="20% - Accent1 2 5" xfId="38" xr:uid="{00000000-0005-0000-0000-000025000000}"/>
    <cellStyle name="20% - Accent1 2 5 2" xfId="39" xr:uid="{00000000-0005-0000-0000-000026000000}"/>
    <cellStyle name="20% - Accent1 2 5 2 2" xfId="40" xr:uid="{00000000-0005-0000-0000-000027000000}"/>
    <cellStyle name="20% - Accent1 2 5 2 2 2" xfId="41" xr:uid="{00000000-0005-0000-0000-000028000000}"/>
    <cellStyle name="20% - Accent1 2 5 2 3" xfId="42" xr:uid="{00000000-0005-0000-0000-000029000000}"/>
    <cellStyle name="20% - Accent1 2 5 3" xfId="43" xr:uid="{00000000-0005-0000-0000-00002A000000}"/>
    <cellStyle name="20% - Accent1 2 5 3 2" xfId="44" xr:uid="{00000000-0005-0000-0000-00002B000000}"/>
    <cellStyle name="20% - Accent1 2 5 4" xfId="45" xr:uid="{00000000-0005-0000-0000-00002C000000}"/>
    <cellStyle name="20% - Accent1 2 6" xfId="46" xr:uid="{00000000-0005-0000-0000-00002D000000}"/>
    <cellStyle name="20% - Accent1 2 6 2" xfId="47" xr:uid="{00000000-0005-0000-0000-00002E000000}"/>
    <cellStyle name="20% - Accent1 2 7" xfId="48" xr:uid="{00000000-0005-0000-0000-00002F000000}"/>
    <cellStyle name="20% - Accent1 3" xfId="49" xr:uid="{00000000-0005-0000-0000-000030000000}"/>
    <cellStyle name="20% - Accent1 3 2" xfId="50" xr:uid="{00000000-0005-0000-0000-000031000000}"/>
    <cellStyle name="20% - Accent1 3 3" xfId="51" xr:uid="{00000000-0005-0000-0000-000032000000}"/>
    <cellStyle name="20% - Accent1 4" xfId="52" xr:uid="{00000000-0005-0000-0000-000033000000}"/>
    <cellStyle name="20% - Accent1 4 2" xfId="53" xr:uid="{00000000-0005-0000-0000-000034000000}"/>
    <cellStyle name="20% - Accent1 4 2 2" xfId="54" xr:uid="{00000000-0005-0000-0000-000035000000}"/>
    <cellStyle name="20% - Accent1 4 2 2 2" xfId="55" xr:uid="{00000000-0005-0000-0000-000036000000}"/>
    <cellStyle name="20% - Accent1 4 2 2 2 2" xfId="56" xr:uid="{00000000-0005-0000-0000-000037000000}"/>
    <cellStyle name="20% - Accent1 4 2 2 3" xfId="57" xr:uid="{00000000-0005-0000-0000-000038000000}"/>
    <cellStyle name="20% - Accent1 4 2 3" xfId="58" xr:uid="{00000000-0005-0000-0000-000039000000}"/>
    <cellStyle name="20% - Accent1 4 2 3 2" xfId="59" xr:uid="{00000000-0005-0000-0000-00003A000000}"/>
    <cellStyle name="20% - Accent1 4 2 4" xfId="60" xr:uid="{00000000-0005-0000-0000-00003B000000}"/>
    <cellStyle name="20% - Accent1 4 3" xfId="61" xr:uid="{00000000-0005-0000-0000-00003C000000}"/>
    <cellStyle name="20% - Accent1 4 3 2" xfId="62" xr:uid="{00000000-0005-0000-0000-00003D000000}"/>
    <cellStyle name="20% - Accent1 4 3 2 2" xfId="63" xr:uid="{00000000-0005-0000-0000-00003E000000}"/>
    <cellStyle name="20% - Accent1 4 3 3" xfId="64" xr:uid="{00000000-0005-0000-0000-00003F000000}"/>
    <cellStyle name="20% - Accent1 4 4" xfId="65" xr:uid="{00000000-0005-0000-0000-000040000000}"/>
    <cellStyle name="20% - Accent1 4 4 2" xfId="66" xr:uid="{00000000-0005-0000-0000-000041000000}"/>
    <cellStyle name="20% - Accent1 4 5" xfId="67" xr:uid="{00000000-0005-0000-0000-000042000000}"/>
    <cellStyle name="20% - Accent1 4 6" xfId="68" xr:uid="{00000000-0005-0000-0000-000043000000}"/>
    <cellStyle name="20% - Accent1 5" xfId="69" xr:uid="{00000000-0005-0000-0000-000044000000}"/>
    <cellStyle name="20% - Accent1 5 2" xfId="70" xr:uid="{00000000-0005-0000-0000-000045000000}"/>
    <cellStyle name="20% - Accent1 5 2 2" xfId="71" xr:uid="{00000000-0005-0000-0000-000046000000}"/>
    <cellStyle name="20% - Accent1 5 2 2 2" xfId="72" xr:uid="{00000000-0005-0000-0000-000047000000}"/>
    <cellStyle name="20% - Accent1 5 2 3" xfId="73" xr:uid="{00000000-0005-0000-0000-000048000000}"/>
    <cellStyle name="20% - Accent1 5 3" xfId="74" xr:uid="{00000000-0005-0000-0000-000049000000}"/>
    <cellStyle name="20% - Accent1 5 3 2" xfId="75" xr:uid="{00000000-0005-0000-0000-00004A000000}"/>
    <cellStyle name="20% - Accent1 5 4" xfId="76" xr:uid="{00000000-0005-0000-0000-00004B000000}"/>
    <cellStyle name="20% - Accent1 6" xfId="77" xr:uid="{00000000-0005-0000-0000-00004C000000}"/>
    <cellStyle name="20% - Accent1 6 2" xfId="78" xr:uid="{00000000-0005-0000-0000-00004D000000}"/>
    <cellStyle name="20% - Accent1 6 2 2" xfId="79" xr:uid="{00000000-0005-0000-0000-00004E000000}"/>
    <cellStyle name="20% - Accent1 6 2 2 2" xfId="80" xr:uid="{00000000-0005-0000-0000-00004F000000}"/>
    <cellStyle name="20% - Accent1 6 2 3" xfId="81" xr:uid="{00000000-0005-0000-0000-000050000000}"/>
    <cellStyle name="20% - Accent1 6 3" xfId="82" xr:uid="{00000000-0005-0000-0000-000051000000}"/>
    <cellStyle name="20% - Accent1 6 3 2" xfId="83" xr:uid="{00000000-0005-0000-0000-000052000000}"/>
    <cellStyle name="20% - Accent1 6 4" xfId="84" xr:uid="{00000000-0005-0000-0000-000053000000}"/>
    <cellStyle name="20% - Accent1 7" xfId="85" xr:uid="{00000000-0005-0000-0000-000054000000}"/>
    <cellStyle name="20% - Accent1 7 2" xfId="86" xr:uid="{00000000-0005-0000-0000-000055000000}"/>
    <cellStyle name="20% - Accent1 7 2 2" xfId="87" xr:uid="{00000000-0005-0000-0000-000056000000}"/>
    <cellStyle name="20% - Accent1 7 3" xfId="88" xr:uid="{00000000-0005-0000-0000-000057000000}"/>
    <cellStyle name="20% - Accent1 8" xfId="89" xr:uid="{00000000-0005-0000-0000-000058000000}"/>
    <cellStyle name="20% - Accent1 8 2" xfId="90" xr:uid="{00000000-0005-0000-0000-000059000000}"/>
    <cellStyle name="20% - Accent1 9" xfId="91" xr:uid="{00000000-0005-0000-0000-00005A000000}"/>
    <cellStyle name="20% - Accent1 9 2" xfId="92" xr:uid="{00000000-0005-0000-0000-00005B000000}"/>
    <cellStyle name="20% - Accent2 10" xfId="93" xr:uid="{00000000-0005-0000-0000-00005C000000}"/>
    <cellStyle name="20% - Accent2 11" xfId="94" xr:uid="{00000000-0005-0000-0000-00005D000000}"/>
    <cellStyle name="20% - Accent2 2" xfId="95" xr:uid="{00000000-0005-0000-0000-00005E000000}"/>
    <cellStyle name="20% - Accent2 2 2" xfId="96" xr:uid="{00000000-0005-0000-0000-00005F000000}"/>
    <cellStyle name="20% - Accent2 2 2 2" xfId="97" xr:uid="{00000000-0005-0000-0000-000060000000}"/>
    <cellStyle name="20% - Accent2 2 2 2 2" xfId="98" xr:uid="{00000000-0005-0000-0000-000061000000}"/>
    <cellStyle name="20% - Accent2 2 2 2 2 2" xfId="99" xr:uid="{00000000-0005-0000-0000-000062000000}"/>
    <cellStyle name="20% - Accent2 2 2 2 2 2 2" xfId="100" xr:uid="{00000000-0005-0000-0000-000063000000}"/>
    <cellStyle name="20% - Accent2 2 2 2 2 3" xfId="101" xr:uid="{00000000-0005-0000-0000-000064000000}"/>
    <cellStyle name="20% - Accent2 2 2 2 3" xfId="102" xr:uid="{00000000-0005-0000-0000-000065000000}"/>
    <cellStyle name="20% - Accent2 2 2 2 3 2" xfId="103" xr:uid="{00000000-0005-0000-0000-000066000000}"/>
    <cellStyle name="20% - Accent2 2 2 2 4" xfId="104" xr:uid="{00000000-0005-0000-0000-000067000000}"/>
    <cellStyle name="20% - Accent2 2 2 3" xfId="105" xr:uid="{00000000-0005-0000-0000-000068000000}"/>
    <cellStyle name="20% - Accent2 2 2 3 2" xfId="106" xr:uid="{00000000-0005-0000-0000-000069000000}"/>
    <cellStyle name="20% - Accent2 2 2 3 2 2" xfId="107" xr:uid="{00000000-0005-0000-0000-00006A000000}"/>
    <cellStyle name="20% - Accent2 2 2 3 2 2 2" xfId="108" xr:uid="{00000000-0005-0000-0000-00006B000000}"/>
    <cellStyle name="20% - Accent2 2 2 3 2 3" xfId="109" xr:uid="{00000000-0005-0000-0000-00006C000000}"/>
    <cellStyle name="20% - Accent2 2 2 3 3" xfId="110" xr:uid="{00000000-0005-0000-0000-00006D000000}"/>
    <cellStyle name="20% - Accent2 2 2 3 3 2" xfId="111" xr:uid="{00000000-0005-0000-0000-00006E000000}"/>
    <cellStyle name="20% - Accent2 2 2 3 4" xfId="112" xr:uid="{00000000-0005-0000-0000-00006F000000}"/>
    <cellStyle name="20% - Accent2 2 2 4" xfId="113" xr:uid="{00000000-0005-0000-0000-000070000000}"/>
    <cellStyle name="20% - Accent2 2 2 4 2" xfId="114" xr:uid="{00000000-0005-0000-0000-000071000000}"/>
    <cellStyle name="20% - Accent2 2 2 4 2 2" xfId="115" xr:uid="{00000000-0005-0000-0000-000072000000}"/>
    <cellStyle name="20% - Accent2 2 2 4 3" xfId="116" xr:uid="{00000000-0005-0000-0000-000073000000}"/>
    <cellStyle name="20% - Accent2 2 2 5" xfId="117" xr:uid="{00000000-0005-0000-0000-000074000000}"/>
    <cellStyle name="20% - Accent2 2 2 5 2" xfId="118" xr:uid="{00000000-0005-0000-0000-000075000000}"/>
    <cellStyle name="20% - Accent2 2 2 6" xfId="119" xr:uid="{00000000-0005-0000-0000-000076000000}"/>
    <cellStyle name="20% - Accent2 2 2 7" xfId="120" xr:uid="{00000000-0005-0000-0000-000077000000}"/>
    <cellStyle name="20% - Accent2 2 3" xfId="121" xr:uid="{00000000-0005-0000-0000-000078000000}"/>
    <cellStyle name="20% - Accent2 2 4" xfId="122" xr:uid="{00000000-0005-0000-0000-000079000000}"/>
    <cellStyle name="20% - Accent2 2 4 2" xfId="123" xr:uid="{00000000-0005-0000-0000-00007A000000}"/>
    <cellStyle name="20% - Accent2 2 4 2 2" xfId="124" xr:uid="{00000000-0005-0000-0000-00007B000000}"/>
    <cellStyle name="20% - Accent2 2 4 2 2 2" xfId="125" xr:uid="{00000000-0005-0000-0000-00007C000000}"/>
    <cellStyle name="20% - Accent2 2 4 2 3" xfId="126" xr:uid="{00000000-0005-0000-0000-00007D000000}"/>
    <cellStyle name="20% - Accent2 2 4 3" xfId="127" xr:uid="{00000000-0005-0000-0000-00007E000000}"/>
    <cellStyle name="20% - Accent2 2 4 3 2" xfId="128" xr:uid="{00000000-0005-0000-0000-00007F000000}"/>
    <cellStyle name="20% - Accent2 2 4 4" xfId="129" xr:uid="{00000000-0005-0000-0000-000080000000}"/>
    <cellStyle name="20% - Accent2 2 5" xfId="130" xr:uid="{00000000-0005-0000-0000-000081000000}"/>
    <cellStyle name="20% - Accent2 2 5 2" xfId="131" xr:uid="{00000000-0005-0000-0000-000082000000}"/>
    <cellStyle name="20% - Accent2 2 5 2 2" xfId="132" xr:uid="{00000000-0005-0000-0000-000083000000}"/>
    <cellStyle name="20% - Accent2 2 5 2 2 2" xfId="133" xr:uid="{00000000-0005-0000-0000-000084000000}"/>
    <cellStyle name="20% - Accent2 2 5 2 3" xfId="134" xr:uid="{00000000-0005-0000-0000-000085000000}"/>
    <cellStyle name="20% - Accent2 2 5 3" xfId="135" xr:uid="{00000000-0005-0000-0000-000086000000}"/>
    <cellStyle name="20% - Accent2 2 5 3 2" xfId="136" xr:uid="{00000000-0005-0000-0000-000087000000}"/>
    <cellStyle name="20% - Accent2 2 5 4" xfId="137" xr:uid="{00000000-0005-0000-0000-000088000000}"/>
    <cellStyle name="20% - Accent2 2 6" xfId="138" xr:uid="{00000000-0005-0000-0000-000089000000}"/>
    <cellStyle name="20% - Accent2 2 6 2" xfId="139" xr:uid="{00000000-0005-0000-0000-00008A000000}"/>
    <cellStyle name="20% - Accent2 2 7" xfId="140" xr:uid="{00000000-0005-0000-0000-00008B000000}"/>
    <cellStyle name="20% - Accent2 3" xfId="141" xr:uid="{00000000-0005-0000-0000-00008C000000}"/>
    <cellStyle name="20% - Accent2 3 2" xfId="142" xr:uid="{00000000-0005-0000-0000-00008D000000}"/>
    <cellStyle name="20% - Accent2 3 3" xfId="143" xr:uid="{00000000-0005-0000-0000-00008E000000}"/>
    <cellStyle name="20% - Accent2 4" xfId="144" xr:uid="{00000000-0005-0000-0000-00008F000000}"/>
    <cellStyle name="20% - Accent2 4 2" xfId="145" xr:uid="{00000000-0005-0000-0000-000090000000}"/>
    <cellStyle name="20% - Accent2 4 2 2" xfId="146" xr:uid="{00000000-0005-0000-0000-000091000000}"/>
    <cellStyle name="20% - Accent2 4 2 2 2" xfId="147" xr:uid="{00000000-0005-0000-0000-000092000000}"/>
    <cellStyle name="20% - Accent2 4 2 2 2 2" xfId="148" xr:uid="{00000000-0005-0000-0000-000093000000}"/>
    <cellStyle name="20% - Accent2 4 2 2 3" xfId="149" xr:uid="{00000000-0005-0000-0000-000094000000}"/>
    <cellStyle name="20% - Accent2 4 2 3" xfId="150" xr:uid="{00000000-0005-0000-0000-000095000000}"/>
    <cellStyle name="20% - Accent2 4 2 3 2" xfId="151" xr:uid="{00000000-0005-0000-0000-000096000000}"/>
    <cellStyle name="20% - Accent2 4 2 4" xfId="152" xr:uid="{00000000-0005-0000-0000-000097000000}"/>
    <cellStyle name="20% - Accent2 4 3" xfId="153" xr:uid="{00000000-0005-0000-0000-000098000000}"/>
    <cellStyle name="20% - Accent2 4 3 2" xfId="154" xr:uid="{00000000-0005-0000-0000-000099000000}"/>
    <cellStyle name="20% - Accent2 4 3 2 2" xfId="155" xr:uid="{00000000-0005-0000-0000-00009A000000}"/>
    <cellStyle name="20% - Accent2 4 3 3" xfId="156" xr:uid="{00000000-0005-0000-0000-00009B000000}"/>
    <cellStyle name="20% - Accent2 4 4" xfId="157" xr:uid="{00000000-0005-0000-0000-00009C000000}"/>
    <cellStyle name="20% - Accent2 4 4 2" xfId="158" xr:uid="{00000000-0005-0000-0000-00009D000000}"/>
    <cellStyle name="20% - Accent2 4 5" xfId="159" xr:uid="{00000000-0005-0000-0000-00009E000000}"/>
    <cellStyle name="20% - Accent2 4 6" xfId="160" xr:uid="{00000000-0005-0000-0000-00009F000000}"/>
    <cellStyle name="20% - Accent2 5" xfId="161" xr:uid="{00000000-0005-0000-0000-0000A0000000}"/>
    <cellStyle name="20% - Accent2 5 2" xfId="162" xr:uid="{00000000-0005-0000-0000-0000A1000000}"/>
    <cellStyle name="20% - Accent2 5 2 2" xfId="163" xr:uid="{00000000-0005-0000-0000-0000A2000000}"/>
    <cellStyle name="20% - Accent2 5 2 2 2" xfId="164" xr:uid="{00000000-0005-0000-0000-0000A3000000}"/>
    <cellStyle name="20% - Accent2 5 2 3" xfId="165" xr:uid="{00000000-0005-0000-0000-0000A4000000}"/>
    <cellStyle name="20% - Accent2 5 3" xfId="166" xr:uid="{00000000-0005-0000-0000-0000A5000000}"/>
    <cellStyle name="20% - Accent2 5 3 2" xfId="167" xr:uid="{00000000-0005-0000-0000-0000A6000000}"/>
    <cellStyle name="20% - Accent2 5 4" xfId="168" xr:uid="{00000000-0005-0000-0000-0000A7000000}"/>
    <cellStyle name="20% - Accent2 6" xfId="169" xr:uid="{00000000-0005-0000-0000-0000A8000000}"/>
    <cellStyle name="20% - Accent2 6 2" xfId="170" xr:uid="{00000000-0005-0000-0000-0000A9000000}"/>
    <cellStyle name="20% - Accent2 6 2 2" xfId="171" xr:uid="{00000000-0005-0000-0000-0000AA000000}"/>
    <cellStyle name="20% - Accent2 6 2 2 2" xfId="172" xr:uid="{00000000-0005-0000-0000-0000AB000000}"/>
    <cellStyle name="20% - Accent2 6 2 3" xfId="173" xr:uid="{00000000-0005-0000-0000-0000AC000000}"/>
    <cellStyle name="20% - Accent2 6 3" xfId="174" xr:uid="{00000000-0005-0000-0000-0000AD000000}"/>
    <cellStyle name="20% - Accent2 6 3 2" xfId="175" xr:uid="{00000000-0005-0000-0000-0000AE000000}"/>
    <cellStyle name="20% - Accent2 6 4" xfId="176" xr:uid="{00000000-0005-0000-0000-0000AF000000}"/>
    <cellStyle name="20% - Accent2 7" xfId="177" xr:uid="{00000000-0005-0000-0000-0000B0000000}"/>
    <cellStyle name="20% - Accent2 7 2" xfId="178" xr:uid="{00000000-0005-0000-0000-0000B1000000}"/>
    <cellStyle name="20% - Accent2 7 2 2" xfId="179" xr:uid="{00000000-0005-0000-0000-0000B2000000}"/>
    <cellStyle name="20% - Accent2 7 3" xfId="180" xr:uid="{00000000-0005-0000-0000-0000B3000000}"/>
    <cellStyle name="20% - Accent2 8" xfId="181" xr:uid="{00000000-0005-0000-0000-0000B4000000}"/>
    <cellStyle name="20% - Accent2 8 2" xfId="182" xr:uid="{00000000-0005-0000-0000-0000B5000000}"/>
    <cellStyle name="20% - Accent2 9" xfId="183" xr:uid="{00000000-0005-0000-0000-0000B6000000}"/>
    <cellStyle name="20% - Accent2 9 2" xfId="184" xr:uid="{00000000-0005-0000-0000-0000B7000000}"/>
    <cellStyle name="20% - Accent3 10" xfId="185" xr:uid="{00000000-0005-0000-0000-0000B8000000}"/>
    <cellStyle name="20% - Accent3 11" xfId="186" xr:uid="{00000000-0005-0000-0000-0000B9000000}"/>
    <cellStyle name="20% - Accent3 2" xfId="187" xr:uid="{00000000-0005-0000-0000-0000BA000000}"/>
    <cellStyle name="20% - Accent3 2 2" xfId="188" xr:uid="{00000000-0005-0000-0000-0000BB000000}"/>
    <cellStyle name="20% - Accent3 2 2 2" xfId="189" xr:uid="{00000000-0005-0000-0000-0000BC000000}"/>
    <cellStyle name="20% - Accent3 2 2 2 2" xfId="190" xr:uid="{00000000-0005-0000-0000-0000BD000000}"/>
    <cellStyle name="20% - Accent3 2 2 2 2 2" xfId="191" xr:uid="{00000000-0005-0000-0000-0000BE000000}"/>
    <cellStyle name="20% - Accent3 2 2 2 2 2 2" xfId="192" xr:uid="{00000000-0005-0000-0000-0000BF000000}"/>
    <cellStyle name="20% - Accent3 2 2 2 2 3" xfId="193" xr:uid="{00000000-0005-0000-0000-0000C0000000}"/>
    <cellStyle name="20% - Accent3 2 2 2 3" xfId="194" xr:uid="{00000000-0005-0000-0000-0000C1000000}"/>
    <cellStyle name="20% - Accent3 2 2 2 3 2" xfId="195" xr:uid="{00000000-0005-0000-0000-0000C2000000}"/>
    <cellStyle name="20% - Accent3 2 2 2 4" xfId="196" xr:uid="{00000000-0005-0000-0000-0000C3000000}"/>
    <cellStyle name="20% - Accent3 2 2 3" xfId="197" xr:uid="{00000000-0005-0000-0000-0000C4000000}"/>
    <cellStyle name="20% - Accent3 2 2 3 2" xfId="198" xr:uid="{00000000-0005-0000-0000-0000C5000000}"/>
    <cellStyle name="20% - Accent3 2 2 3 2 2" xfId="199" xr:uid="{00000000-0005-0000-0000-0000C6000000}"/>
    <cellStyle name="20% - Accent3 2 2 3 2 2 2" xfId="200" xr:uid="{00000000-0005-0000-0000-0000C7000000}"/>
    <cellStyle name="20% - Accent3 2 2 3 2 3" xfId="201" xr:uid="{00000000-0005-0000-0000-0000C8000000}"/>
    <cellStyle name="20% - Accent3 2 2 3 3" xfId="202" xr:uid="{00000000-0005-0000-0000-0000C9000000}"/>
    <cellStyle name="20% - Accent3 2 2 3 3 2" xfId="203" xr:uid="{00000000-0005-0000-0000-0000CA000000}"/>
    <cellStyle name="20% - Accent3 2 2 3 4" xfId="204" xr:uid="{00000000-0005-0000-0000-0000CB000000}"/>
    <cellStyle name="20% - Accent3 2 2 4" xfId="205" xr:uid="{00000000-0005-0000-0000-0000CC000000}"/>
    <cellStyle name="20% - Accent3 2 2 4 2" xfId="206" xr:uid="{00000000-0005-0000-0000-0000CD000000}"/>
    <cellStyle name="20% - Accent3 2 2 4 2 2" xfId="207" xr:uid="{00000000-0005-0000-0000-0000CE000000}"/>
    <cellStyle name="20% - Accent3 2 2 4 3" xfId="208" xr:uid="{00000000-0005-0000-0000-0000CF000000}"/>
    <cellStyle name="20% - Accent3 2 2 5" xfId="209" xr:uid="{00000000-0005-0000-0000-0000D0000000}"/>
    <cellStyle name="20% - Accent3 2 2 5 2" xfId="210" xr:uid="{00000000-0005-0000-0000-0000D1000000}"/>
    <cellStyle name="20% - Accent3 2 2 6" xfId="211" xr:uid="{00000000-0005-0000-0000-0000D2000000}"/>
    <cellStyle name="20% - Accent3 2 2 7" xfId="212" xr:uid="{00000000-0005-0000-0000-0000D3000000}"/>
    <cellStyle name="20% - Accent3 2 3" xfId="213" xr:uid="{00000000-0005-0000-0000-0000D4000000}"/>
    <cellStyle name="20% - Accent3 2 4" xfId="214" xr:uid="{00000000-0005-0000-0000-0000D5000000}"/>
    <cellStyle name="20% - Accent3 2 4 2" xfId="215" xr:uid="{00000000-0005-0000-0000-0000D6000000}"/>
    <cellStyle name="20% - Accent3 2 4 2 2" xfId="216" xr:uid="{00000000-0005-0000-0000-0000D7000000}"/>
    <cellStyle name="20% - Accent3 2 4 2 2 2" xfId="217" xr:uid="{00000000-0005-0000-0000-0000D8000000}"/>
    <cellStyle name="20% - Accent3 2 4 2 3" xfId="218" xr:uid="{00000000-0005-0000-0000-0000D9000000}"/>
    <cellStyle name="20% - Accent3 2 4 3" xfId="219" xr:uid="{00000000-0005-0000-0000-0000DA000000}"/>
    <cellStyle name="20% - Accent3 2 4 3 2" xfId="220" xr:uid="{00000000-0005-0000-0000-0000DB000000}"/>
    <cellStyle name="20% - Accent3 2 4 4" xfId="221" xr:uid="{00000000-0005-0000-0000-0000DC000000}"/>
    <cellStyle name="20% - Accent3 2 5" xfId="222" xr:uid="{00000000-0005-0000-0000-0000DD000000}"/>
    <cellStyle name="20% - Accent3 2 5 2" xfId="223" xr:uid="{00000000-0005-0000-0000-0000DE000000}"/>
    <cellStyle name="20% - Accent3 2 5 2 2" xfId="224" xr:uid="{00000000-0005-0000-0000-0000DF000000}"/>
    <cellStyle name="20% - Accent3 2 5 2 2 2" xfId="225" xr:uid="{00000000-0005-0000-0000-0000E0000000}"/>
    <cellStyle name="20% - Accent3 2 5 2 3" xfId="226" xr:uid="{00000000-0005-0000-0000-0000E1000000}"/>
    <cellStyle name="20% - Accent3 2 5 3" xfId="227" xr:uid="{00000000-0005-0000-0000-0000E2000000}"/>
    <cellStyle name="20% - Accent3 2 5 3 2" xfId="228" xr:uid="{00000000-0005-0000-0000-0000E3000000}"/>
    <cellStyle name="20% - Accent3 2 5 4" xfId="229" xr:uid="{00000000-0005-0000-0000-0000E4000000}"/>
    <cellStyle name="20% - Accent3 2 6" xfId="230" xr:uid="{00000000-0005-0000-0000-0000E5000000}"/>
    <cellStyle name="20% - Accent3 2 6 2" xfId="231" xr:uid="{00000000-0005-0000-0000-0000E6000000}"/>
    <cellStyle name="20% - Accent3 2 7" xfId="232" xr:uid="{00000000-0005-0000-0000-0000E7000000}"/>
    <cellStyle name="20% - Accent3 3" xfId="233" xr:uid="{00000000-0005-0000-0000-0000E8000000}"/>
    <cellStyle name="20% - Accent3 3 2" xfId="234" xr:uid="{00000000-0005-0000-0000-0000E9000000}"/>
    <cellStyle name="20% - Accent3 3 3" xfId="235" xr:uid="{00000000-0005-0000-0000-0000EA000000}"/>
    <cellStyle name="20% - Accent3 4" xfId="236" xr:uid="{00000000-0005-0000-0000-0000EB000000}"/>
    <cellStyle name="20% - Accent3 4 2" xfId="237" xr:uid="{00000000-0005-0000-0000-0000EC000000}"/>
    <cellStyle name="20% - Accent3 4 2 2" xfId="238" xr:uid="{00000000-0005-0000-0000-0000ED000000}"/>
    <cellStyle name="20% - Accent3 4 2 2 2" xfId="239" xr:uid="{00000000-0005-0000-0000-0000EE000000}"/>
    <cellStyle name="20% - Accent3 4 2 2 2 2" xfId="240" xr:uid="{00000000-0005-0000-0000-0000EF000000}"/>
    <cellStyle name="20% - Accent3 4 2 2 3" xfId="241" xr:uid="{00000000-0005-0000-0000-0000F0000000}"/>
    <cellStyle name="20% - Accent3 4 2 3" xfId="242" xr:uid="{00000000-0005-0000-0000-0000F1000000}"/>
    <cellStyle name="20% - Accent3 4 2 3 2" xfId="243" xr:uid="{00000000-0005-0000-0000-0000F2000000}"/>
    <cellStyle name="20% - Accent3 4 2 4" xfId="244" xr:uid="{00000000-0005-0000-0000-0000F3000000}"/>
    <cellStyle name="20% - Accent3 4 3" xfId="245" xr:uid="{00000000-0005-0000-0000-0000F4000000}"/>
    <cellStyle name="20% - Accent3 4 3 2" xfId="246" xr:uid="{00000000-0005-0000-0000-0000F5000000}"/>
    <cellStyle name="20% - Accent3 4 3 2 2" xfId="247" xr:uid="{00000000-0005-0000-0000-0000F6000000}"/>
    <cellStyle name="20% - Accent3 4 3 3" xfId="248" xr:uid="{00000000-0005-0000-0000-0000F7000000}"/>
    <cellStyle name="20% - Accent3 4 4" xfId="249" xr:uid="{00000000-0005-0000-0000-0000F8000000}"/>
    <cellStyle name="20% - Accent3 4 4 2" xfId="250" xr:uid="{00000000-0005-0000-0000-0000F9000000}"/>
    <cellStyle name="20% - Accent3 4 5" xfId="251" xr:uid="{00000000-0005-0000-0000-0000FA000000}"/>
    <cellStyle name="20% - Accent3 4 6" xfId="252" xr:uid="{00000000-0005-0000-0000-0000FB000000}"/>
    <cellStyle name="20% - Accent3 5" xfId="253" xr:uid="{00000000-0005-0000-0000-0000FC000000}"/>
    <cellStyle name="20% - Accent3 5 2" xfId="254" xr:uid="{00000000-0005-0000-0000-0000FD000000}"/>
    <cellStyle name="20% - Accent3 5 2 2" xfId="255" xr:uid="{00000000-0005-0000-0000-0000FE000000}"/>
    <cellStyle name="20% - Accent3 5 2 2 2" xfId="256" xr:uid="{00000000-0005-0000-0000-0000FF000000}"/>
    <cellStyle name="20% - Accent3 5 2 3" xfId="257" xr:uid="{00000000-0005-0000-0000-000000010000}"/>
    <cellStyle name="20% - Accent3 5 3" xfId="258" xr:uid="{00000000-0005-0000-0000-000001010000}"/>
    <cellStyle name="20% - Accent3 5 3 2" xfId="259" xr:uid="{00000000-0005-0000-0000-000002010000}"/>
    <cellStyle name="20% - Accent3 5 4" xfId="260" xr:uid="{00000000-0005-0000-0000-000003010000}"/>
    <cellStyle name="20% - Accent3 6" xfId="261" xr:uid="{00000000-0005-0000-0000-000004010000}"/>
    <cellStyle name="20% - Accent3 6 2" xfId="262" xr:uid="{00000000-0005-0000-0000-000005010000}"/>
    <cellStyle name="20% - Accent3 6 2 2" xfId="263" xr:uid="{00000000-0005-0000-0000-000006010000}"/>
    <cellStyle name="20% - Accent3 6 2 2 2" xfId="264" xr:uid="{00000000-0005-0000-0000-000007010000}"/>
    <cellStyle name="20% - Accent3 6 2 3" xfId="265" xr:uid="{00000000-0005-0000-0000-000008010000}"/>
    <cellStyle name="20% - Accent3 6 3" xfId="266" xr:uid="{00000000-0005-0000-0000-000009010000}"/>
    <cellStyle name="20% - Accent3 6 3 2" xfId="267" xr:uid="{00000000-0005-0000-0000-00000A010000}"/>
    <cellStyle name="20% - Accent3 6 4" xfId="268" xr:uid="{00000000-0005-0000-0000-00000B010000}"/>
    <cellStyle name="20% - Accent3 7" xfId="269" xr:uid="{00000000-0005-0000-0000-00000C010000}"/>
    <cellStyle name="20% - Accent3 7 2" xfId="270" xr:uid="{00000000-0005-0000-0000-00000D010000}"/>
    <cellStyle name="20% - Accent3 7 2 2" xfId="271" xr:uid="{00000000-0005-0000-0000-00000E010000}"/>
    <cellStyle name="20% - Accent3 7 3" xfId="272" xr:uid="{00000000-0005-0000-0000-00000F010000}"/>
    <cellStyle name="20% - Accent3 8" xfId="273" xr:uid="{00000000-0005-0000-0000-000010010000}"/>
    <cellStyle name="20% - Accent3 8 2" xfId="274" xr:uid="{00000000-0005-0000-0000-000011010000}"/>
    <cellStyle name="20% - Accent3 9" xfId="275" xr:uid="{00000000-0005-0000-0000-000012010000}"/>
    <cellStyle name="20% - Accent3 9 2" xfId="276" xr:uid="{00000000-0005-0000-0000-000013010000}"/>
    <cellStyle name="20% - Accent4 10" xfId="277" xr:uid="{00000000-0005-0000-0000-000014010000}"/>
    <cellStyle name="20% - Accent4 11" xfId="278" xr:uid="{00000000-0005-0000-0000-000015010000}"/>
    <cellStyle name="20% - Accent4 2" xfId="279" xr:uid="{00000000-0005-0000-0000-000016010000}"/>
    <cellStyle name="20% - Accent4 2 2" xfId="280" xr:uid="{00000000-0005-0000-0000-000017010000}"/>
    <cellStyle name="20% - Accent4 2 2 2" xfId="281" xr:uid="{00000000-0005-0000-0000-000018010000}"/>
    <cellStyle name="20% - Accent4 2 2 2 2" xfId="282" xr:uid="{00000000-0005-0000-0000-000019010000}"/>
    <cellStyle name="20% - Accent4 2 2 2 2 2" xfId="283" xr:uid="{00000000-0005-0000-0000-00001A010000}"/>
    <cellStyle name="20% - Accent4 2 2 2 2 2 2" xfId="284" xr:uid="{00000000-0005-0000-0000-00001B010000}"/>
    <cellStyle name="20% - Accent4 2 2 2 2 3" xfId="285" xr:uid="{00000000-0005-0000-0000-00001C010000}"/>
    <cellStyle name="20% - Accent4 2 2 2 3" xfId="286" xr:uid="{00000000-0005-0000-0000-00001D010000}"/>
    <cellStyle name="20% - Accent4 2 2 2 3 2" xfId="287" xr:uid="{00000000-0005-0000-0000-00001E010000}"/>
    <cellStyle name="20% - Accent4 2 2 2 4" xfId="288" xr:uid="{00000000-0005-0000-0000-00001F010000}"/>
    <cellStyle name="20% - Accent4 2 2 3" xfId="289" xr:uid="{00000000-0005-0000-0000-000020010000}"/>
    <cellStyle name="20% - Accent4 2 2 3 2" xfId="290" xr:uid="{00000000-0005-0000-0000-000021010000}"/>
    <cellStyle name="20% - Accent4 2 2 3 2 2" xfId="291" xr:uid="{00000000-0005-0000-0000-000022010000}"/>
    <cellStyle name="20% - Accent4 2 2 3 2 2 2" xfId="292" xr:uid="{00000000-0005-0000-0000-000023010000}"/>
    <cellStyle name="20% - Accent4 2 2 3 2 3" xfId="293" xr:uid="{00000000-0005-0000-0000-000024010000}"/>
    <cellStyle name="20% - Accent4 2 2 3 3" xfId="294" xr:uid="{00000000-0005-0000-0000-000025010000}"/>
    <cellStyle name="20% - Accent4 2 2 3 3 2" xfId="295" xr:uid="{00000000-0005-0000-0000-000026010000}"/>
    <cellStyle name="20% - Accent4 2 2 3 4" xfId="296" xr:uid="{00000000-0005-0000-0000-000027010000}"/>
    <cellStyle name="20% - Accent4 2 2 4" xfId="297" xr:uid="{00000000-0005-0000-0000-000028010000}"/>
    <cellStyle name="20% - Accent4 2 2 4 2" xfId="298" xr:uid="{00000000-0005-0000-0000-000029010000}"/>
    <cellStyle name="20% - Accent4 2 2 4 2 2" xfId="299" xr:uid="{00000000-0005-0000-0000-00002A010000}"/>
    <cellStyle name="20% - Accent4 2 2 4 3" xfId="300" xr:uid="{00000000-0005-0000-0000-00002B010000}"/>
    <cellStyle name="20% - Accent4 2 2 5" xfId="301" xr:uid="{00000000-0005-0000-0000-00002C010000}"/>
    <cellStyle name="20% - Accent4 2 2 5 2" xfId="302" xr:uid="{00000000-0005-0000-0000-00002D010000}"/>
    <cellStyle name="20% - Accent4 2 2 6" xfId="303" xr:uid="{00000000-0005-0000-0000-00002E010000}"/>
    <cellStyle name="20% - Accent4 2 2 7" xfId="304" xr:uid="{00000000-0005-0000-0000-00002F010000}"/>
    <cellStyle name="20% - Accent4 2 3" xfId="305" xr:uid="{00000000-0005-0000-0000-000030010000}"/>
    <cellStyle name="20% - Accent4 2 4" xfId="306" xr:uid="{00000000-0005-0000-0000-000031010000}"/>
    <cellStyle name="20% - Accent4 2 4 2" xfId="307" xr:uid="{00000000-0005-0000-0000-000032010000}"/>
    <cellStyle name="20% - Accent4 2 4 2 2" xfId="308" xr:uid="{00000000-0005-0000-0000-000033010000}"/>
    <cellStyle name="20% - Accent4 2 4 2 2 2" xfId="309" xr:uid="{00000000-0005-0000-0000-000034010000}"/>
    <cellStyle name="20% - Accent4 2 4 2 3" xfId="310" xr:uid="{00000000-0005-0000-0000-000035010000}"/>
    <cellStyle name="20% - Accent4 2 4 3" xfId="311" xr:uid="{00000000-0005-0000-0000-000036010000}"/>
    <cellStyle name="20% - Accent4 2 4 3 2" xfId="312" xr:uid="{00000000-0005-0000-0000-000037010000}"/>
    <cellStyle name="20% - Accent4 2 4 4" xfId="313" xr:uid="{00000000-0005-0000-0000-000038010000}"/>
    <cellStyle name="20% - Accent4 2 5" xfId="314" xr:uid="{00000000-0005-0000-0000-000039010000}"/>
    <cellStyle name="20% - Accent4 2 5 2" xfId="315" xr:uid="{00000000-0005-0000-0000-00003A010000}"/>
    <cellStyle name="20% - Accent4 2 5 2 2" xfId="316" xr:uid="{00000000-0005-0000-0000-00003B010000}"/>
    <cellStyle name="20% - Accent4 2 5 2 2 2" xfId="317" xr:uid="{00000000-0005-0000-0000-00003C010000}"/>
    <cellStyle name="20% - Accent4 2 5 2 3" xfId="318" xr:uid="{00000000-0005-0000-0000-00003D010000}"/>
    <cellStyle name="20% - Accent4 2 5 3" xfId="319" xr:uid="{00000000-0005-0000-0000-00003E010000}"/>
    <cellStyle name="20% - Accent4 2 5 3 2" xfId="320" xr:uid="{00000000-0005-0000-0000-00003F010000}"/>
    <cellStyle name="20% - Accent4 2 5 4" xfId="321" xr:uid="{00000000-0005-0000-0000-000040010000}"/>
    <cellStyle name="20% - Accent4 2 6" xfId="322" xr:uid="{00000000-0005-0000-0000-000041010000}"/>
    <cellStyle name="20% - Accent4 2 6 2" xfId="323" xr:uid="{00000000-0005-0000-0000-000042010000}"/>
    <cellStyle name="20% - Accent4 2 7" xfId="324" xr:uid="{00000000-0005-0000-0000-000043010000}"/>
    <cellStyle name="20% - Accent4 3" xfId="325" xr:uid="{00000000-0005-0000-0000-000044010000}"/>
    <cellStyle name="20% - Accent4 3 2" xfId="326" xr:uid="{00000000-0005-0000-0000-000045010000}"/>
    <cellStyle name="20% - Accent4 3 3" xfId="327" xr:uid="{00000000-0005-0000-0000-000046010000}"/>
    <cellStyle name="20% - Accent4 4" xfId="328" xr:uid="{00000000-0005-0000-0000-000047010000}"/>
    <cellStyle name="20% - Accent4 4 2" xfId="329" xr:uid="{00000000-0005-0000-0000-000048010000}"/>
    <cellStyle name="20% - Accent4 4 2 2" xfId="330" xr:uid="{00000000-0005-0000-0000-000049010000}"/>
    <cellStyle name="20% - Accent4 4 2 2 2" xfId="331" xr:uid="{00000000-0005-0000-0000-00004A010000}"/>
    <cellStyle name="20% - Accent4 4 2 2 2 2" xfId="332" xr:uid="{00000000-0005-0000-0000-00004B010000}"/>
    <cellStyle name="20% - Accent4 4 2 2 3" xfId="333" xr:uid="{00000000-0005-0000-0000-00004C010000}"/>
    <cellStyle name="20% - Accent4 4 2 3" xfId="334" xr:uid="{00000000-0005-0000-0000-00004D010000}"/>
    <cellStyle name="20% - Accent4 4 2 3 2" xfId="335" xr:uid="{00000000-0005-0000-0000-00004E010000}"/>
    <cellStyle name="20% - Accent4 4 2 4" xfId="336" xr:uid="{00000000-0005-0000-0000-00004F010000}"/>
    <cellStyle name="20% - Accent4 4 3" xfId="337" xr:uid="{00000000-0005-0000-0000-000050010000}"/>
    <cellStyle name="20% - Accent4 4 3 2" xfId="338" xr:uid="{00000000-0005-0000-0000-000051010000}"/>
    <cellStyle name="20% - Accent4 4 3 2 2" xfId="339" xr:uid="{00000000-0005-0000-0000-000052010000}"/>
    <cellStyle name="20% - Accent4 4 3 3" xfId="340" xr:uid="{00000000-0005-0000-0000-000053010000}"/>
    <cellStyle name="20% - Accent4 4 4" xfId="341" xr:uid="{00000000-0005-0000-0000-000054010000}"/>
    <cellStyle name="20% - Accent4 4 4 2" xfId="342" xr:uid="{00000000-0005-0000-0000-000055010000}"/>
    <cellStyle name="20% - Accent4 4 5" xfId="343" xr:uid="{00000000-0005-0000-0000-000056010000}"/>
    <cellStyle name="20% - Accent4 4 6" xfId="344" xr:uid="{00000000-0005-0000-0000-000057010000}"/>
    <cellStyle name="20% - Accent4 5" xfId="345" xr:uid="{00000000-0005-0000-0000-000058010000}"/>
    <cellStyle name="20% - Accent4 5 2" xfId="346" xr:uid="{00000000-0005-0000-0000-000059010000}"/>
    <cellStyle name="20% - Accent4 5 2 2" xfId="347" xr:uid="{00000000-0005-0000-0000-00005A010000}"/>
    <cellStyle name="20% - Accent4 5 2 2 2" xfId="348" xr:uid="{00000000-0005-0000-0000-00005B010000}"/>
    <cellStyle name="20% - Accent4 5 2 3" xfId="349" xr:uid="{00000000-0005-0000-0000-00005C010000}"/>
    <cellStyle name="20% - Accent4 5 3" xfId="350" xr:uid="{00000000-0005-0000-0000-00005D010000}"/>
    <cellStyle name="20% - Accent4 5 3 2" xfId="351" xr:uid="{00000000-0005-0000-0000-00005E010000}"/>
    <cellStyle name="20% - Accent4 5 4" xfId="352" xr:uid="{00000000-0005-0000-0000-00005F010000}"/>
    <cellStyle name="20% - Accent4 6" xfId="353" xr:uid="{00000000-0005-0000-0000-000060010000}"/>
    <cellStyle name="20% - Accent4 6 2" xfId="354" xr:uid="{00000000-0005-0000-0000-000061010000}"/>
    <cellStyle name="20% - Accent4 6 2 2" xfId="355" xr:uid="{00000000-0005-0000-0000-000062010000}"/>
    <cellStyle name="20% - Accent4 6 2 2 2" xfId="356" xr:uid="{00000000-0005-0000-0000-000063010000}"/>
    <cellStyle name="20% - Accent4 6 2 3" xfId="357" xr:uid="{00000000-0005-0000-0000-000064010000}"/>
    <cellStyle name="20% - Accent4 6 3" xfId="358" xr:uid="{00000000-0005-0000-0000-000065010000}"/>
    <cellStyle name="20% - Accent4 6 3 2" xfId="359" xr:uid="{00000000-0005-0000-0000-000066010000}"/>
    <cellStyle name="20% - Accent4 6 4" xfId="360" xr:uid="{00000000-0005-0000-0000-000067010000}"/>
    <cellStyle name="20% - Accent4 7" xfId="361" xr:uid="{00000000-0005-0000-0000-000068010000}"/>
    <cellStyle name="20% - Accent4 7 2" xfId="362" xr:uid="{00000000-0005-0000-0000-000069010000}"/>
    <cellStyle name="20% - Accent4 7 2 2" xfId="363" xr:uid="{00000000-0005-0000-0000-00006A010000}"/>
    <cellStyle name="20% - Accent4 7 3" xfId="364" xr:uid="{00000000-0005-0000-0000-00006B010000}"/>
    <cellStyle name="20% - Accent4 8" xfId="365" xr:uid="{00000000-0005-0000-0000-00006C010000}"/>
    <cellStyle name="20% - Accent4 8 2" xfId="366" xr:uid="{00000000-0005-0000-0000-00006D010000}"/>
    <cellStyle name="20% - Accent4 9" xfId="367" xr:uid="{00000000-0005-0000-0000-00006E010000}"/>
    <cellStyle name="20% - Accent4 9 2" xfId="368" xr:uid="{00000000-0005-0000-0000-00006F010000}"/>
    <cellStyle name="20% - Accent5 10" xfId="369" xr:uid="{00000000-0005-0000-0000-000070010000}"/>
    <cellStyle name="20% - Accent5 11" xfId="370" xr:uid="{00000000-0005-0000-0000-000071010000}"/>
    <cellStyle name="20% - Accent5 2" xfId="371" xr:uid="{00000000-0005-0000-0000-000072010000}"/>
    <cellStyle name="20% - Accent5 2 2" xfId="372" xr:uid="{00000000-0005-0000-0000-000073010000}"/>
    <cellStyle name="20% - Accent5 2 2 2" xfId="373" xr:uid="{00000000-0005-0000-0000-000074010000}"/>
    <cellStyle name="20% - Accent5 2 2 2 2" xfId="374" xr:uid="{00000000-0005-0000-0000-000075010000}"/>
    <cellStyle name="20% - Accent5 2 2 2 2 2" xfId="375" xr:uid="{00000000-0005-0000-0000-000076010000}"/>
    <cellStyle name="20% - Accent5 2 2 2 2 2 2" xfId="376" xr:uid="{00000000-0005-0000-0000-000077010000}"/>
    <cellStyle name="20% - Accent5 2 2 2 2 3" xfId="377" xr:uid="{00000000-0005-0000-0000-000078010000}"/>
    <cellStyle name="20% - Accent5 2 2 2 3" xfId="378" xr:uid="{00000000-0005-0000-0000-000079010000}"/>
    <cellStyle name="20% - Accent5 2 2 2 3 2" xfId="379" xr:uid="{00000000-0005-0000-0000-00007A010000}"/>
    <cellStyle name="20% - Accent5 2 2 2 4" xfId="380" xr:uid="{00000000-0005-0000-0000-00007B010000}"/>
    <cellStyle name="20% - Accent5 2 2 3" xfId="381" xr:uid="{00000000-0005-0000-0000-00007C010000}"/>
    <cellStyle name="20% - Accent5 2 2 3 2" xfId="382" xr:uid="{00000000-0005-0000-0000-00007D010000}"/>
    <cellStyle name="20% - Accent5 2 2 3 2 2" xfId="383" xr:uid="{00000000-0005-0000-0000-00007E010000}"/>
    <cellStyle name="20% - Accent5 2 2 3 2 2 2" xfId="384" xr:uid="{00000000-0005-0000-0000-00007F010000}"/>
    <cellStyle name="20% - Accent5 2 2 3 2 3" xfId="385" xr:uid="{00000000-0005-0000-0000-000080010000}"/>
    <cellStyle name="20% - Accent5 2 2 3 3" xfId="386" xr:uid="{00000000-0005-0000-0000-000081010000}"/>
    <cellStyle name="20% - Accent5 2 2 3 3 2" xfId="387" xr:uid="{00000000-0005-0000-0000-000082010000}"/>
    <cellStyle name="20% - Accent5 2 2 3 4" xfId="388" xr:uid="{00000000-0005-0000-0000-000083010000}"/>
    <cellStyle name="20% - Accent5 2 2 4" xfId="389" xr:uid="{00000000-0005-0000-0000-000084010000}"/>
    <cellStyle name="20% - Accent5 2 2 4 2" xfId="390" xr:uid="{00000000-0005-0000-0000-000085010000}"/>
    <cellStyle name="20% - Accent5 2 2 4 2 2" xfId="391" xr:uid="{00000000-0005-0000-0000-000086010000}"/>
    <cellStyle name="20% - Accent5 2 2 4 3" xfId="392" xr:uid="{00000000-0005-0000-0000-000087010000}"/>
    <cellStyle name="20% - Accent5 2 2 5" xfId="393" xr:uid="{00000000-0005-0000-0000-000088010000}"/>
    <cellStyle name="20% - Accent5 2 2 5 2" xfId="394" xr:uid="{00000000-0005-0000-0000-000089010000}"/>
    <cellStyle name="20% - Accent5 2 2 6" xfId="395" xr:uid="{00000000-0005-0000-0000-00008A010000}"/>
    <cellStyle name="20% - Accent5 2 2 7" xfId="396" xr:uid="{00000000-0005-0000-0000-00008B010000}"/>
    <cellStyle name="20% - Accent5 2 3" xfId="397" xr:uid="{00000000-0005-0000-0000-00008C010000}"/>
    <cellStyle name="20% - Accent5 2 4" xfId="398" xr:uid="{00000000-0005-0000-0000-00008D010000}"/>
    <cellStyle name="20% - Accent5 2 4 2" xfId="399" xr:uid="{00000000-0005-0000-0000-00008E010000}"/>
    <cellStyle name="20% - Accent5 2 4 2 2" xfId="400" xr:uid="{00000000-0005-0000-0000-00008F010000}"/>
    <cellStyle name="20% - Accent5 2 4 2 2 2" xfId="401" xr:uid="{00000000-0005-0000-0000-000090010000}"/>
    <cellStyle name="20% - Accent5 2 4 2 3" xfId="402" xr:uid="{00000000-0005-0000-0000-000091010000}"/>
    <cellStyle name="20% - Accent5 2 4 3" xfId="403" xr:uid="{00000000-0005-0000-0000-000092010000}"/>
    <cellStyle name="20% - Accent5 2 4 3 2" xfId="404" xr:uid="{00000000-0005-0000-0000-000093010000}"/>
    <cellStyle name="20% - Accent5 2 4 4" xfId="405" xr:uid="{00000000-0005-0000-0000-000094010000}"/>
    <cellStyle name="20% - Accent5 2 5" xfId="406" xr:uid="{00000000-0005-0000-0000-000095010000}"/>
    <cellStyle name="20% - Accent5 2 5 2" xfId="407" xr:uid="{00000000-0005-0000-0000-000096010000}"/>
    <cellStyle name="20% - Accent5 2 5 2 2" xfId="408" xr:uid="{00000000-0005-0000-0000-000097010000}"/>
    <cellStyle name="20% - Accent5 2 5 2 2 2" xfId="409" xr:uid="{00000000-0005-0000-0000-000098010000}"/>
    <cellStyle name="20% - Accent5 2 5 2 3" xfId="410" xr:uid="{00000000-0005-0000-0000-000099010000}"/>
    <cellStyle name="20% - Accent5 2 5 3" xfId="411" xr:uid="{00000000-0005-0000-0000-00009A010000}"/>
    <cellStyle name="20% - Accent5 2 5 3 2" xfId="412" xr:uid="{00000000-0005-0000-0000-00009B010000}"/>
    <cellStyle name="20% - Accent5 2 5 4" xfId="413" xr:uid="{00000000-0005-0000-0000-00009C010000}"/>
    <cellStyle name="20% - Accent5 2 6" xfId="414" xr:uid="{00000000-0005-0000-0000-00009D010000}"/>
    <cellStyle name="20% - Accent5 2 6 2" xfId="415" xr:uid="{00000000-0005-0000-0000-00009E010000}"/>
    <cellStyle name="20% - Accent5 2 7" xfId="416" xr:uid="{00000000-0005-0000-0000-00009F010000}"/>
    <cellStyle name="20% - Accent5 3" xfId="417" xr:uid="{00000000-0005-0000-0000-0000A0010000}"/>
    <cellStyle name="20% - Accent5 3 2" xfId="418" xr:uid="{00000000-0005-0000-0000-0000A1010000}"/>
    <cellStyle name="20% - Accent5 3 3" xfId="419" xr:uid="{00000000-0005-0000-0000-0000A2010000}"/>
    <cellStyle name="20% - Accent5 4" xfId="420" xr:uid="{00000000-0005-0000-0000-0000A3010000}"/>
    <cellStyle name="20% - Accent5 4 2" xfId="421" xr:uid="{00000000-0005-0000-0000-0000A4010000}"/>
    <cellStyle name="20% - Accent5 4 2 2" xfId="422" xr:uid="{00000000-0005-0000-0000-0000A5010000}"/>
    <cellStyle name="20% - Accent5 4 2 2 2" xfId="423" xr:uid="{00000000-0005-0000-0000-0000A6010000}"/>
    <cellStyle name="20% - Accent5 4 2 2 2 2" xfId="424" xr:uid="{00000000-0005-0000-0000-0000A7010000}"/>
    <cellStyle name="20% - Accent5 4 2 2 3" xfId="425" xr:uid="{00000000-0005-0000-0000-0000A8010000}"/>
    <cellStyle name="20% - Accent5 4 2 3" xfId="426" xr:uid="{00000000-0005-0000-0000-0000A9010000}"/>
    <cellStyle name="20% - Accent5 4 2 3 2" xfId="427" xr:uid="{00000000-0005-0000-0000-0000AA010000}"/>
    <cellStyle name="20% - Accent5 4 2 4" xfId="428" xr:uid="{00000000-0005-0000-0000-0000AB010000}"/>
    <cellStyle name="20% - Accent5 4 3" xfId="429" xr:uid="{00000000-0005-0000-0000-0000AC010000}"/>
    <cellStyle name="20% - Accent5 4 3 2" xfId="430" xr:uid="{00000000-0005-0000-0000-0000AD010000}"/>
    <cellStyle name="20% - Accent5 4 3 2 2" xfId="431" xr:uid="{00000000-0005-0000-0000-0000AE010000}"/>
    <cellStyle name="20% - Accent5 4 3 3" xfId="432" xr:uid="{00000000-0005-0000-0000-0000AF010000}"/>
    <cellStyle name="20% - Accent5 4 4" xfId="433" xr:uid="{00000000-0005-0000-0000-0000B0010000}"/>
    <cellStyle name="20% - Accent5 4 4 2" xfId="434" xr:uid="{00000000-0005-0000-0000-0000B1010000}"/>
    <cellStyle name="20% - Accent5 4 5" xfId="435" xr:uid="{00000000-0005-0000-0000-0000B2010000}"/>
    <cellStyle name="20% - Accent5 4 6" xfId="436" xr:uid="{00000000-0005-0000-0000-0000B3010000}"/>
    <cellStyle name="20% - Accent5 5" xfId="437" xr:uid="{00000000-0005-0000-0000-0000B4010000}"/>
    <cellStyle name="20% - Accent5 5 2" xfId="438" xr:uid="{00000000-0005-0000-0000-0000B5010000}"/>
    <cellStyle name="20% - Accent5 5 2 2" xfId="439" xr:uid="{00000000-0005-0000-0000-0000B6010000}"/>
    <cellStyle name="20% - Accent5 5 2 2 2" xfId="440" xr:uid="{00000000-0005-0000-0000-0000B7010000}"/>
    <cellStyle name="20% - Accent5 5 2 3" xfId="441" xr:uid="{00000000-0005-0000-0000-0000B8010000}"/>
    <cellStyle name="20% - Accent5 5 3" xfId="442" xr:uid="{00000000-0005-0000-0000-0000B9010000}"/>
    <cellStyle name="20% - Accent5 5 3 2" xfId="443" xr:uid="{00000000-0005-0000-0000-0000BA010000}"/>
    <cellStyle name="20% - Accent5 5 4" xfId="444" xr:uid="{00000000-0005-0000-0000-0000BB010000}"/>
    <cellStyle name="20% - Accent5 6" xfId="445" xr:uid="{00000000-0005-0000-0000-0000BC010000}"/>
    <cellStyle name="20% - Accent5 6 2" xfId="446" xr:uid="{00000000-0005-0000-0000-0000BD010000}"/>
    <cellStyle name="20% - Accent5 6 2 2" xfId="447" xr:uid="{00000000-0005-0000-0000-0000BE010000}"/>
    <cellStyle name="20% - Accent5 6 2 2 2" xfId="448" xr:uid="{00000000-0005-0000-0000-0000BF010000}"/>
    <cellStyle name="20% - Accent5 6 2 3" xfId="449" xr:uid="{00000000-0005-0000-0000-0000C0010000}"/>
    <cellStyle name="20% - Accent5 6 3" xfId="450" xr:uid="{00000000-0005-0000-0000-0000C1010000}"/>
    <cellStyle name="20% - Accent5 6 3 2" xfId="451" xr:uid="{00000000-0005-0000-0000-0000C2010000}"/>
    <cellStyle name="20% - Accent5 6 4" xfId="452" xr:uid="{00000000-0005-0000-0000-0000C3010000}"/>
    <cellStyle name="20% - Accent5 7" xfId="453" xr:uid="{00000000-0005-0000-0000-0000C4010000}"/>
    <cellStyle name="20% - Accent5 7 2" xfId="454" xr:uid="{00000000-0005-0000-0000-0000C5010000}"/>
    <cellStyle name="20% - Accent5 7 2 2" xfId="455" xr:uid="{00000000-0005-0000-0000-0000C6010000}"/>
    <cellStyle name="20% - Accent5 7 3" xfId="456" xr:uid="{00000000-0005-0000-0000-0000C7010000}"/>
    <cellStyle name="20% - Accent5 8" xfId="457" xr:uid="{00000000-0005-0000-0000-0000C8010000}"/>
    <cellStyle name="20% - Accent5 8 2" xfId="458" xr:uid="{00000000-0005-0000-0000-0000C9010000}"/>
    <cellStyle name="20% - Accent5 9" xfId="459" xr:uid="{00000000-0005-0000-0000-0000CA010000}"/>
    <cellStyle name="20% - Accent5 9 2" xfId="460" xr:uid="{00000000-0005-0000-0000-0000CB010000}"/>
    <cellStyle name="20% - Accent6 10" xfId="461" xr:uid="{00000000-0005-0000-0000-0000CC010000}"/>
    <cellStyle name="20% - Accent6 11" xfId="462" xr:uid="{00000000-0005-0000-0000-0000CD010000}"/>
    <cellStyle name="20% - Accent6 2" xfId="463" xr:uid="{00000000-0005-0000-0000-0000CE010000}"/>
    <cellStyle name="20% - Accent6 2 2" xfId="464" xr:uid="{00000000-0005-0000-0000-0000CF010000}"/>
    <cellStyle name="20% - Accent6 2 2 2" xfId="465" xr:uid="{00000000-0005-0000-0000-0000D0010000}"/>
    <cellStyle name="20% - Accent6 2 2 2 2" xfId="466" xr:uid="{00000000-0005-0000-0000-0000D1010000}"/>
    <cellStyle name="20% - Accent6 2 2 2 2 2" xfId="467" xr:uid="{00000000-0005-0000-0000-0000D2010000}"/>
    <cellStyle name="20% - Accent6 2 2 2 2 2 2" xfId="468" xr:uid="{00000000-0005-0000-0000-0000D3010000}"/>
    <cellStyle name="20% - Accent6 2 2 2 2 3" xfId="469" xr:uid="{00000000-0005-0000-0000-0000D4010000}"/>
    <cellStyle name="20% - Accent6 2 2 2 3" xfId="470" xr:uid="{00000000-0005-0000-0000-0000D5010000}"/>
    <cellStyle name="20% - Accent6 2 2 2 3 2" xfId="471" xr:uid="{00000000-0005-0000-0000-0000D6010000}"/>
    <cellStyle name="20% - Accent6 2 2 2 4" xfId="472" xr:uid="{00000000-0005-0000-0000-0000D7010000}"/>
    <cellStyle name="20% - Accent6 2 2 3" xfId="473" xr:uid="{00000000-0005-0000-0000-0000D8010000}"/>
    <cellStyle name="20% - Accent6 2 2 3 2" xfId="474" xr:uid="{00000000-0005-0000-0000-0000D9010000}"/>
    <cellStyle name="20% - Accent6 2 2 3 2 2" xfId="475" xr:uid="{00000000-0005-0000-0000-0000DA010000}"/>
    <cellStyle name="20% - Accent6 2 2 3 2 2 2" xfId="476" xr:uid="{00000000-0005-0000-0000-0000DB010000}"/>
    <cellStyle name="20% - Accent6 2 2 3 2 3" xfId="477" xr:uid="{00000000-0005-0000-0000-0000DC010000}"/>
    <cellStyle name="20% - Accent6 2 2 3 3" xfId="478" xr:uid="{00000000-0005-0000-0000-0000DD010000}"/>
    <cellStyle name="20% - Accent6 2 2 3 3 2" xfId="479" xr:uid="{00000000-0005-0000-0000-0000DE010000}"/>
    <cellStyle name="20% - Accent6 2 2 3 4" xfId="480" xr:uid="{00000000-0005-0000-0000-0000DF010000}"/>
    <cellStyle name="20% - Accent6 2 2 4" xfId="481" xr:uid="{00000000-0005-0000-0000-0000E0010000}"/>
    <cellStyle name="20% - Accent6 2 2 4 2" xfId="482" xr:uid="{00000000-0005-0000-0000-0000E1010000}"/>
    <cellStyle name="20% - Accent6 2 2 4 2 2" xfId="483" xr:uid="{00000000-0005-0000-0000-0000E2010000}"/>
    <cellStyle name="20% - Accent6 2 2 4 3" xfId="484" xr:uid="{00000000-0005-0000-0000-0000E3010000}"/>
    <cellStyle name="20% - Accent6 2 2 5" xfId="485" xr:uid="{00000000-0005-0000-0000-0000E4010000}"/>
    <cellStyle name="20% - Accent6 2 2 5 2" xfId="486" xr:uid="{00000000-0005-0000-0000-0000E5010000}"/>
    <cellStyle name="20% - Accent6 2 2 6" xfId="487" xr:uid="{00000000-0005-0000-0000-0000E6010000}"/>
    <cellStyle name="20% - Accent6 2 2 7" xfId="488" xr:uid="{00000000-0005-0000-0000-0000E7010000}"/>
    <cellStyle name="20% - Accent6 2 3" xfId="489" xr:uid="{00000000-0005-0000-0000-0000E8010000}"/>
    <cellStyle name="20% - Accent6 2 4" xfId="490" xr:uid="{00000000-0005-0000-0000-0000E9010000}"/>
    <cellStyle name="20% - Accent6 2 4 2" xfId="491" xr:uid="{00000000-0005-0000-0000-0000EA010000}"/>
    <cellStyle name="20% - Accent6 2 4 2 2" xfId="492" xr:uid="{00000000-0005-0000-0000-0000EB010000}"/>
    <cellStyle name="20% - Accent6 2 4 2 2 2" xfId="493" xr:uid="{00000000-0005-0000-0000-0000EC010000}"/>
    <cellStyle name="20% - Accent6 2 4 2 3" xfId="494" xr:uid="{00000000-0005-0000-0000-0000ED010000}"/>
    <cellStyle name="20% - Accent6 2 4 3" xfId="495" xr:uid="{00000000-0005-0000-0000-0000EE010000}"/>
    <cellStyle name="20% - Accent6 2 4 3 2" xfId="496" xr:uid="{00000000-0005-0000-0000-0000EF010000}"/>
    <cellStyle name="20% - Accent6 2 4 4" xfId="497" xr:uid="{00000000-0005-0000-0000-0000F0010000}"/>
    <cellStyle name="20% - Accent6 2 5" xfId="498" xr:uid="{00000000-0005-0000-0000-0000F1010000}"/>
    <cellStyle name="20% - Accent6 2 5 2" xfId="499" xr:uid="{00000000-0005-0000-0000-0000F2010000}"/>
    <cellStyle name="20% - Accent6 2 5 2 2" xfId="500" xr:uid="{00000000-0005-0000-0000-0000F3010000}"/>
    <cellStyle name="20% - Accent6 2 5 2 2 2" xfId="501" xr:uid="{00000000-0005-0000-0000-0000F4010000}"/>
    <cellStyle name="20% - Accent6 2 5 2 3" xfId="502" xr:uid="{00000000-0005-0000-0000-0000F5010000}"/>
    <cellStyle name="20% - Accent6 2 5 3" xfId="503" xr:uid="{00000000-0005-0000-0000-0000F6010000}"/>
    <cellStyle name="20% - Accent6 2 5 3 2" xfId="504" xr:uid="{00000000-0005-0000-0000-0000F7010000}"/>
    <cellStyle name="20% - Accent6 2 5 4" xfId="505" xr:uid="{00000000-0005-0000-0000-0000F8010000}"/>
    <cellStyle name="20% - Accent6 2 6" xfId="506" xr:uid="{00000000-0005-0000-0000-0000F9010000}"/>
    <cellStyle name="20% - Accent6 2 6 2" xfId="507" xr:uid="{00000000-0005-0000-0000-0000FA010000}"/>
    <cellStyle name="20% - Accent6 2 7" xfId="508" xr:uid="{00000000-0005-0000-0000-0000FB010000}"/>
    <cellStyle name="20% - Accent6 3" xfId="509" xr:uid="{00000000-0005-0000-0000-0000FC010000}"/>
    <cellStyle name="20% - Accent6 3 2" xfId="510" xr:uid="{00000000-0005-0000-0000-0000FD010000}"/>
    <cellStyle name="20% - Accent6 3 3" xfId="511" xr:uid="{00000000-0005-0000-0000-0000FE010000}"/>
    <cellStyle name="20% - Accent6 4" xfId="512" xr:uid="{00000000-0005-0000-0000-0000FF010000}"/>
    <cellStyle name="20% - Accent6 4 2" xfId="513" xr:uid="{00000000-0005-0000-0000-000000020000}"/>
    <cellStyle name="20% - Accent6 4 2 2" xfId="514" xr:uid="{00000000-0005-0000-0000-000001020000}"/>
    <cellStyle name="20% - Accent6 4 2 2 2" xfId="515" xr:uid="{00000000-0005-0000-0000-000002020000}"/>
    <cellStyle name="20% - Accent6 4 2 2 2 2" xfId="516" xr:uid="{00000000-0005-0000-0000-000003020000}"/>
    <cellStyle name="20% - Accent6 4 2 2 3" xfId="517" xr:uid="{00000000-0005-0000-0000-000004020000}"/>
    <cellStyle name="20% - Accent6 4 2 3" xfId="518" xr:uid="{00000000-0005-0000-0000-000005020000}"/>
    <cellStyle name="20% - Accent6 4 2 3 2" xfId="519" xr:uid="{00000000-0005-0000-0000-000006020000}"/>
    <cellStyle name="20% - Accent6 4 2 4" xfId="520" xr:uid="{00000000-0005-0000-0000-000007020000}"/>
    <cellStyle name="20% - Accent6 4 3" xfId="521" xr:uid="{00000000-0005-0000-0000-000008020000}"/>
    <cellStyle name="20% - Accent6 4 3 2" xfId="522" xr:uid="{00000000-0005-0000-0000-000009020000}"/>
    <cellStyle name="20% - Accent6 4 3 2 2" xfId="523" xr:uid="{00000000-0005-0000-0000-00000A020000}"/>
    <cellStyle name="20% - Accent6 4 3 3" xfId="524" xr:uid="{00000000-0005-0000-0000-00000B020000}"/>
    <cellStyle name="20% - Accent6 4 4" xfId="525" xr:uid="{00000000-0005-0000-0000-00000C020000}"/>
    <cellStyle name="20% - Accent6 4 4 2" xfId="526" xr:uid="{00000000-0005-0000-0000-00000D020000}"/>
    <cellStyle name="20% - Accent6 4 5" xfId="527" xr:uid="{00000000-0005-0000-0000-00000E020000}"/>
    <cellStyle name="20% - Accent6 4 6" xfId="528" xr:uid="{00000000-0005-0000-0000-00000F020000}"/>
    <cellStyle name="20% - Accent6 5" xfId="529" xr:uid="{00000000-0005-0000-0000-000010020000}"/>
    <cellStyle name="20% - Accent6 5 2" xfId="530" xr:uid="{00000000-0005-0000-0000-000011020000}"/>
    <cellStyle name="20% - Accent6 5 2 2" xfId="531" xr:uid="{00000000-0005-0000-0000-000012020000}"/>
    <cellStyle name="20% - Accent6 5 2 2 2" xfId="532" xr:uid="{00000000-0005-0000-0000-000013020000}"/>
    <cellStyle name="20% - Accent6 5 2 3" xfId="533" xr:uid="{00000000-0005-0000-0000-000014020000}"/>
    <cellStyle name="20% - Accent6 5 3" xfId="534" xr:uid="{00000000-0005-0000-0000-000015020000}"/>
    <cellStyle name="20% - Accent6 5 3 2" xfId="535" xr:uid="{00000000-0005-0000-0000-000016020000}"/>
    <cellStyle name="20% - Accent6 5 4" xfId="536" xr:uid="{00000000-0005-0000-0000-000017020000}"/>
    <cellStyle name="20% - Accent6 6" xfId="537" xr:uid="{00000000-0005-0000-0000-000018020000}"/>
    <cellStyle name="20% - Accent6 6 2" xfId="538" xr:uid="{00000000-0005-0000-0000-000019020000}"/>
    <cellStyle name="20% - Accent6 6 2 2" xfId="539" xr:uid="{00000000-0005-0000-0000-00001A020000}"/>
    <cellStyle name="20% - Accent6 6 2 2 2" xfId="540" xr:uid="{00000000-0005-0000-0000-00001B020000}"/>
    <cellStyle name="20% - Accent6 6 2 3" xfId="541" xr:uid="{00000000-0005-0000-0000-00001C020000}"/>
    <cellStyle name="20% - Accent6 6 3" xfId="542" xr:uid="{00000000-0005-0000-0000-00001D020000}"/>
    <cellStyle name="20% - Accent6 6 3 2" xfId="543" xr:uid="{00000000-0005-0000-0000-00001E020000}"/>
    <cellStyle name="20% - Accent6 6 4" xfId="544" xr:uid="{00000000-0005-0000-0000-00001F020000}"/>
    <cellStyle name="20% - Accent6 7" xfId="545" xr:uid="{00000000-0005-0000-0000-000020020000}"/>
    <cellStyle name="20% - Accent6 7 2" xfId="546" xr:uid="{00000000-0005-0000-0000-000021020000}"/>
    <cellStyle name="20% - Accent6 7 2 2" xfId="547" xr:uid="{00000000-0005-0000-0000-000022020000}"/>
    <cellStyle name="20% - Accent6 7 3" xfId="548" xr:uid="{00000000-0005-0000-0000-000023020000}"/>
    <cellStyle name="20% - Accent6 8" xfId="549" xr:uid="{00000000-0005-0000-0000-000024020000}"/>
    <cellStyle name="20% - Accent6 8 2" xfId="550" xr:uid="{00000000-0005-0000-0000-000025020000}"/>
    <cellStyle name="20% - Accent6 9" xfId="551" xr:uid="{00000000-0005-0000-0000-000026020000}"/>
    <cellStyle name="20% - Accent6 9 2" xfId="552" xr:uid="{00000000-0005-0000-0000-000027020000}"/>
    <cellStyle name="40% - Accent1 10" xfId="553" xr:uid="{00000000-0005-0000-0000-000028020000}"/>
    <cellStyle name="40% - Accent1 11" xfId="554" xr:uid="{00000000-0005-0000-0000-000029020000}"/>
    <cellStyle name="40% - Accent1 2" xfId="555" xr:uid="{00000000-0005-0000-0000-00002A020000}"/>
    <cellStyle name="40% - Accent1 2 2" xfId="556" xr:uid="{00000000-0005-0000-0000-00002B020000}"/>
    <cellStyle name="40% - Accent1 2 2 2" xfId="557" xr:uid="{00000000-0005-0000-0000-00002C020000}"/>
    <cellStyle name="40% - Accent1 2 2 2 2" xfId="558" xr:uid="{00000000-0005-0000-0000-00002D020000}"/>
    <cellStyle name="40% - Accent1 2 2 2 2 2" xfId="559" xr:uid="{00000000-0005-0000-0000-00002E020000}"/>
    <cellStyle name="40% - Accent1 2 2 2 2 2 2" xfId="560" xr:uid="{00000000-0005-0000-0000-00002F020000}"/>
    <cellStyle name="40% - Accent1 2 2 2 2 3" xfId="561" xr:uid="{00000000-0005-0000-0000-000030020000}"/>
    <cellStyle name="40% - Accent1 2 2 2 3" xfId="562" xr:uid="{00000000-0005-0000-0000-000031020000}"/>
    <cellStyle name="40% - Accent1 2 2 2 3 2" xfId="563" xr:uid="{00000000-0005-0000-0000-000032020000}"/>
    <cellStyle name="40% - Accent1 2 2 2 4" xfId="564" xr:uid="{00000000-0005-0000-0000-000033020000}"/>
    <cellStyle name="40% - Accent1 2 2 3" xfId="565" xr:uid="{00000000-0005-0000-0000-000034020000}"/>
    <cellStyle name="40% - Accent1 2 2 3 2" xfId="566" xr:uid="{00000000-0005-0000-0000-000035020000}"/>
    <cellStyle name="40% - Accent1 2 2 3 2 2" xfId="567" xr:uid="{00000000-0005-0000-0000-000036020000}"/>
    <cellStyle name="40% - Accent1 2 2 3 2 2 2" xfId="568" xr:uid="{00000000-0005-0000-0000-000037020000}"/>
    <cellStyle name="40% - Accent1 2 2 3 2 3" xfId="569" xr:uid="{00000000-0005-0000-0000-000038020000}"/>
    <cellStyle name="40% - Accent1 2 2 3 3" xfId="570" xr:uid="{00000000-0005-0000-0000-000039020000}"/>
    <cellStyle name="40% - Accent1 2 2 3 3 2" xfId="571" xr:uid="{00000000-0005-0000-0000-00003A020000}"/>
    <cellStyle name="40% - Accent1 2 2 3 4" xfId="572" xr:uid="{00000000-0005-0000-0000-00003B020000}"/>
    <cellStyle name="40% - Accent1 2 2 4" xfId="573" xr:uid="{00000000-0005-0000-0000-00003C020000}"/>
    <cellStyle name="40% - Accent1 2 2 4 2" xfId="574" xr:uid="{00000000-0005-0000-0000-00003D020000}"/>
    <cellStyle name="40% - Accent1 2 2 4 2 2" xfId="575" xr:uid="{00000000-0005-0000-0000-00003E020000}"/>
    <cellStyle name="40% - Accent1 2 2 4 3" xfId="576" xr:uid="{00000000-0005-0000-0000-00003F020000}"/>
    <cellStyle name="40% - Accent1 2 2 5" xfId="577" xr:uid="{00000000-0005-0000-0000-000040020000}"/>
    <cellStyle name="40% - Accent1 2 2 5 2" xfId="578" xr:uid="{00000000-0005-0000-0000-000041020000}"/>
    <cellStyle name="40% - Accent1 2 2 6" xfId="579" xr:uid="{00000000-0005-0000-0000-000042020000}"/>
    <cellStyle name="40% - Accent1 2 2 7" xfId="580" xr:uid="{00000000-0005-0000-0000-000043020000}"/>
    <cellStyle name="40% - Accent1 2 3" xfId="581" xr:uid="{00000000-0005-0000-0000-000044020000}"/>
    <cellStyle name="40% - Accent1 2 4" xfId="582" xr:uid="{00000000-0005-0000-0000-000045020000}"/>
    <cellStyle name="40% - Accent1 2 4 2" xfId="583" xr:uid="{00000000-0005-0000-0000-000046020000}"/>
    <cellStyle name="40% - Accent1 2 4 2 2" xfId="584" xr:uid="{00000000-0005-0000-0000-000047020000}"/>
    <cellStyle name="40% - Accent1 2 4 2 2 2" xfId="585" xr:uid="{00000000-0005-0000-0000-000048020000}"/>
    <cellStyle name="40% - Accent1 2 4 2 3" xfId="586" xr:uid="{00000000-0005-0000-0000-000049020000}"/>
    <cellStyle name="40% - Accent1 2 4 3" xfId="587" xr:uid="{00000000-0005-0000-0000-00004A020000}"/>
    <cellStyle name="40% - Accent1 2 4 3 2" xfId="588" xr:uid="{00000000-0005-0000-0000-00004B020000}"/>
    <cellStyle name="40% - Accent1 2 4 4" xfId="589" xr:uid="{00000000-0005-0000-0000-00004C020000}"/>
    <cellStyle name="40% - Accent1 2 5" xfId="590" xr:uid="{00000000-0005-0000-0000-00004D020000}"/>
    <cellStyle name="40% - Accent1 2 5 2" xfId="591" xr:uid="{00000000-0005-0000-0000-00004E020000}"/>
    <cellStyle name="40% - Accent1 2 5 2 2" xfId="592" xr:uid="{00000000-0005-0000-0000-00004F020000}"/>
    <cellStyle name="40% - Accent1 2 5 2 2 2" xfId="593" xr:uid="{00000000-0005-0000-0000-000050020000}"/>
    <cellStyle name="40% - Accent1 2 5 2 3" xfId="594" xr:uid="{00000000-0005-0000-0000-000051020000}"/>
    <cellStyle name="40% - Accent1 2 5 3" xfId="595" xr:uid="{00000000-0005-0000-0000-000052020000}"/>
    <cellStyle name="40% - Accent1 2 5 3 2" xfId="596" xr:uid="{00000000-0005-0000-0000-000053020000}"/>
    <cellStyle name="40% - Accent1 2 5 4" xfId="597" xr:uid="{00000000-0005-0000-0000-000054020000}"/>
    <cellStyle name="40% - Accent1 2 6" xfId="598" xr:uid="{00000000-0005-0000-0000-000055020000}"/>
    <cellStyle name="40% - Accent1 2 6 2" xfId="599" xr:uid="{00000000-0005-0000-0000-000056020000}"/>
    <cellStyle name="40% - Accent1 2 7" xfId="600" xr:uid="{00000000-0005-0000-0000-000057020000}"/>
    <cellStyle name="40% - Accent1 3" xfId="601" xr:uid="{00000000-0005-0000-0000-000058020000}"/>
    <cellStyle name="40% - Accent1 3 2" xfId="602" xr:uid="{00000000-0005-0000-0000-000059020000}"/>
    <cellStyle name="40% - Accent1 3 3" xfId="603" xr:uid="{00000000-0005-0000-0000-00005A020000}"/>
    <cellStyle name="40% - Accent1 4" xfId="604" xr:uid="{00000000-0005-0000-0000-00005B020000}"/>
    <cellStyle name="40% - Accent1 4 2" xfId="605" xr:uid="{00000000-0005-0000-0000-00005C020000}"/>
    <cellStyle name="40% - Accent1 4 2 2" xfId="606" xr:uid="{00000000-0005-0000-0000-00005D020000}"/>
    <cellStyle name="40% - Accent1 4 2 2 2" xfId="607" xr:uid="{00000000-0005-0000-0000-00005E020000}"/>
    <cellStyle name="40% - Accent1 4 2 2 2 2" xfId="608" xr:uid="{00000000-0005-0000-0000-00005F020000}"/>
    <cellStyle name="40% - Accent1 4 2 2 3" xfId="609" xr:uid="{00000000-0005-0000-0000-000060020000}"/>
    <cellStyle name="40% - Accent1 4 2 3" xfId="610" xr:uid="{00000000-0005-0000-0000-000061020000}"/>
    <cellStyle name="40% - Accent1 4 2 3 2" xfId="611" xr:uid="{00000000-0005-0000-0000-000062020000}"/>
    <cellStyle name="40% - Accent1 4 2 4" xfId="612" xr:uid="{00000000-0005-0000-0000-000063020000}"/>
    <cellStyle name="40% - Accent1 4 3" xfId="613" xr:uid="{00000000-0005-0000-0000-000064020000}"/>
    <cellStyle name="40% - Accent1 4 3 2" xfId="614" xr:uid="{00000000-0005-0000-0000-000065020000}"/>
    <cellStyle name="40% - Accent1 4 3 2 2" xfId="615" xr:uid="{00000000-0005-0000-0000-000066020000}"/>
    <cellStyle name="40% - Accent1 4 3 3" xfId="616" xr:uid="{00000000-0005-0000-0000-000067020000}"/>
    <cellStyle name="40% - Accent1 4 4" xfId="617" xr:uid="{00000000-0005-0000-0000-000068020000}"/>
    <cellStyle name="40% - Accent1 4 4 2" xfId="618" xr:uid="{00000000-0005-0000-0000-000069020000}"/>
    <cellStyle name="40% - Accent1 4 5" xfId="619" xr:uid="{00000000-0005-0000-0000-00006A020000}"/>
    <cellStyle name="40% - Accent1 4 6" xfId="620" xr:uid="{00000000-0005-0000-0000-00006B020000}"/>
    <cellStyle name="40% - Accent1 5" xfId="621" xr:uid="{00000000-0005-0000-0000-00006C020000}"/>
    <cellStyle name="40% - Accent1 5 2" xfId="622" xr:uid="{00000000-0005-0000-0000-00006D020000}"/>
    <cellStyle name="40% - Accent1 5 2 2" xfId="623" xr:uid="{00000000-0005-0000-0000-00006E020000}"/>
    <cellStyle name="40% - Accent1 5 2 2 2" xfId="624" xr:uid="{00000000-0005-0000-0000-00006F020000}"/>
    <cellStyle name="40% - Accent1 5 2 3" xfId="625" xr:uid="{00000000-0005-0000-0000-000070020000}"/>
    <cellStyle name="40% - Accent1 5 3" xfId="626" xr:uid="{00000000-0005-0000-0000-000071020000}"/>
    <cellStyle name="40% - Accent1 5 3 2" xfId="627" xr:uid="{00000000-0005-0000-0000-000072020000}"/>
    <cellStyle name="40% - Accent1 5 4" xfId="628" xr:uid="{00000000-0005-0000-0000-000073020000}"/>
    <cellStyle name="40% - Accent1 6" xfId="629" xr:uid="{00000000-0005-0000-0000-000074020000}"/>
    <cellStyle name="40% - Accent1 6 2" xfId="630" xr:uid="{00000000-0005-0000-0000-000075020000}"/>
    <cellStyle name="40% - Accent1 6 2 2" xfId="631" xr:uid="{00000000-0005-0000-0000-000076020000}"/>
    <cellStyle name="40% - Accent1 6 2 2 2" xfId="632" xr:uid="{00000000-0005-0000-0000-000077020000}"/>
    <cellStyle name="40% - Accent1 6 2 3" xfId="633" xr:uid="{00000000-0005-0000-0000-000078020000}"/>
    <cellStyle name="40% - Accent1 6 3" xfId="634" xr:uid="{00000000-0005-0000-0000-000079020000}"/>
    <cellStyle name="40% - Accent1 6 3 2" xfId="635" xr:uid="{00000000-0005-0000-0000-00007A020000}"/>
    <cellStyle name="40% - Accent1 6 4" xfId="636" xr:uid="{00000000-0005-0000-0000-00007B020000}"/>
    <cellStyle name="40% - Accent1 7" xfId="637" xr:uid="{00000000-0005-0000-0000-00007C020000}"/>
    <cellStyle name="40% - Accent1 7 2" xfId="638" xr:uid="{00000000-0005-0000-0000-00007D020000}"/>
    <cellStyle name="40% - Accent1 7 2 2" xfId="639" xr:uid="{00000000-0005-0000-0000-00007E020000}"/>
    <cellStyle name="40% - Accent1 7 3" xfId="640" xr:uid="{00000000-0005-0000-0000-00007F020000}"/>
    <cellStyle name="40% - Accent1 8" xfId="641" xr:uid="{00000000-0005-0000-0000-000080020000}"/>
    <cellStyle name="40% - Accent1 8 2" xfId="642" xr:uid="{00000000-0005-0000-0000-000081020000}"/>
    <cellStyle name="40% - Accent1 9" xfId="643" xr:uid="{00000000-0005-0000-0000-000082020000}"/>
    <cellStyle name="40% - Accent1 9 2" xfId="644" xr:uid="{00000000-0005-0000-0000-000083020000}"/>
    <cellStyle name="40% - Accent2 10" xfId="645" xr:uid="{00000000-0005-0000-0000-000084020000}"/>
    <cellStyle name="40% - Accent2 11" xfId="646" xr:uid="{00000000-0005-0000-0000-000085020000}"/>
    <cellStyle name="40% - Accent2 2" xfId="647" xr:uid="{00000000-0005-0000-0000-000086020000}"/>
    <cellStyle name="40% - Accent2 2 2" xfId="648" xr:uid="{00000000-0005-0000-0000-000087020000}"/>
    <cellStyle name="40% - Accent2 2 2 2" xfId="649" xr:uid="{00000000-0005-0000-0000-000088020000}"/>
    <cellStyle name="40% - Accent2 2 2 2 2" xfId="650" xr:uid="{00000000-0005-0000-0000-000089020000}"/>
    <cellStyle name="40% - Accent2 2 2 2 2 2" xfId="651" xr:uid="{00000000-0005-0000-0000-00008A020000}"/>
    <cellStyle name="40% - Accent2 2 2 2 2 2 2" xfId="652" xr:uid="{00000000-0005-0000-0000-00008B020000}"/>
    <cellStyle name="40% - Accent2 2 2 2 2 3" xfId="653" xr:uid="{00000000-0005-0000-0000-00008C020000}"/>
    <cellStyle name="40% - Accent2 2 2 2 3" xfId="654" xr:uid="{00000000-0005-0000-0000-00008D020000}"/>
    <cellStyle name="40% - Accent2 2 2 2 3 2" xfId="655" xr:uid="{00000000-0005-0000-0000-00008E020000}"/>
    <cellStyle name="40% - Accent2 2 2 2 4" xfId="656" xr:uid="{00000000-0005-0000-0000-00008F020000}"/>
    <cellStyle name="40% - Accent2 2 2 3" xfId="657" xr:uid="{00000000-0005-0000-0000-000090020000}"/>
    <cellStyle name="40% - Accent2 2 2 3 2" xfId="658" xr:uid="{00000000-0005-0000-0000-000091020000}"/>
    <cellStyle name="40% - Accent2 2 2 3 2 2" xfId="659" xr:uid="{00000000-0005-0000-0000-000092020000}"/>
    <cellStyle name="40% - Accent2 2 2 3 2 2 2" xfId="660" xr:uid="{00000000-0005-0000-0000-000093020000}"/>
    <cellStyle name="40% - Accent2 2 2 3 2 3" xfId="661" xr:uid="{00000000-0005-0000-0000-000094020000}"/>
    <cellStyle name="40% - Accent2 2 2 3 3" xfId="662" xr:uid="{00000000-0005-0000-0000-000095020000}"/>
    <cellStyle name="40% - Accent2 2 2 3 3 2" xfId="663" xr:uid="{00000000-0005-0000-0000-000096020000}"/>
    <cellStyle name="40% - Accent2 2 2 3 4" xfId="664" xr:uid="{00000000-0005-0000-0000-000097020000}"/>
    <cellStyle name="40% - Accent2 2 2 4" xfId="665" xr:uid="{00000000-0005-0000-0000-000098020000}"/>
    <cellStyle name="40% - Accent2 2 2 4 2" xfId="666" xr:uid="{00000000-0005-0000-0000-000099020000}"/>
    <cellStyle name="40% - Accent2 2 2 4 2 2" xfId="667" xr:uid="{00000000-0005-0000-0000-00009A020000}"/>
    <cellStyle name="40% - Accent2 2 2 4 3" xfId="668" xr:uid="{00000000-0005-0000-0000-00009B020000}"/>
    <cellStyle name="40% - Accent2 2 2 5" xfId="669" xr:uid="{00000000-0005-0000-0000-00009C020000}"/>
    <cellStyle name="40% - Accent2 2 2 5 2" xfId="670" xr:uid="{00000000-0005-0000-0000-00009D020000}"/>
    <cellStyle name="40% - Accent2 2 2 6" xfId="671" xr:uid="{00000000-0005-0000-0000-00009E020000}"/>
    <cellStyle name="40% - Accent2 2 2 7" xfId="672" xr:uid="{00000000-0005-0000-0000-00009F020000}"/>
    <cellStyle name="40% - Accent2 2 3" xfId="673" xr:uid="{00000000-0005-0000-0000-0000A0020000}"/>
    <cellStyle name="40% - Accent2 2 4" xfId="674" xr:uid="{00000000-0005-0000-0000-0000A1020000}"/>
    <cellStyle name="40% - Accent2 2 4 2" xfId="675" xr:uid="{00000000-0005-0000-0000-0000A2020000}"/>
    <cellStyle name="40% - Accent2 2 4 2 2" xfId="676" xr:uid="{00000000-0005-0000-0000-0000A3020000}"/>
    <cellStyle name="40% - Accent2 2 4 2 2 2" xfId="677" xr:uid="{00000000-0005-0000-0000-0000A4020000}"/>
    <cellStyle name="40% - Accent2 2 4 2 3" xfId="678" xr:uid="{00000000-0005-0000-0000-0000A5020000}"/>
    <cellStyle name="40% - Accent2 2 4 3" xfId="679" xr:uid="{00000000-0005-0000-0000-0000A6020000}"/>
    <cellStyle name="40% - Accent2 2 4 3 2" xfId="680" xr:uid="{00000000-0005-0000-0000-0000A7020000}"/>
    <cellStyle name="40% - Accent2 2 4 4" xfId="681" xr:uid="{00000000-0005-0000-0000-0000A8020000}"/>
    <cellStyle name="40% - Accent2 2 5" xfId="682" xr:uid="{00000000-0005-0000-0000-0000A9020000}"/>
    <cellStyle name="40% - Accent2 2 5 2" xfId="683" xr:uid="{00000000-0005-0000-0000-0000AA020000}"/>
    <cellStyle name="40% - Accent2 2 5 2 2" xfId="684" xr:uid="{00000000-0005-0000-0000-0000AB020000}"/>
    <cellStyle name="40% - Accent2 2 5 2 2 2" xfId="685" xr:uid="{00000000-0005-0000-0000-0000AC020000}"/>
    <cellStyle name="40% - Accent2 2 5 2 3" xfId="686" xr:uid="{00000000-0005-0000-0000-0000AD020000}"/>
    <cellStyle name="40% - Accent2 2 5 3" xfId="687" xr:uid="{00000000-0005-0000-0000-0000AE020000}"/>
    <cellStyle name="40% - Accent2 2 5 3 2" xfId="688" xr:uid="{00000000-0005-0000-0000-0000AF020000}"/>
    <cellStyle name="40% - Accent2 2 5 4" xfId="689" xr:uid="{00000000-0005-0000-0000-0000B0020000}"/>
    <cellStyle name="40% - Accent2 2 6" xfId="690" xr:uid="{00000000-0005-0000-0000-0000B1020000}"/>
    <cellStyle name="40% - Accent2 2 6 2" xfId="691" xr:uid="{00000000-0005-0000-0000-0000B2020000}"/>
    <cellStyle name="40% - Accent2 2 7" xfId="692" xr:uid="{00000000-0005-0000-0000-0000B3020000}"/>
    <cellStyle name="40% - Accent2 3" xfId="693" xr:uid="{00000000-0005-0000-0000-0000B4020000}"/>
    <cellStyle name="40% - Accent2 3 2" xfId="694" xr:uid="{00000000-0005-0000-0000-0000B5020000}"/>
    <cellStyle name="40% - Accent2 3 3" xfId="695" xr:uid="{00000000-0005-0000-0000-0000B6020000}"/>
    <cellStyle name="40% - Accent2 4" xfId="696" xr:uid="{00000000-0005-0000-0000-0000B7020000}"/>
    <cellStyle name="40% - Accent2 4 2" xfId="697" xr:uid="{00000000-0005-0000-0000-0000B8020000}"/>
    <cellStyle name="40% - Accent2 4 2 2" xfId="698" xr:uid="{00000000-0005-0000-0000-0000B9020000}"/>
    <cellStyle name="40% - Accent2 4 2 2 2" xfId="699" xr:uid="{00000000-0005-0000-0000-0000BA020000}"/>
    <cellStyle name="40% - Accent2 4 2 2 2 2" xfId="700" xr:uid="{00000000-0005-0000-0000-0000BB020000}"/>
    <cellStyle name="40% - Accent2 4 2 2 3" xfId="701" xr:uid="{00000000-0005-0000-0000-0000BC020000}"/>
    <cellStyle name="40% - Accent2 4 2 3" xfId="702" xr:uid="{00000000-0005-0000-0000-0000BD020000}"/>
    <cellStyle name="40% - Accent2 4 2 3 2" xfId="703" xr:uid="{00000000-0005-0000-0000-0000BE020000}"/>
    <cellStyle name="40% - Accent2 4 2 4" xfId="704" xr:uid="{00000000-0005-0000-0000-0000BF020000}"/>
    <cellStyle name="40% - Accent2 4 3" xfId="705" xr:uid="{00000000-0005-0000-0000-0000C0020000}"/>
    <cellStyle name="40% - Accent2 4 3 2" xfId="706" xr:uid="{00000000-0005-0000-0000-0000C1020000}"/>
    <cellStyle name="40% - Accent2 4 3 2 2" xfId="707" xr:uid="{00000000-0005-0000-0000-0000C2020000}"/>
    <cellStyle name="40% - Accent2 4 3 3" xfId="708" xr:uid="{00000000-0005-0000-0000-0000C3020000}"/>
    <cellStyle name="40% - Accent2 4 4" xfId="709" xr:uid="{00000000-0005-0000-0000-0000C4020000}"/>
    <cellStyle name="40% - Accent2 4 4 2" xfId="710" xr:uid="{00000000-0005-0000-0000-0000C5020000}"/>
    <cellStyle name="40% - Accent2 4 5" xfId="711" xr:uid="{00000000-0005-0000-0000-0000C6020000}"/>
    <cellStyle name="40% - Accent2 4 6" xfId="712" xr:uid="{00000000-0005-0000-0000-0000C7020000}"/>
    <cellStyle name="40% - Accent2 5" xfId="713" xr:uid="{00000000-0005-0000-0000-0000C8020000}"/>
    <cellStyle name="40% - Accent2 5 2" xfId="714" xr:uid="{00000000-0005-0000-0000-0000C9020000}"/>
    <cellStyle name="40% - Accent2 5 2 2" xfId="715" xr:uid="{00000000-0005-0000-0000-0000CA020000}"/>
    <cellStyle name="40% - Accent2 5 2 2 2" xfId="716" xr:uid="{00000000-0005-0000-0000-0000CB020000}"/>
    <cellStyle name="40% - Accent2 5 2 3" xfId="717" xr:uid="{00000000-0005-0000-0000-0000CC020000}"/>
    <cellStyle name="40% - Accent2 5 3" xfId="718" xr:uid="{00000000-0005-0000-0000-0000CD020000}"/>
    <cellStyle name="40% - Accent2 5 3 2" xfId="719" xr:uid="{00000000-0005-0000-0000-0000CE020000}"/>
    <cellStyle name="40% - Accent2 5 4" xfId="720" xr:uid="{00000000-0005-0000-0000-0000CF020000}"/>
    <cellStyle name="40% - Accent2 6" xfId="721" xr:uid="{00000000-0005-0000-0000-0000D0020000}"/>
    <cellStyle name="40% - Accent2 6 2" xfId="722" xr:uid="{00000000-0005-0000-0000-0000D1020000}"/>
    <cellStyle name="40% - Accent2 6 2 2" xfId="723" xr:uid="{00000000-0005-0000-0000-0000D2020000}"/>
    <cellStyle name="40% - Accent2 6 2 2 2" xfId="724" xr:uid="{00000000-0005-0000-0000-0000D3020000}"/>
    <cellStyle name="40% - Accent2 6 2 3" xfId="725" xr:uid="{00000000-0005-0000-0000-0000D4020000}"/>
    <cellStyle name="40% - Accent2 6 3" xfId="726" xr:uid="{00000000-0005-0000-0000-0000D5020000}"/>
    <cellStyle name="40% - Accent2 6 3 2" xfId="727" xr:uid="{00000000-0005-0000-0000-0000D6020000}"/>
    <cellStyle name="40% - Accent2 6 4" xfId="728" xr:uid="{00000000-0005-0000-0000-0000D7020000}"/>
    <cellStyle name="40% - Accent2 7" xfId="729" xr:uid="{00000000-0005-0000-0000-0000D8020000}"/>
    <cellStyle name="40% - Accent2 7 2" xfId="730" xr:uid="{00000000-0005-0000-0000-0000D9020000}"/>
    <cellStyle name="40% - Accent2 7 2 2" xfId="731" xr:uid="{00000000-0005-0000-0000-0000DA020000}"/>
    <cellStyle name="40% - Accent2 7 3" xfId="732" xr:uid="{00000000-0005-0000-0000-0000DB020000}"/>
    <cellStyle name="40% - Accent2 8" xfId="733" xr:uid="{00000000-0005-0000-0000-0000DC020000}"/>
    <cellStyle name="40% - Accent2 8 2" xfId="734" xr:uid="{00000000-0005-0000-0000-0000DD020000}"/>
    <cellStyle name="40% - Accent2 9" xfId="735" xr:uid="{00000000-0005-0000-0000-0000DE020000}"/>
    <cellStyle name="40% - Accent2 9 2" xfId="736" xr:uid="{00000000-0005-0000-0000-0000DF020000}"/>
    <cellStyle name="40% - Accent3 10" xfId="737" xr:uid="{00000000-0005-0000-0000-0000E0020000}"/>
    <cellStyle name="40% - Accent3 11" xfId="738" xr:uid="{00000000-0005-0000-0000-0000E1020000}"/>
    <cellStyle name="40% - Accent3 2" xfId="739" xr:uid="{00000000-0005-0000-0000-0000E2020000}"/>
    <cellStyle name="40% - Accent3 2 2" xfId="740" xr:uid="{00000000-0005-0000-0000-0000E3020000}"/>
    <cellStyle name="40% - Accent3 2 2 2" xfId="741" xr:uid="{00000000-0005-0000-0000-0000E4020000}"/>
    <cellStyle name="40% - Accent3 2 2 2 2" xfId="742" xr:uid="{00000000-0005-0000-0000-0000E5020000}"/>
    <cellStyle name="40% - Accent3 2 2 2 2 2" xfId="743" xr:uid="{00000000-0005-0000-0000-0000E6020000}"/>
    <cellStyle name="40% - Accent3 2 2 2 2 2 2" xfId="744" xr:uid="{00000000-0005-0000-0000-0000E7020000}"/>
    <cellStyle name="40% - Accent3 2 2 2 2 3" xfId="745" xr:uid="{00000000-0005-0000-0000-0000E8020000}"/>
    <cellStyle name="40% - Accent3 2 2 2 3" xfId="746" xr:uid="{00000000-0005-0000-0000-0000E9020000}"/>
    <cellStyle name="40% - Accent3 2 2 2 3 2" xfId="747" xr:uid="{00000000-0005-0000-0000-0000EA020000}"/>
    <cellStyle name="40% - Accent3 2 2 2 4" xfId="748" xr:uid="{00000000-0005-0000-0000-0000EB020000}"/>
    <cellStyle name="40% - Accent3 2 2 3" xfId="749" xr:uid="{00000000-0005-0000-0000-0000EC020000}"/>
    <cellStyle name="40% - Accent3 2 2 3 2" xfId="750" xr:uid="{00000000-0005-0000-0000-0000ED020000}"/>
    <cellStyle name="40% - Accent3 2 2 3 2 2" xfId="751" xr:uid="{00000000-0005-0000-0000-0000EE020000}"/>
    <cellStyle name="40% - Accent3 2 2 3 2 2 2" xfId="752" xr:uid="{00000000-0005-0000-0000-0000EF020000}"/>
    <cellStyle name="40% - Accent3 2 2 3 2 3" xfId="753" xr:uid="{00000000-0005-0000-0000-0000F0020000}"/>
    <cellStyle name="40% - Accent3 2 2 3 3" xfId="754" xr:uid="{00000000-0005-0000-0000-0000F1020000}"/>
    <cellStyle name="40% - Accent3 2 2 3 3 2" xfId="755" xr:uid="{00000000-0005-0000-0000-0000F2020000}"/>
    <cellStyle name="40% - Accent3 2 2 3 4" xfId="756" xr:uid="{00000000-0005-0000-0000-0000F3020000}"/>
    <cellStyle name="40% - Accent3 2 2 4" xfId="757" xr:uid="{00000000-0005-0000-0000-0000F4020000}"/>
    <cellStyle name="40% - Accent3 2 2 4 2" xfId="758" xr:uid="{00000000-0005-0000-0000-0000F5020000}"/>
    <cellStyle name="40% - Accent3 2 2 4 2 2" xfId="759" xr:uid="{00000000-0005-0000-0000-0000F6020000}"/>
    <cellStyle name="40% - Accent3 2 2 4 3" xfId="760" xr:uid="{00000000-0005-0000-0000-0000F7020000}"/>
    <cellStyle name="40% - Accent3 2 2 5" xfId="761" xr:uid="{00000000-0005-0000-0000-0000F8020000}"/>
    <cellStyle name="40% - Accent3 2 2 5 2" xfId="762" xr:uid="{00000000-0005-0000-0000-0000F9020000}"/>
    <cellStyle name="40% - Accent3 2 2 6" xfId="763" xr:uid="{00000000-0005-0000-0000-0000FA020000}"/>
    <cellStyle name="40% - Accent3 2 2 7" xfId="764" xr:uid="{00000000-0005-0000-0000-0000FB020000}"/>
    <cellStyle name="40% - Accent3 2 3" xfId="765" xr:uid="{00000000-0005-0000-0000-0000FC020000}"/>
    <cellStyle name="40% - Accent3 2 4" xfId="766" xr:uid="{00000000-0005-0000-0000-0000FD020000}"/>
    <cellStyle name="40% - Accent3 2 4 2" xfId="767" xr:uid="{00000000-0005-0000-0000-0000FE020000}"/>
    <cellStyle name="40% - Accent3 2 4 2 2" xfId="768" xr:uid="{00000000-0005-0000-0000-0000FF020000}"/>
    <cellStyle name="40% - Accent3 2 4 2 2 2" xfId="769" xr:uid="{00000000-0005-0000-0000-000000030000}"/>
    <cellStyle name="40% - Accent3 2 4 2 3" xfId="770" xr:uid="{00000000-0005-0000-0000-000001030000}"/>
    <cellStyle name="40% - Accent3 2 4 3" xfId="771" xr:uid="{00000000-0005-0000-0000-000002030000}"/>
    <cellStyle name="40% - Accent3 2 4 3 2" xfId="772" xr:uid="{00000000-0005-0000-0000-000003030000}"/>
    <cellStyle name="40% - Accent3 2 4 4" xfId="773" xr:uid="{00000000-0005-0000-0000-000004030000}"/>
    <cellStyle name="40% - Accent3 2 5" xfId="774" xr:uid="{00000000-0005-0000-0000-000005030000}"/>
    <cellStyle name="40% - Accent3 2 5 2" xfId="775" xr:uid="{00000000-0005-0000-0000-000006030000}"/>
    <cellStyle name="40% - Accent3 2 5 2 2" xfId="776" xr:uid="{00000000-0005-0000-0000-000007030000}"/>
    <cellStyle name="40% - Accent3 2 5 2 2 2" xfId="777" xr:uid="{00000000-0005-0000-0000-000008030000}"/>
    <cellStyle name="40% - Accent3 2 5 2 3" xfId="778" xr:uid="{00000000-0005-0000-0000-000009030000}"/>
    <cellStyle name="40% - Accent3 2 5 3" xfId="779" xr:uid="{00000000-0005-0000-0000-00000A030000}"/>
    <cellStyle name="40% - Accent3 2 5 3 2" xfId="780" xr:uid="{00000000-0005-0000-0000-00000B030000}"/>
    <cellStyle name="40% - Accent3 2 5 4" xfId="781" xr:uid="{00000000-0005-0000-0000-00000C030000}"/>
    <cellStyle name="40% - Accent3 2 6" xfId="782" xr:uid="{00000000-0005-0000-0000-00000D030000}"/>
    <cellStyle name="40% - Accent3 2 6 2" xfId="783" xr:uid="{00000000-0005-0000-0000-00000E030000}"/>
    <cellStyle name="40% - Accent3 2 7" xfId="784" xr:uid="{00000000-0005-0000-0000-00000F030000}"/>
    <cellStyle name="40% - Accent3 3" xfId="785" xr:uid="{00000000-0005-0000-0000-000010030000}"/>
    <cellStyle name="40% - Accent3 3 2" xfId="786" xr:uid="{00000000-0005-0000-0000-000011030000}"/>
    <cellStyle name="40% - Accent3 3 3" xfId="787" xr:uid="{00000000-0005-0000-0000-000012030000}"/>
    <cellStyle name="40% - Accent3 4" xfId="788" xr:uid="{00000000-0005-0000-0000-000013030000}"/>
    <cellStyle name="40% - Accent3 4 2" xfId="789" xr:uid="{00000000-0005-0000-0000-000014030000}"/>
    <cellStyle name="40% - Accent3 4 2 2" xfId="790" xr:uid="{00000000-0005-0000-0000-000015030000}"/>
    <cellStyle name="40% - Accent3 4 2 2 2" xfId="791" xr:uid="{00000000-0005-0000-0000-000016030000}"/>
    <cellStyle name="40% - Accent3 4 2 2 2 2" xfId="792" xr:uid="{00000000-0005-0000-0000-000017030000}"/>
    <cellStyle name="40% - Accent3 4 2 2 3" xfId="793" xr:uid="{00000000-0005-0000-0000-000018030000}"/>
    <cellStyle name="40% - Accent3 4 2 3" xfId="794" xr:uid="{00000000-0005-0000-0000-000019030000}"/>
    <cellStyle name="40% - Accent3 4 2 3 2" xfId="795" xr:uid="{00000000-0005-0000-0000-00001A030000}"/>
    <cellStyle name="40% - Accent3 4 2 4" xfId="796" xr:uid="{00000000-0005-0000-0000-00001B030000}"/>
    <cellStyle name="40% - Accent3 4 3" xfId="797" xr:uid="{00000000-0005-0000-0000-00001C030000}"/>
    <cellStyle name="40% - Accent3 4 3 2" xfId="798" xr:uid="{00000000-0005-0000-0000-00001D030000}"/>
    <cellStyle name="40% - Accent3 4 3 2 2" xfId="799" xr:uid="{00000000-0005-0000-0000-00001E030000}"/>
    <cellStyle name="40% - Accent3 4 3 3" xfId="800" xr:uid="{00000000-0005-0000-0000-00001F030000}"/>
    <cellStyle name="40% - Accent3 4 4" xfId="801" xr:uid="{00000000-0005-0000-0000-000020030000}"/>
    <cellStyle name="40% - Accent3 4 4 2" xfId="802" xr:uid="{00000000-0005-0000-0000-000021030000}"/>
    <cellStyle name="40% - Accent3 4 5" xfId="803" xr:uid="{00000000-0005-0000-0000-000022030000}"/>
    <cellStyle name="40% - Accent3 4 6" xfId="804" xr:uid="{00000000-0005-0000-0000-000023030000}"/>
    <cellStyle name="40% - Accent3 5" xfId="805" xr:uid="{00000000-0005-0000-0000-000024030000}"/>
    <cellStyle name="40% - Accent3 5 2" xfId="806" xr:uid="{00000000-0005-0000-0000-000025030000}"/>
    <cellStyle name="40% - Accent3 5 2 2" xfId="807" xr:uid="{00000000-0005-0000-0000-000026030000}"/>
    <cellStyle name="40% - Accent3 5 2 2 2" xfId="808" xr:uid="{00000000-0005-0000-0000-000027030000}"/>
    <cellStyle name="40% - Accent3 5 2 3" xfId="809" xr:uid="{00000000-0005-0000-0000-000028030000}"/>
    <cellStyle name="40% - Accent3 5 3" xfId="810" xr:uid="{00000000-0005-0000-0000-000029030000}"/>
    <cellStyle name="40% - Accent3 5 3 2" xfId="811" xr:uid="{00000000-0005-0000-0000-00002A030000}"/>
    <cellStyle name="40% - Accent3 5 4" xfId="812" xr:uid="{00000000-0005-0000-0000-00002B030000}"/>
    <cellStyle name="40% - Accent3 6" xfId="813" xr:uid="{00000000-0005-0000-0000-00002C030000}"/>
    <cellStyle name="40% - Accent3 6 2" xfId="814" xr:uid="{00000000-0005-0000-0000-00002D030000}"/>
    <cellStyle name="40% - Accent3 6 2 2" xfId="815" xr:uid="{00000000-0005-0000-0000-00002E030000}"/>
    <cellStyle name="40% - Accent3 6 2 2 2" xfId="816" xr:uid="{00000000-0005-0000-0000-00002F030000}"/>
    <cellStyle name="40% - Accent3 6 2 3" xfId="817" xr:uid="{00000000-0005-0000-0000-000030030000}"/>
    <cellStyle name="40% - Accent3 6 3" xfId="818" xr:uid="{00000000-0005-0000-0000-000031030000}"/>
    <cellStyle name="40% - Accent3 6 3 2" xfId="819" xr:uid="{00000000-0005-0000-0000-000032030000}"/>
    <cellStyle name="40% - Accent3 6 4" xfId="820" xr:uid="{00000000-0005-0000-0000-000033030000}"/>
    <cellStyle name="40% - Accent3 7" xfId="821" xr:uid="{00000000-0005-0000-0000-000034030000}"/>
    <cellStyle name="40% - Accent3 7 2" xfId="822" xr:uid="{00000000-0005-0000-0000-000035030000}"/>
    <cellStyle name="40% - Accent3 7 2 2" xfId="823" xr:uid="{00000000-0005-0000-0000-000036030000}"/>
    <cellStyle name="40% - Accent3 7 3" xfId="824" xr:uid="{00000000-0005-0000-0000-000037030000}"/>
    <cellStyle name="40% - Accent3 8" xfId="825" xr:uid="{00000000-0005-0000-0000-000038030000}"/>
    <cellStyle name="40% - Accent3 8 2" xfId="826" xr:uid="{00000000-0005-0000-0000-000039030000}"/>
    <cellStyle name="40% - Accent3 9" xfId="827" xr:uid="{00000000-0005-0000-0000-00003A030000}"/>
    <cellStyle name="40% - Accent3 9 2" xfId="828" xr:uid="{00000000-0005-0000-0000-00003B030000}"/>
    <cellStyle name="40% - Accent4 10" xfId="829" xr:uid="{00000000-0005-0000-0000-00003C030000}"/>
    <cellStyle name="40% - Accent4 11" xfId="830" xr:uid="{00000000-0005-0000-0000-00003D030000}"/>
    <cellStyle name="40% - Accent4 2" xfId="831" xr:uid="{00000000-0005-0000-0000-00003E030000}"/>
    <cellStyle name="40% - Accent4 2 2" xfId="832" xr:uid="{00000000-0005-0000-0000-00003F030000}"/>
    <cellStyle name="40% - Accent4 2 2 2" xfId="833" xr:uid="{00000000-0005-0000-0000-000040030000}"/>
    <cellStyle name="40% - Accent4 2 2 2 2" xfId="834" xr:uid="{00000000-0005-0000-0000-000041030000}"/>
    <cellStyle name="40% - Accent4 2 2 2 2 2" xfId="835" xr:uid="{00000000-0005-0000-0000-000042030000}"/>
    <cellStyle name="40% - Accent4 2 2 2 2 2 2" xfId="836" xr:uid="{00000000-0005-0000-0000-000043030000}"/>
    <cellStyle name="40% - Accent4 2 2 2 2 3" xfId="837" xr:uid="{00000000-0005-0000-0000-000044030000}"/>
    <cellStyle name="40% - Accent4 2 2 2 3" xfId="838" xr:uid="{00000000-0005-0000-0000-000045030000}"/>
    <cellStyle name="40% - Accent4 2 2 2 3 2" xfId="839" xr:uid="{00000000-0005-0000-0000-000046030000}"/>
    <cellStyle name="40% - Accent4 2 2 2 4" xfId="840" xr:uid="{00000000-0005-0000-0000-000047030000}"/>
    <cellStyle name="40% - Accent4 2 2 3" xfId="841" xr:uid="{00000000-0005-0000-0000-000048030000}"/>
    <cellStyle name="40% - Accent4 2 2 3 2" xfId="842" xr:uid="{00000000-0005-0000-0000-000049030000}"/>
    <cellStyle name="40% - Accent4 2 2 3 2 2" xfId="843" xr:uid="{00000000-0005-0000-0000-00004A030000}"/>
    <cellStyle name="40% - Accent4 2 2 3 2 2 2" xfId="844" xr:uid="{00000000-0005-0000-0000-00004B030000}"/>
    <cellStyle name="40% - Accent4 2 2 3 2 3" xfId="845" xr:uid="{00000000-0005-0000-0000-00004C030000}"/>
    <cellStyle name="40% - Accent4 2 2 3 3" xfId="846" xr:uid="{00000000-0005-0000-0000-00004D030000}"/>
    <cellStyle name="40% - Accent4 2 2 3 3 2" xfId="847" xr:uid="{00000000-0005-0000-0000-00004E030000}"/>
    <cellStyle name="40% - Accent4 2 2 3 4" xfId="848" xr:uid="{00000000-0005-0000-0000-00004F030000}"/>
    <cellStyle name="40% - Accent4 2 2 4" xfId="849" xr:uid="{00000000-0005-0000-0000-000050030000}"/>
    <cellStyle name="40% - Accent4 2 2 4 2" xfId="850" xr:uid="{00000000-0005-0000-0000-000051030000}"/>
    <cellStyle name="40% - Accent4 2 2 4 2 2" xfId="851" xr:uid="{00000000-0005-0000-0000-000052030000}"/>
    <cellStyle name="40% - Accent4 2 2 4 3" xfId="852" xr:uid="{00000000-0005-0000-0000-000053030000}"/>
    <cellStyle name="40% - Accent4 2 2 5" xfId="853" xr:uid="{00000000-0005-0000-0000-000054030000}"/>
    <cellStyle name="40% - Accent4 2 2 5 2" xfId="854" xr:uid="{00000000-0005-0000-0000-000055030000}"/>
    <cellStyle name="40% - Accent4 2 2 6" xfId="855" xr:uid="{00000000-0005-0000-0000-000056030000}"/>
    <cellStyle name="40% - Accent4 2 2 7" xfId="856" xr:uid="{00000000-0005-0000-0000-000057030000}"/>
    <cellStyle name="40% - Accent4 2 3" xfId="857" xr:uid="{00000000-0005-0000-0000-000058030000}"/>
    <cellStyle name="40% - Accent4 2 4" xfId="858" xr:uid="{00000000-0005-0000-0000-000059030000}"/>
    <cellStyle name="40% - Accent4 2 4 2" xfId="859" xr:uid="{00000000-0005-0000-0000-00005A030000}"/>
    <cellStyle name="40% - Accent4 2 4 2 2" xfId="860" xr:uid="{00000000-0005-0000-0000-00005B030000}"/>
    <cellStyle name="40% - Accent4 2 4 2 2 2" xfId="861" xr:uid="{00000000-0005-0000-0000-00005C030000}"/>
    <cellStyle name="40% - Accent4 2 4 2 3" xfId="862" xr:uid="{00000000-0005-0000-0000-00005D030000}"/>
    <cellStyle name="40% - Accent4 2 4 3" xfId="863" xr:uid="{00000000-0005-0000-0000-00005E030000}"/>
    <cellStyle name="40% - Accent4 2 4 3 2" xfId="864" xr:uid="{00000000-0005-0000-0000-00005F030000}"/>
    <cellStyle name="40% - Accent4 2 4 4" xfId="865" xr:uid="{00000000-0005-0000-0000-000060030000}"/>
    <cellStyle name="40% - Accent4 2 5" xfId="866" xr:uid="{00000000-0005-0000-0000-000061030000}"/>
    <cellStyle name="40% - Accent4 2 5 2" xfId="867" xr:uid="{00000000-0005-0000-0000-000062030000}"/>
    <cellStyle name="40% - Accent4 2 5 2 2" xfId="868" xr:uid="{00000000-0005-0000-0000-000063030000}"/>
    <cellStyle name="40% - Accent4 2 5 2 2 2" xfId="869" xr:uid="{00000000-0005-0000-0000-000064030000}"/>
    <cellStyle name="40% - Accent4 2 5 2 3" xfId="870" xr:uid="{00000000-0005-0000-0000-000065030000}"/>
    <cellStyle name="40% - Accent4 2 5 3" xfId="871" xr:uid="{00000000-0005-0000-0000-000066030000}"/>
    <cellStyle name="40% - Accent4 2 5 3 2" xfId="872" xr:uid="{00000000-0005-0000-0000-000067030000}"/>
    <cellStyle name="40% - Accent4 2 5 4" xfId="873" xr:uid="{00000000-0005-0000-0000-000068030000}"/>
    <cellStyle name="40% - Accent4 2 6" xfId="874" xr:uid="{00000000-0005-0000-0000-000069030000}"/>
    <cellStyle name="40% - Accent4 2 6 2" xfId="875" xr:uid="{00000000-0005-0000-0000-00006A030000}"/>
    <cellStyle name="40% - Accent4 2 7" xfId="876" xr:uid="{00000000-0005-0000-0000-00006B030000}"/>
    <cellStyle name="40% - Accent4 3" xfId="877" xr:uid="{00000000-0005-0000-0000-00006C030000}"/>
    <cellStyle name="40% - Accent4 3 2" xfId="878" xr:uid="{00000000-0005-0000-0000-00006D030000}"/>
    <cellStyle name="40% - Accent4 3 3" xfId="879" xr:uid="{00000000-0005-0000-0000-00006E030000}"/>
    <cellStyle name="40% - Accent4 4" xfId="880" xr:uid="{00000000-0005-0000-0000-00006F030000}"/>
    <cellStyle name="40% - Accent4 4 2" xfId="881" xr:uid="{00000000-0005-0000-0000-000070030000}"/>
    <cellStyle name="40% - Accent4 4 2 2" xfId="882" xr:uid="{00000000-0005-0000-0000-000071030000}"/>
    <cellStyle name="40% - Accent4 4 2 2 2" xfId="883" xr:uid="{00000000-0005-0000-0000-000072030000}"/>
    <cellStyle name="40% - Accent4 4 2 2 2 2" xfId="884" xr:uid="{00000000-0005-0000-0000-000073030000}"/>
    <cellStyle name="40% - Accent4 4 2 2 3" xfId="885" xr:uid="{00000000-0005-0000-0000-000074030000}"/>
    <cellStyle name="40% - Accent4 4 2 3" xfId="886" xr:uid="{00000000-0005-0000-0000-000075030000}"/>
    <cellStyle name="40% - Accent4 4 2 3 2" xfId="887" xr:uid="{00000000-0005-0000-0000-000076030000}"/>
    <cellStyle name="40% - Accent4 4 2 4" xfId="888" xr:uid="{00000000-0005-0000-0000-000077030000}"/>
    <cellStyle name="40% - Accent4 4 3" xfId="889" xr:uid="{00000000-0005-0000-0000-000078030000}"/>
    <cellStyle name="40% - Accent4 4 3 2" xfId="890" xr:uid="{00000000-0005-0000-0000-000079030000}"/>
    <cellStyle name="40% - Accent4 4 3 2 2" xfId="891" xr:uid="{00000000-0005-0000-0000-00007A030000}"/>
    <cellStyle name="40% - Accent4 4 3 3" xfId="892" xr:uid="{00000000-0005-0000-0000-00007B030000}"/>
    <cellStyle name="40% - Accent4 4 4" xfId="893" xr:uid="{00000000-0005-0000-0000-00007C030000}"/>
    <cellStyle name="40% - Accent4 4 4 2" xfId="894" xr:uid="{00000000-0005-0000-0000-00007D030000}"/>
    <cellStyle name="40% - Accent4 4 5" xfId="895" xr:uid="{00000000-0005-0000-0000-00007E030000}"/>
    <cellStyle name="40% - Accent4 4 6" xfId="896" xr:uid="{00000000-0005-0000-0000-00007F030000}"/>
    <cellStyle name="40% - Accent4 5" xfId="897" xr:uid="{00000000-0005-0000-0000-000080030000}"/>
    <cellStyle name="40% - Accent4 5 2" xfId="898" xr:uid="{00000000-0005-0000-0000-000081030000}"/>
    <cellStyle name="40% - Accent4 5 2 2" xfId="899" xr:uid="{00000000-0005-0000-0000-000082030000}"/>
    <cellStyle name="40% - Accent4 5 2 2 2" xfId="900" xr:uid="{00000000-0005-0000-0000-000083030000}"/>
    <cellStyle name="40% - Accent4 5 2 3" xfId="901" xr:uid="{00000000-0005-0000-0000-000084030000}"/>
    <cellStyle name="40% - Accent4 5 3" xfId="902" xr:uid="{00000000-0005-0000-0000-000085030000}"/>
    <cellStyle name="40% - Accent4 5 3 2" xfId="903" xr:uid="{00000000-0005-0000-0000-000086030000}"/>
    <cellStyle name="40% - Accent4 5 4" xfId="904" xr:uid="{00000000-0005-0000-0000-000087030000}"/>
    <cellStyle name="40% - Accent4 6" xfId="905" xr:uid="{00000000-0005-0000-0000-000088030000}"/>
    <cellStyle name="40% - Accent4 6 2" xfId="906" xr:uid="{00000000-0005-0000-0000-000089030000}"/>
    <cellStyle name="40% - Accent4 6 2 2" xfId="907" xr:uid="{00000000-0005-0000-0000-00008A030000}"/>
    <cellStyle name="40% - Accent4 6 2 2 2" xfId="908" xr:uid="{00000000-0005-0000-0000-00008B030000}"/>
    <cellStyle name="40% - Accent4 6 2 3" xfId="909" xr:uid="{00000000-0005-0000-0000-00008C030000}"/>
    <cellStyle name="40% - Accent4 6 3" xfId="910" xr:uid="{00000000-0005-0000-0000-00008D030000}"/>
    <cellStyle name="40% - Accent4 6 3 2" xfId="911" xr:uid="{00000000-0005-0000-0000-00008E030000}"/>
    <cellStyle name="40% - Accent4 6 4" xfId="912" xr:uid="{00000000-0005-0000-0000-00008F030000}"/>
    <cellStyle name="40% - Accent4 7" xfId="913" xr:uid="{00000000-0005-0000-0000-000090030000}"/>
    <cellStyle name="40% - Accent4 7 2" xfId="914" xr:uid="{00000000-0005-0000-0000-000091030000}"/>
    <cellStyle name="40% - Accent4 7 2 2" xfId="915" xr:uid="{00000000-0005-0000-0000-000092030000}"/>
    <cellStyle name="40% - Accent4 7 3" xfId="916" xr:uid="{00000000-0005-0000-0000-000093030000}"/>
    <cellStyle name="40% - Accent4 8" xfId="917" xr:uid="{00000000-0005-0000-0000-000094030000}"/>
    <cellStyle name="40% - Accent4 8 2" xfId="918" xr:uid="{00000000-0005-0000-0000-000095030000}"/>
    <cellStyle name="40% - Accent4 9" xfId="919" xr:uid="{00000000-0005-0000-0000-000096030000}"/>
    <cellStyle name="40% - Accent4 9 2" xfId="920" xr:uid="{00000000-0005-0000-0000-000097030000}"/>
    <cellStyle name="40% - Accent5 10" xfId="921" xr:uid="{00000000-0005-0000-0000-000098030000}"/>
    <cellStyle name="40% - Accent5 11" xfId="922" xr:uid="{00000000-0005-0000-0000-000099030000}"/>
    <cellStyle name="40% - Accent5 2" xfId="923" xr:uid="{00000000-0005-0000-0000-00009A030000}"/>
    <cellStyle name="40% - Accent5 2 2" xfId="924" xr:uid="{00000000-0005-0000-0000-00009B030000}"/>
    <cellStyle name="40% - Accent5 2 2 2" xfId="925" xr:uid="{00000000-0005-0000-0000-00009C030000}"/>
    <cellStyle name="40% - Accent5 2 2 2 2" xfId="926" xr:uid="{00000000-0005-0000-0000-00009D030000}"/>
    <cellStyle name="40% - Accent5 2 2 2 2 2" xfId="927" xr:uid="{00000000-0005-0000-0000-00009E030000}"/>
    <cellStyle name="40% - Accent5 2 2 2 2 2 2" xfId="928" xr:uid="{00000000-0005-0000-0000-00009F030000}"/>
    <cellStyle name="40% - Accent5 2 2 2 2 3" xfId="929" xr:uid="{00000000-0005-0000-0000-0000A0030000}"/>
    <cellStyle name="40% - Accent5 2 2 2 3" xfId="930" xr:uid="{00000000-0005-0000-0000-0000A1030000}"/>
    <cellStyle name="40% - Accent5 2 2 2 3 2" xfId="931" xr:uid="{00000000-0005-0000-0000-0000A2030000}"/>
    <cellStyle name="40% - Accent5 2 2 2 4" xfId="932" xr:uid="{00000000-0005-0000-0000-0000A3030000}"/>
    <cellStyle name="40% - Accent5 2 2 3" xfId="933" xr:uid="{00000000-0005-0000-0000-0000A4030000}"/>
    <cellStyle name="40% - Accent5 2 2 3 2" xfId="934" xr:uid="{00000000-0005-0000-0000-0000A5030000}"/>
    <cellStyle name="40% - Accent5 2 2 3 2 2" xfId="935" xr:uid="{00000000-0005-0000-0000-0000A6030000}"/>
    <cellStyle name="40% - Accent5 2 2 3 2 2 2" xfId="936" xr:uid="{00000000-0005-0000-0000-0000A7030000}"/>
    <cellStyle name="40% - Accent5 2 2 3 2 3" xfId="937" xr:uid="{00000000-0005-0000-0000-0000A8030000}"/>
    <cellStyle name="40% - Accent5 2 2 3 3" xfId="938" xr:uid="{00000000-0005-0000-0000-0000A9030000}"/>
    <cellStyle name="40% - Accent5 2 2 3 3 2" xfId="939" xr:uid="{00000000-0005-0000-0000-0000AA030000}"/>
    <cellStyle name="40% - Accent5 2 2 3 4" xfId="940" xr:uid="{00000000-0005-0000-0000-0000AB030000}"/>
    <cellStyle name="40% - Accent5 2 2 4" xfId="941" xr:uid="{00000000-0005-0000-0000-0000AC030000}"/>
    <cellStyle name="40% - Accent5 2 2 4 2" xfId="942" xr:uid="{00000000-0005-0000-0000-0000AD030000}"/>
    <cellStyle name="40% - Accent5 2 2 4 2 2" xfId="943" xr:uid="{00000000-0005-0000-0000-0000AE030000}"/>
    <cellStyle name="40% - Accent5 2 2 4 3" xfId="944" xr:uid="{00000000-0005-0000-0000-0000AF030000}"/>
    <cellStyle name="40% - Accent5 2 2 5" xfId="945" xr:uid="{00000000-0005-0000-0000-0000B0030000}"/>
    <cellStyle name="40% - Accent5 2 2 5 2" xfId="946" xr:uid="{00000000-0005-0000-0000-0000B1030000}"/>
    <cellStyle name="40% - Accent5 2 2 6" xfId="947" xr:uid="{00000000-0005-0000-0000-0000B2030000}"/>
    <cellStyle name="40% - Accent5 2 2 7" xfId="948" xr:uid="{00000000-0005-0000-0000-0000B3030000}"/>
    <cellStyle name="40% - Accent5 2 3" xfId="949" xr:uid="{00000000-0005-0000-0000-0000B4030000}"/>
    <cellStyle name="40% - Accent5 2 4" xfId="950" xr:uid="{00000000-0005-0000-0000-0000B5030000}"/>
    <cellStyle name="40% - Accent5 2 4 2" xfId="951" xr:uid="{00000000-0005-0000-0000-0000B6030000}"/>
    <cellStyle name="40% - Accent5 2 4 2 2" xfId="952" xr:uid="{00000000-0005-0000-0000-0000B7030000}"/>
    <cellStyle name="40% - Accent5 2 4 2 2 2" xfId="953" xr:uid="{00000000-0005-0000-0000-0000B8030000}"/>
    <cellStyle name="40% - Accent5 2 4 2 3" xfId="954" xr:uid="{00000000-0005-0000-0000-0000B9030000}"/>
    <cellStyle name="40% - Accent5 2 4 3" xfId="955" xr:uid="{00000000-0005-0000-0000-0000BA030000}"/>
    <cellStyle name="40% - Accent5 2 4 3 2" xfId="956" xr:uid="{00000000-0005-0000-0000-0000BB030000}"/>
    <cellStyle name="40% - Accent5 2 4 4" xfId="957" xr:uid="{00000000-0005-0000-0000-0000BC030000}"/>
    <cellStyle name="40% - Accent5 2 5" xfId="958" xr:uid="{00000000-0005-0000-0000-0000BD030000}"/>
    <cellStyle name="40% - Accent5 2 5 2" xfId="959" xr:uid="{00000000-0005-0000-0000-0000BE030000}"/>
    <cellStyle name="40% - Accent5 2 5 2 2" xfId="960" xr:uid="{00000000-0005-0000-0000-0000BF030000}"/>
    <cellStyle name="40% - Accent5 2 5 2 2 2" xfId="961" xr:uid="{00000000-0005-0000-0000-0000C0030000}"/>
    <cellStyle name="40% - Accent5 2 5 2 3" xfId="962" xr:uid="{00000000-0005-0000-0000-0000C1030000}"/>
    <cellStyle name="40% - Accent5 2 5 3" xfId="963" xr:uid="{00000000-0005-0000-0000-0000C2030000}"/>
    <cellStyle name="40% - Accent5 2 5 3 2" xfId="964" xr:uid="{00000000-0005-0000-0000-0000C3030000}"/>
    <cellStyle name="40% - Accent5 2 5 4" xfId="965" xr:uid="{00000000-0005-0000-0000-0000C4030000}"/>
    <cellStyle name="40% - Accent5 2 6" xfId="966" xr:uid="{00000000-0005-0000-0000-0000C5030000}"/>
    <cellStyle name="40% - Accent5 2 6 2" xfId="967" xr:uid="{00000000-0005-0000-0000-0000C6030000}"/>
    <cellStyle name="40% - Accent5 2 7" xfId="968" xr:uid="{00000000-0005-0000-0000-0000C7030000}"/>
    <cellStyle name="40% - Accent5 3" xfId="969" xr:uid="{00000000-0005-0000-0000-0000C8030000}"/>
    <cellStyle name="40% - Accent5 3 2" xfId="970" xr:uid="{00000000-0005-0000-0000-0000C9030000}"/>
    <cellStyle name="40% - Accent5 3 3" xfId="971" xr:uid="{00000000-0005-0000-0000-0000CA030000}"/>
    <cellStyle name="40% - Accent5 4" xfId="972" xr:uid="{00000000-0005-0000-0000-0000CB030000}"/>
    <cellStyle name="40% - Accent5 4 2" xfId="973" xr:uid="{00000000-0005-0000-0000-0000CC030000}"/>
    <cellStyle name="40% - Accent5 4 2 2" xfId="974" xr:uid="{00000000-0005-0000-0000-0000CD030000}"/>
    <cellStyle name="40% - Accent5 4 2 2 2" xfId="975" xr:uid="{00000000-0005-0000-0000-0000CE030000}"/>
    <cellStyle name="40% - Accent5 4 2 2 2 2" xfId="976" xr:uid="{00000000-0005-0000-0000-0000CF030000}"/>
    <cellStyle name="40% - Accent5 4 2 2 3" xfId="977" xr:uid="{00000000-0005-0000-0000-0000D0030000}"/>
    <cellStyle name="40% - Accent5 4 2 3" xfId="978" xr:uid="{00000000-0005-0000-0000-0000D1030000}"/>
    <cellStyle name="40% - Accent5 4 2 3 2" xfId="979" xr:uid="{00000000-0005-0000-0000-0000D2030000}"/>
    <cellStyle name="40% - Accent5 4 2 4" xfId="980" xr:uid="{00000000-0005-0000-0000-0000D3030000}"/>
    <cellStyle name="40% - Accent5 4 3" xfId="981" xr:uid="{00000000-0005-0000-0000-0000D4030000}"/>
    <cellStyle name="40% - Accent5 4 3 2" xfId="982" xr:uid="{00000000-0005-0000-0000-0000D5030000}"/>
    <cellStyle name="40% - Accent5 4 3 2 2" xfId="983" xr:uid="{00000000-0005-0000-0000-0000D6030000}"/>
    <cellStyle name="40% - Accent5 4 3 3" xfId="984" xr:uid="{00000000-0005-0000-0000-0000D7030000}"/>
    <cellStyle name="40% - Accent5 4 4" xfId="985" xr:uid="{00000000-0005-0000-0000-0000D8030000}"/>
    <cellStyle name="40% - Accent5 4 4 2" xfId="986" xr:uid="{00000000-0005-0000-0000-0000D9030000}"/>
    <cellStyle name="40% - Accent5 4 5" xfId="987" xr:uid="{00000000-0005-0000-0000-0000DA030000}"/>
    <cellStyle name="40% - Accent5 4 6" xfId="988" xr:uid="{00000000-0005-0000-0000-0000DB030000}"/>
    <cellStyle name="40% - Accent5 5" xfId="989" xr:uid="{00000000-0005-0000-0000-0000DC030000}"/>
    <cellStyle name="40% - Accent5 5 2" xfId="990" xr:uid="{00000000-0005-0000-0000-0000DD030000}"/>
    <cellStyle name="40% - Accent5 5 2 2" xfId="991" xr:uid="{00000000-0005-0000-0000-0000DE030000}"/>
    <cellStyle name="40% - Accent5 5 2 2 2" xfId="992" xr:uid="{00000000-0005-0000-0000-0000DF030000}"/>
    <cellStyle name="40% - Accent5 5 2 3" xfId="993" xr:uid="{00000000-0005-0000-0000-0000E0030000}"/>
    <cellStyle name="40% - Accent5 5 3" xfId="994" xr:uid="{00000000-0005-0000-0000-0000E1030000}"/>
    <cellStyle name="40% - Accent5 5 3 2" xfId="995" xr:uid="{00000000-0005-0000-0000-0000E2030000}"/>
    <cellStyle name="40% - Accent5 5 4" xfId="996" xr:uid="{00000000-0005-0000-0000-0000E3030000}"/>
    <cellStyle name="40% - Accent5 6" xfId="997" xr:uid="{00000000-0005-0000-0000-0000E4030000}"/>
    <cellStyle name="40% - Accent5 6 2" xfId="998" xr:uid="{00000000-0005-0000-0000-0000E5030000}"/>
    <cellStyle name="40% - Accent5 6 2 2" xfId="999" xr:uid="{00000000-0005-0000-0000-0000E6030000}"/>
    <cellStyle name="40% - Accent5 6 2 2 2" xfId="1000" xr:uid="{00000000-0005-0000-0000-0000E7030000}"/>
    <cellStyle name="40% - Accent5 6 2 3" xfId="1001" xr:uid="{00000000-0005-0000-0000-0000E8030000}"/>
    <cellStyle name="40% - Accent5 6 3" xfId="1002" xr:uid="{00000000-0005-0000-0000-0000E9030000}"/>
    <cellStyle name="40% - Accent5 6 3 2" xfId="1003" xr:uid="{00000000-0005-0000-0000-0000EA030000}"/>
    <cellStyle name="40% - Accent5 6 4" xfId="1004" xr:uid="{00000000-0005-0000-0000-0000EB030000}"/>
    <cellStyle name="40% - Accent5 7" xfId="1005" xr:uid="{00000000-0005-0000-0000-0000EC030000}"/>
    <cellStyle name="40% - Accent5 7 2" xfId="1006" xr:uid="{00000000-0005-0000-0000-0000ED030000}"/>
    <cellStyle name="40% - Accent5 7 2 2" xfId="1007" xr:uid="{00000000-0005-0000-0000-0000EE030000}"/>
    <cellStyle name="40% - Accent5 7 3" xfId="1008" xr:uid="{00000000-0005-0000-0000-0000EF030000}"/>
    <cellStyle name="40% - Accent5 8" xfId="1009" xr:uid="{00000000-0005-0000-0000-0000F0030000}"/>
    <cellStyle name="40% - Accent5 8 2" xfId="1010" xr:uid="{00000000-0005-0000-0000-0000F1030000}"/>
    <cellStyle name="40% - Accent5 9" xfId="1011" xr:uid="{00000000-0005-0000-0000-0000F2030000}"/>
    <cellStyle name="40% - Accent5 9 2" xfId="1012" xr:uid="{00000000-0005-0000-0000-0000F3030000}"/>
    <cellStyle name="40% - Accent6 10" xfId="1013" xr:uid="{00000000-0005-0000-0000-0000F4030000}"/>
    <cellStyle name="40% - Accent6 11" xfId="1014" xr:uid="{00000000-0005-0000-0000-0000F5030000}"/>
    <cellStyle name="40% - Accent6 2" xfId="1015" xr:uid="{00000000-0005-0000-0000-0000F6030000}"/>
    <cellStyle name="40% - Accent6 2 2" xfId="1016" xr:uid="{00000000-0005-0000-0000-0000F7030000}"/>
    <cellStyle name="40% - Accent6 2 2 2" xfId="1017" xr:uid="{00000000-0005-0000-0000-0000F8030000}"/>
    <cellStyle name="40% - Accent6 2 2 2 2" xfId="1018" xr:uid="{00000000-0005-0000-0000-0000F9030000}"/>
    <cellStyle name="40% - Accent6 2 2 2 2 2" xfId="1019" xr:uid="{00000000-0005-0000-0000-0000FA030000}"/>
    <cellStyle name="40% - Accent6 2 2 2 2 2 2" xfId="1020" xr:uid="{00000000-0005-0000-0000-0000FB030000}"/>
    <cellStyle name="40% - Accent6 2 2 2 2 3" xfId="1021" xr:uid="{00000000-0005-0000-0000-0000FC030000}"/>
    <cellStyle name="40% - Accent6 2 2 2 3" xfId="1022" xr:uid="{00000000-0005-0000-0000-0000FD030000}"/>
    <cellStyle name="40% - Accent6 2 2 2 3 2" xfId="1023" xr:uid="{00000000-0005-0000-0000-0000FE030000}"/>
    <cellStyle name="40% - Accent6 2 2 2 4" xfId="1024" xr:uid="{00000000-0005-0000-0000-0000FF030000}"/>
    <cellStyle name="40% - Accent6 2 2 3" xfId="1025" xr:uid="{00000000-0005-0000-0000-000000040000}"/>
    <cellStyle name="40% - Accent6 2 2 3 2" xfId="1026" xr:uid="{00000000-0005-0000-0000-000001040000}"/>
    <cellStyle name="40% - Accent6 2 2 3 2 2" xfId="1027" xr:uid="{00000000-0005-0000-0000-000002040000}"/>
    <cellStyle name="40% - Accent6 2 2 3 2 2 2" xfId="1028" xr:uid="{00000000-0005-0000-0000-000003040000}"/>
    <cellStyle name="40% - Accent6 2 2 3 2 3" xfId="1029" xr:uid="{00000000-0005-0000-0000-000004040000}"/>
    <cellStyle name="40% - Accent6 2 2 3 3" xfId="1030" xr:uid="{00000000-0005-0000-0000-000005040000}"/>
    <cellStyle name="40% - Accent6 2 2 3 3 2" xfId="1031" xr:uid="{00000000-0005-0000-0000-000006040000}"/>
    <cellStyle name="40% - Accent6 2 2 3 4" xfId="1032" xr:uid="{00000000-0005-0000-0000-000007040000}"/>
    <cellStyle name="40% - Accent6 2 2 4" xfId="1033" xr:uid="{00000000-0005-0000-0000-000008040000}"/>
    <cellStyle name="40% - Accent6 2 2 4 2" xfId="1034" xr:uid="{00000000-0005-0000-0000-000009040000}"/>
    <cellStyle name="40% - Accent6 2 2 4 2 2" xfId="1035" xr:uid="{00000000-0005-0000-0000-00000A040000}"/>
    <cellStyle name="40% - Accent6 2 2 4 3" xfId="1036" xr:uid="{00000000-0005-0000-0000-00000B040000}"/>
    <cellStyle name="40% - Accent6 2 2 5" xfId="1037" xr:uid="{00000000-0005-0000-0000-00000C040000}"/>
    <cellStyle name="40% - Accent6 2 2 5 2" xfId="1038" xr:uid="{00000000-0005-0000-0000-00000D040000}"/>
    <cellStyle name="40% - Accent6 2 2 6" xfId="1039" xr:uid="{00000000-0005-0000-0000-00000E040000}"/>
    <cellStyle name="40% - Accent6 2 2 7" xfId="1040" xr:uid="{00000000-0005-0000-0000-00000F040000}"/>
    <cellStyle name="40% - Accent6 2 3" xfId="1041" xr:uid="{00000000-0005-0000-0000-000010040000}"/>
    <cellStyle name="40% - Accent6 2 4" xfId="1042" xr:uid="{00000000-0005-0000-0000-000011040000}"/>
    <cellStyle name="40% - Accent6 2 4 2" xfId="1043" xr:uid="{00000000-0005-0000-0000-000012040000}"/>
    <cellStyle name="40% - Accent6 2 4 2 2" xfId="1044" xr:uid="{00000000-0005-0000-0000-000013040000}"/>
    <cellStyle name="40% - Accent6 2 4 2 2 2" xfId="1045" xr:uid="{00000000-0005-0000-0000-000014040000}"/>
    <cellStyle name="40% - Accent6 2 4 2 3" xfId="1046" xr:uid="{00000000-0005-0000-0000-000015040000}"/>
    <cellStyle name="40% - Accent6 2 4 3" xfId="1047" xr:uid="{00000000-0005-0000-0000-000016040000}"/>
    <cellStyle name="40% - Accent6 2 4 3 2" xfId="1048" xr:uid="{00000000-0005-0000-0000-000017040000}"/>
    <cellStyle name="40% - Accent6 2 4 4" xfId="1049" xr:uid="{00000000-0005-0000-0000-000018040000}"/>
    <cellStyle name="40% - Accent6 2 5" xfId="1050" xr:uid="{00000000-0005-0000-0000-000019040000}"/>
    <cellStyle name="40% - Accent6 2 5 2" xfId="1051" xr:uid="{00000000-0005-0000-0000-00001A040000}"/>
    <cellStyle name="40% - Accent6 2 5 2 2" xfId="1052" xr:uid="{00000000-0005-0000-0000-00001B040000}"/>
    <cellStyle name="40% - Accent6 2 5 2 2 2" xfId="1053" xr:uid="{00000000-0005-0000-0000-00001C040000}"/>
    <cellStyle name="40% - Accent6 2 5 2 3" xfId="1054" xr:uid="{00000000-0005-0000-0000-00001D040000}"/>
    <cellStyle name="40% - Accent6 2 5 3" xfId="1055" xr:uid="{00000000-0005-0000-0000-00001E040000}"/>
    <cellStyle name="40% - Accent6 2 5 3 2" xfId="1056" xr:uid="{00000000-0005-0000-0000-00001F040000}"/>
    <cellStyle name="40% - Accent6 2 5 4" xfId="1057" xr:uid="{00000000-0005-0000-0000-000020040000}"/>
    <cellStyle name="40% - Accent6 2 6" xfId="1058" xr:uid="{00000000-0005-0000-0000-000021040000}"/>
    <cellStyle name="40% - Accent6 2 6 2" xfId="1059" xr:uid="{00000000-0005-0000-0000-000022040000}"/>
    <cellStyle name="40% - Accent6 2 7" xfId="1060" xr:uid="{00000000-0005-0000-0000-000023040000}"/>
    <cellStyle name="40% - Accent6 3" xfId="1061" xr:uid="{00000000-0005-0000-0000-000024040000}"/>
    <cellStyle name="40% - Accent6 3 2" xfId="1062" xr:uid="{00000000-0005-0000-0000-000025040000}"/>
    <cellStyle name="40% - Accent6 3 3" xfId="1063" xr:uid="{00000000-0005-0000-0000-000026040000}"/>
    <cellStyle name="40% - Accent6 4" xfId="1064" xr:uid="{00000000-0005-0000-0000-000027040000}"/>
    <cellStyle name="40% - Accent6 4 2" xfId="1065" xr:uid="{00000000-0005-0000-0000-000028040000}"/>
    <cellStyle name="40% - Accent6 4 2 2" xfId="1066" xr:uid="{00000000-0005-0000-0000-000029040000}"/>
    <cellStyle name="40% - Accent6 4 2 2 2" xfId="1067" xr:uid="{00000000-0005-0000-0000-00002A040000}"/>
    <cellStyle name="40% - Accent6 4 2 2 2 2" xfId="1068" xr:uid="{00000000-0005-0000-0000-00002B040000}"/>
    <cellStyle name="40% - Accent6 4 2 2 3" xfId="1069" xr:uid="{00000000-0005-0000-0000-00002C040000}"/>
    <cellStyle name="40% - Accent6 4 2 3" xfId="1070" xr:uid="{00000000-0005-0000-0000-00002D040000}"/>
    <cellStyle name="40% - Accent6 4 2 3 2" xfId="1071" xr:uid="{00000000-0005-0000-0000-00002E040000}"/>
    <cellStyle name="40% - Accent6 4 2 4" xfId="1072" xr:uid="{00000000-0005-0000-0000-00002F040000}"/>
    <cellStyle name="40% - Accent6 4 3" xfId="1073" xr:uid="{00000000-0005-0000-0000-000030040000}"/>
    <cellStyle name="40% - Accent6 4 3 2" xfId="1074" xr:uid="{00000000-0005-0000-0000-000031040000}"/>
    <cellStyle name="40% - Accent6 4 3 2 2" xfId="1075" xr:uid="{00000000-0005-0000-0000-000032040000}"/>
    <cellStyle name="40% - Accent6 4 3 3" xfId="1076" xr:uid="{00000000-0005-0000-0000-000033040000}"/>
    <cellStyle name="40% - Accent6 4 4" xfId="1077" xr:uid="{00000000-0005-0000-0000-000034040000}"/>
    <cellStyle name="40% - Accent6 4 4 2" xfId="1078" xr:uid="{00000000-0005-0000-0000-000035040000}"/>
    <cellStyle name="40% - Accent6 4 5" xfId="1079" xr:uid="{00000000-0005-0000-0000-000036040000}"/>
    <cellStyle name="40% - Accent6 4 6" xfId="1080" xr:uid="{00000000-0005-0000-0000-000037040000}"/>
    <cellStyle name="40% - Accent6 5" xfId="1081" xr:uid="{00000000-0005-0000-0000-000038040000}"/>
    <cellStyle name="40% - Accent6 5 2" xfId="1082" xr:uid="{00000000-0005-0000-0000-000039040000}"/>
    <cellStyle name="40% - Accent6 5 2 2" xfId="1083" xr:uid="{00000000-0005-0000-0000-00003A040000}"/>
    <cellStyle name="40% - Accent6 5 2 2 2" xfId="1084" xr:uid="{00000000-0005-0000-0000-00003B040000}"/>
    <cellStyle name="40% - Accent6 5 2 3" xfId="1085" xr:uid="{00000000-0005-0000-0000-00003C040000}"/>
    <cellStyle name="40% - Accent6 5 3" xfId="1086" xr:uid="{00000000-0005-0000-0000-00003D040000}"/>
    <cellStyle name="40% - Accent6 5 3 2" xfId="1087" xr:uid="{00000000-0005-0000-0000-00003E040000}"/>
    <cellStyle name="40% - Accent6 5 4" xfId="1088" xr:uid="{00000000-0005-0000-0000-00003F040000}"/>
    <cellStyle name="40% - Accent6 6" xfId="1089" xr:uid="{00000000-0005-0000-0000-000040040000}"/>
    <cellStyle name="40% - Accent6 6 2" xfId="1090" xr:uid="{00000000-0005-0000-0000-000041040000}"/>
    <cellStyle name="40% - Accent6 6 2 2" xfId="1091" xr:uid="{00000000-0005-0000-0000-000042040000}"/>
    <cellStyle name="40% - Accent6 6 2 2 2" xfId="1092" xr:uid="{00000000-0005-0000-0000-000043040000}"/>
    <cellStyle name="40% - Accent6 6 2 3" xfId="1093" xr:uid="{00000000-0005-0000-0000-000044040000}"/>
    <cellStyle name="40% - Accent6 6 3" xfId="1094" xr:uid="{00000000-0005-0000-0000-000045040000}"/>
    <cellStyle name="40% - Accent6 6 3 2" xfId="1095" xr:uid="{00000000-0005-0000-0000-000046040000}"/>
    <cellStyle name="40% - Accent6 6 4" xfId="1096" xr:uid="{00000000-0005-0000-0000-000047040000}"/>
    <cellStyle name="40% - Accent6 7" xfId="1097" xr:uid="{00000000-0005-0000-0000-000048040000}"/>
    <cellStyle name="40% - Accent6 7 2" xfId="1098" xr:uid="{00000000-0005-0000-0000-000049040000}"/>
    <cellStyle name="40% - Accent6 7 2 2" xfId="1099" xr:uid="{00000000-0005-0000-0000-00004A040000}"/>
    <cellStyle name="40% - Accent6 7 3" xfId="1100" xr:uid="{00000000-0005-0000-0000-00004B040000}"/>
    <cellStyle name="40% - Accent6 8" xfId="1101" xr:uid="{00000000-0005-0000-0000-00004C040000}"/>
    <cellStyle name="40% - Accent6 8 2" xfId="1102" xr:uid="{00000000-0005-0000-0000-00004D040000}"/>
    <cellStyle name="40% - Accent6 9" xfId="1103" xr:uid="{00000000-0005-0000-0000-00004E040000}"/>
    <cellStyle name="40% - Accent6 9 2" xfId="1104" xr:uid="{00000000-0005-0000-0000-00004F040000}"/>
    <cellStyle name="60% - Accent1 2" xfId="1105" xr:uid="{00000000-0005-0000-0000-000050040000}"/>
    <cellStyle name="60% - Accent2 2" xfId="1106" xr:uid="{00000000-0005-0000-0000-000051040000}"/>
    <cellStyle name="60% - Accent3 2" xfId="1107" xr:uid="{00000000-0005-0000-0000-000052040000}"/>
    <cellStyle name="60% - Accent4 2" xfId="1108" xr:uid="{00000000-0005-0000-0000-000053040000}"/>
    <cellStyle name="60% - Accent5 2" xfId="1109" xr:uid="{00000000-0005-0000-0000-000054040000}"/>
    <cellStyle name="60% - Accent6 2" xfId="1110" xr:uid="{00000000-0005-0000-0000-000055040000}"/>
    <cellStyle name="Accent1 2" xfId="1111" xr:uid="{00000000-0005-0000-0000-000056040000}"/>
    <cellStyle name="Accent2 2" xfId="1112" xr:uid="{00000000-0005-0000-0000-000057040000}"/>
    <cellStyle name="Accent3 2" xfId="1113" xr:uid="{00000000-0005-0000-0000-000058040000}"/>
    <cellStyle name="Accent4 2" xfId="1114" xr:uid="{00000000-0005-0000-0000-000059040000}"/>
    <cellStyle name="Accent5 2" xfId="1115" xr:uid="{00000000-0005-0000-0000-00005A040000}"/>
    <cellStyle name="Accent6 2" xfId="1116" xr:uid="{00000000-0005-0000-0000-00005B040000}"/>
    <cellStyle name="Bad 2" xfId="1117" xr:uid="{00000000-0005-0000-0000-00005C040000}"/>
    <cellStyle name="Bad 2 2" xfId="1118" xr:uid="{00000000-0005-0000-0000-00005D040000}"/>
    <cellStyle name="Bad 2 3" xfId="1119" xr:uid="{00000000-0005-0000-0000-00005E040000}"/>
    <cellStyle name="Bad 3" xfId="1120" xr:uid="{00000000-0005-0000-0000-00005F040000}"/>
    <cellStyle name="Calculation 2" xfId="1121" xr:uid="{00000000-0005-0000-0000-000060040000}"/>
    <cellStyle name="Check Cell 2" xfId="1122" xr:uid="{00000000-0005-0000-0000-000061040000}"/>
    <cellStyle name="Excel Built-in Normal" xfId="1123" xr:uid="{00000000-0005-0000-0000-000062040000}"/>
    <cellStyle name="Excel_BuiltIn_Percent" xfId="1124" xr:uid="{00000000-0005-0000-0000-000063040000}"/>
    <cellStyle name="Explanatory Text 2" xfId="1125" xr:uid="{00000000-0005-0000-0000-000064040000}"/>
    <cellStyle name="Good 2" xfId="1126" xr:uid="{00000000-0005-0000-0000-000065040000}"/>
    <cellStyle name="Heading" xfId="1127" xr:uid="{00000000-0005-0000-0000-000066040000}"/>
    <cellStyle name="Heading 1 2" xfId="1128" xr:uid="{00000000-0005-0000-0000-000067040000}"/>
    <cellStyle name="Heading 2 2" xfId="1129" xr:uid="{00000000-0005-0000-0000-000068040000}"/>
    <cellStyle name="Heading 3 2" xfId="1130" xr:uid="{00000000-0005-0000-0000-000069040000}"/>
    <cellStyle name="Heading 4 2" xfId="1131" xr:uid="{00000000-0005-0000-0000-00006A040000}"/>
    <cellStyle name="Heading1" xfId="1132" xr:uid="{00000000-0005-0000-0000-00006B040000}"/>
    <cellStyle name="Input 2" xfId="1133" xr:uid="{00000000-0005-0000-0000-00006C040000}"/>
    <cellStyle name="Linked Cell 2" xfId="1134" xr:uid="{00000000-0005-0000-0000-00006D040000}"/>
    <cellStyle name="Neutral 2" xfId="1135" xr:uid="{00000000-0005-0000-0000-00006E040000}"/>
    <cellStyle name="Normal" xfId="0" builtinId="0"/>
    <cellStyle name="Normal 10" xfId="1136" xr:uid="{00000000-0005-0000-0000-000070040000}"/>
    <cellStyle name="Normal 10 2" xfId="1137" xr:uid="{00000000-0005-0000-0000-000071040000}"/>
    <cellStyle name="Normal 10_Dual_Mode_Time" xfId="1138" xr:uid="{00000000-0005-0000-0000-000072040000}"/>
    <cellStyle name="Normal 100" xfId="1139" xr:uid="{00000000-0005-0000-0000-000073040000}"/>
    <cellStyle name="Normal 100 2" xfId="1140" xr:uid="{00000000-0005-0000-0000-000074040000}"/>
    <cellStyle name="Normal 100 2 2" xfId="1141" xr:uid="{00000000-0005-0000-0000-000075040000}"/>
    <cellStyle name="Normal 100 2 2 2" xfId="1142" xr:uid="{00000000-0005-0000-0000-000076040000}"/>
    <cellStyle name="Normal 100 2 3" xfId="1143" xr:uid="{00000000-0005-0000-0000-000077040000}"/>
    <cellStyle name="Normal 100 3" xfId="1144" xr:uid="{00000000-0005-0000-0000-000078040000}"/>
    <cellStyle name="Normal 100 3 2" xfId="1145" xr:uid="{00000000-0005-0000-0000-000079040000}"/>
    <cellStyle name="Normal 100 4" xfId="1146" xr:uid="{00000000-0005-0000-0000-00007A040000}"/>
    <cellStyle name="Normal 101" xfId="1147" xr:uid="{00000000-0005-0000-0000-00007B040000}"/>
    <cellStyle name="Normal 101 2" xfId="1148" xr:uid="{00000000-0005-0000-0000-00007C040000}"/>
    <cellStyle name="Normal 101 2 2" xfId="1149" xr:uid="{00000000-0005-0000-0000-00007D040000}"/>
    <cellStyle name="Normal 101 2 2 2" xfId="1150" xr:uid="{00000000-0005-0000-0000-00007E040000}"/>
    <cellStyle name="Normal 101 2 3" xfId="1151" xr:uid="{00000000-0005-0000-0000-00007F040000}"/>
    <cellStyle name="Normal 101 3" xfId="1152" xr:uid="{00000000-0005-0000-0000-000080040000}"/>
    <cellStyle name="Normal 101 3 2" xfId="1153" xr:uid="{00000000-0005-0000-0000-000081040000}"/>
    <cellStyle name="Normal 101 4" xfId="1154" xr:uid="{00000000-0005-0000-0000-000082040000}"/>
    <cellStyle name="Normal 102" xfId="1155" xr:uid="{00000000-0005-0000-0000-000083040000}"/>
    <cellStyle name="Normal 102 2" xfId="1156" xr:uid="{00000000-0005-0000-0000-000084040000}"/>
    <cellStyle name="Normal 102 2 2" xfId="1157" xr:uid="{00000000-0005-0000-0000-000085040000}"/>
    <cellStyle name="Normal 102 2 2 2" xfId="1158" xr:uid="{00000000-0005-0000-0000-000086040000}"/>
    <cellStyle name="Normal 102 2 3" xfId="1159" xr:uid="{00000000-0005-0000-0000-000087040000}"/>
    <cellStyle name="Normal 102 3" xfId="1160" xr:uid="{00000000-0005-0000-0000-000088040000}"/>
    <cellStyle name="Normal 102 3 2" xfId="1161" xr:uid="{00000000-0005-0000-0000-000089040000}"/>
    <cellStyle name="Normal 102 4" xfId="1162" xr:uid="{00000000-0005-0000-0000-00008A040000}"/>
    <cellStyle name="Normal 103" xfId="1163" xr:uid="{00000000-0005-0000-0000-00008B040000}"/>
    <cellStyle name="Normal 103 2" xfId="1164" xr:uid="{00000000-0005-0000-0000-00008C040000}"/>
    <cellStyle name="Normal 103 2 2" xfId="1165" xr:uid="{00000000-0005-0000-0000-00008D040000}"/>
    <cellStyle name="Normal 103 2 2 2" xfId="1166" xr:uid="{00000000-0005-0000-0000-00008E040000}"/>
    <cellStyle name="Normal 103 2 3" xfId="1167" xr:uid="{00000000-0005-0000-0000-00008F040000}"/>
    <cellStyle name="Normal 103 3" xfId="1168" xr:uid="{00000000-0005-0000-0000-000090040000}"/>
    <cellStyle name="Normal 103 3 2" xfId="1169" xr:uid="{00000000-0005-0000-0000-000091040000}"/>
    <cellStyle name="Normal 103 4" xfId="1170" xr:uid="{00000000-0005-0000-0000-000092040000}"/>
    <cellStyle name="Normal 104" xfId="1171" xr:uid="{00000000-0005-0000-0000-000093040000}"/>
    <cellStyle name="Normal 104 2" xfId="1172" xr:uid="{00000000-0005-0000-0000-000094040000}"/>
    <cellStyle name="Normal 104 2 2" xfId="1173" xr:uid="{00000000-0005-0000-0000-000095040000}"/>
    <cellStyle name="Normal 104 2 2 2" xfId="1174" xr:uid="{00000000-0005-0000-0000-000096040000}"/>
    <cellStyle name="Normal 104 2 3" xfId="1175" xr:uid="{00000000-0005-0000-0000-000097040000}"/>
    <cellStyle name="Normal 104 3" xfId="1176" xr:uid="{00000000-0005-0000-0000-000098040000}"/>
    <cellStyle name="Normal 104 3 2" xfId="1177" xr:uid="{00000000-0005-0000-0000-000099040000}"/>
    <cellStyle name="Normal 104 4" xfId="1178" xr:uid="{00000000-0005-0000-0000-00009A040000}"/>
    <cellStyle name="Normal 105" xfId="1179" xr:uid="{00000000-0005-0000-0000-00009B040000}"/>
    <cellStyle name="Normal 105 2" xfId="1180" xr:uid="{00000000-0005-0000-0000-00009C040000}"/>
    <cellStyle name="Normal 105 2 2" xfId="1181" xr:uid="{00000000-0005-0000-0000-00009D040000}"/>
    <cellStyle name="Normal 105 2 2 2" xfId="1182" xr:uid="{00000000-0005-0000-0000-00009E040000}"/>
    <cellStyle name="Normal 105 2 3" xfId="1183" xr:uid="{00000000-0005-0000-0000-00009F040000}"/>
    <cellStyle name="Normal 105 3" xfId="1184" xr:uid="{00000000-0005-0000-0000-0000A0040000}"/>
    <cellStyle name="Normal 105 3 2" xfId="1185" xr:uid="{00000000-0005-0000-0000-0000A1040000}"/>
    <cellStyle name="Normal 105 4" xfId="1186" xr:uid="{00000000-0005-0000-0000-0000A2040000}"/>
    <cellStyle name="Normal 106" xfId="1187" xr:uid="{00000000-0005-0000-0000-0000A3040000}"/>
    <cellStyle name="Normal 106 2" xfId="1188" xr:uid="{00000000-0005-0000-0000-0000A4040000}"/>
    <cellStyle name="Normal 106 2 2" xfId="1189" xr:uid="{00000000-0005-0000-0000-0000A5040000}"/>
    <cellStyle name="Normal 106 2 2 2" xfId="1190" xr:uid="{00000000-0005-0000-0000-0000A6040000}"/>
    <cellStyle name="Normal 106 2 3" xfId="1191" xr:uid="{00000000-0005-0000-0000-0000A7040000}"/>
    <cellStyle name="Normal 106 3" xfId="1192" xr:uid="{00000000-0005-0000-0000-0000A8040000}"/>
    <cellStyle name="Normal 106 3 2" xfId="1193" xr:uid="{00000000-0005-0000-0000-0000A9040000}"/>
    <cellStyle name="Normal 106 4" xfId="1194" xr:uid="{00000000-0005-0000-0000-0000AA040000}"/>
    <cellStyle name="Normal 107" xfId="1195" xr:uid="{00000000-0005-0000-0000-0000AB040000}"/>
    <cellStyle name="Normal 107 2" xfId="1196" xr:uid="{00000000-0005-0000-0000-0000AC040000}"/>
    <cellStyle name="Normal 107 2 2" xfId="1197" xr:uid="{00000000-0005-0000-0000-0000AD040000}"/>
    <cellStyle name="Normal 107 2 2 2" xfId="1198" xr:uid="{00000000-0005-0000-0000-0000AE040000}"/>
    <cellStyle name="Normal 107 2 3" xfId="1199" xr:uid="{00000000-0005-0000-0000-0000AF040000}"/>
    <cellStyle name="Normal 107 3" xfId="1200" xr:uid="{00000000-0005-0000-0000-0000B0040000}"/>
    <cellStyle name="Normal 107 3 2" xfId="1201" xr:uid="{00000000-0005-0000-0000-0000B1040000}"/>
    <cellStyle name="Normal 107 4" xfId="1202" xr:uid="{00000000-0005-0000-0000-0000B2040000}"/>
    <cellStyle name="Normal 108" xfId="1203" xr:uid="{00000000-0005-0000-0000-0000B3040000}"/>
    <cellStyle name="Normal 108 2" xfId="1204" xr:uid="{00000000-0005-0000-0000-0000B4040000}"/>
    <cellStyle name="Normal 108 2 2" xfId="1205" xr:uid="{00000000-0005-0000-0000-0000B5040000}"/>
    <cellStyle name="Normal 108 2 2 2" xfId="1206" xr:uid="{00000000-0005-0000-0000-0000B6040000}"/>
    <cellStyle name="Normal 108 2 3" xfId="1207" xr:uid="{00000000-0005-0000-0000-0000B7040000}"/>
    <cellStyle name="Normal 108 3" xfId="1208" xr:uid="{00000000-0005-0000-0000-0000B8040000}"/>
    <cellStyle name="Normal 108 3 2" xfId="1209" xr:uid="{00000000-0005-0000-0000-0000B9040000}"/>
    <cellStyle name="Normal 108 4" xfId="1210" xr:uid="{00000000-0005-0000-0000-0000BA040000}"/>
    <cellStyle name="Normal 109" xfId="1211" xr:uid="{00000000-0005-0000-0000-0000BB040000}"/>
    <cellStyle name="Normal 109 2" xfId="1212" xr:uid="{00000000-0005-0000-0000-0000BC040000}"/>
    <cellStyle name="Normal 109 2 2" xfId="1213" xr:uid="{00000000-0005-0000-0000-0000BD040000}"/>
    <cellStyle name="Normal 109 2 2 2" xfId="1214" xr:uid="{00000000-0005-0000-0000-0000BE040000}"/>
    <cellStyle name="Normal 109 2 3" xfId="1215" xr:uid="{00000000-0005-0000-0000-0000BF040000}"/>
    <cellStyle name="Normal 109 3" xfId="1216" xr:uid="{00000000-0005-0000-0000-0000C0040000}"/>
    <cellStyle name="Normal 109 3 2" xfId="1217" xr:uid="{00000000-0005-0000-0000-0000C1040000}"/>
    <cellStyle name="Normal 109 4" xfId="1218" xr:uid="{00000000-0005-0000-0000-0000C2040000}"/>
    <cellStyle name="Normal 11" xfId="1219" xr:uid="{00000000-0005-0000-0000-0000C3040000}"/>
    <cellStyle name="Normal 11 2" xfId="1220" xr:uid="{00000000-0005-0000-0000-0000C4040000}"/>
    <cellStyle name="Normal 11_Dual_Mode_Time" xfId="1221" xr:uid="{00000000-0005-0000-0000-0000C5040000}"/>
    <cellStyle name="Normal 110" xfId="1222" xr:uid="{00000000-0005-0000-0000-0000C6040000}"/>
    <cellStyle name="Normal 110 2" xfId="1223" xr:uid="{00000000-0005-0000-0000-0000C7040000}"/>
    <cellStyle name="Normal 110 2 2" xfId="1224" xr:uid="{00000000-0005-0000-0000-0000C8040000}"/>
    <cellStyle name="Normal 110 2 2 2" xfId="1225" xr:uid="{00000000-0005-0000-0000-0000C9040000}"/>
    <cellStyle name="Normal 110 2 3" xfId="1226" xr:uid="{00000000-0005-0000-0000-0000CA040000}"/>
    <cellStyle name="Normal 110 3" xfId="1227" xr:uid="{00000000-0005-0000-0000-0000CB040000}"/>
    <cellStyle name="Normal 110 3 2" xfId="1228" xr:uid="{00000000-0005-0000-0000-0000CC040000}"/>
    <cellStyle name="Normal 110 4" xfId="1229" xr:uid="{00000000-0005-0000-0000-0000CD040000}"/>
    <cellStyle name="Normal 111" xfId="1230" xr:uid="{00000000-0005-0000-0000-0000CE040000}"/>
    <cellStyle name="Normal 111 2" xfId="1231" xr:uid="{00000000-0005-0000-0000-0000CF040000}"/>
    <cellStyle name="Normal 111 2 2" xfId="1232" xr:uid="{00000000-0005-0000-0000-0000D0040000}"/>
    <cellStyle name="Normal 111 2 2 2" xfId="1233" xr:uid="{00000000-0005-0000-0000-0000D1040000}"/>
    <cellStyle name="Normal 111 2 3" xfId="1234" xr:uid="{00000000-0005-0000-0000-0000D2040000}"/>
    <cellStyle name="Normal 111 3" xfId="1235" xr:uid="{00000000-0005-0000-0000-0000D3040000}"/>
    <cellStyle name="Normal 111 3 2" xfId="1236" xr:uid="{00000000-0005-0000-0000-0000D4040000}"/>
    <cellStyle name="Normal 111 4" xfId="1237" xr:uid="{00000000-0005-0000-0000-0000D5040000}"/>
    <cellStyle name="Normal 112" xfId="1238" xr:uid="{00000000-0005-0000-0000-0000D6040000}"/>
    <cellStyle name="Normal 112 2" xfId="1239" xr:uid="{00000000-0005-0000-0000-0000D7040000}"/>
    <cellStyle name="Normal 112 2 2" xfId="1240" xr:uid="{00000000-0005-0000-0000-0000D8040000}"/>
    <cellStyle name="Normal 112 2 2 2" xfId="1241" xr:uid="{00000000-0005-0000-0000-0000D9040000}"/>
    <cellStyle name="Normal 112 2 3" xfId="1242" xr:uid="{00000000-0005-0000-0000-0000DA040000}"/>
    <cellStyle name="Normal 112 3" xfId="1243" xr:uid="{00000000-0005-0000-0000-0000DB040000}"/>
    <cellStyle name="Normal 112 3 2" xfId="1244" xr:uid="{00000000-0005-0000-0000-0000DC040000}"/>
    <cellStyle name="Normal 112 4" xfId="1245" xr:uid="{00000000-0005-0000-0000-0000DD040000}"/>
    <cellStyle name="Normal 113" xfId="1246" xr:uid="{00000000-0005-0000-0000-0000DE040000}"/>
    <cellStyle name="Normal 113 2" xfId="1247" xr:uid="{00000000-0005-0000-0000-0000DF040000}"/>
    <cellStyle name="Normal 113 2 2" xfId="1248" xr:uid="{00000000-0005-0000-0000-0000E0040000}"/>
    <cellStyle name="Normal 113 2 2 2" xfId="1249" xr:uid="{00000000-0005-0000-0000-0000E1040000}"/>
    <cellStyle name="Normal 113 2 3" xfId="1250" xr:uid="{00000000-0005-0000-0000-0000E2040000}"/>
    <cellStyle name="Normal 113 3" xfId="1251" xr:uid="{00000000-0005-0000-0000-0000E3040000}"/>
    <cellStyle name="Normal 113 3 2" xfId="1252" xr:uid="{00000000-0005-0000-0000-0000E4040000}"/>
    <cellStyle name="Normal 113 4" xfId="1253" xr:uid="{00000000-0005-0000-0000-0000E5040000}"/>
    <cellStyle name="Normal 114" xfId="1254" xr:uid="{00000000-0005-0000-0000-0000E6040000}"/>
    <cellStyle name="Normal 114 2" xfId="1255" xr:uid="{00000000-0005-0000-0000-0000E7040000}"/>
    <cellStyle name="Normal 114 2 2" xfId="1256" xr:uid="{00000000-0005-0000-0000-0000E8040000}"/>
    <cellStyle name="Normal 114 2 2 2" xfId="1257" xr:uid="{00000000-0005-0000-0000-0000E9040000}"/>
    <cellStyle name="Normal 114 2 3" xfId="1258" xr:uid="{00000000-0005-0000-0000-0000EA040000}"/>
    <cellStyle name="Normal 114 3" xfId="1259" xr:uid="{00000000-0005-0000-0000-0000EB040000}"/>
    <cellStyle name="Normal 114 3 2" xfId="1260" xr:uid="{00000000-0005-0000-0000-0000EC040000}"/>
    <cellStyle name="Normal 114 4" xfId="1261" xr:uid="{00000000-0005-0000-0000-0000ED040000}"/>
    <cellStyle name="Normal 115" xfId="1262" xr:uid="{00000000-0005-0000-0000-0000EE040000}"/>
    <cellStyle name="Normal 115 2" xfId="1263" xr:uid="{00000000-0005-0000-0000-0000EF040000}"/>
    <cellStyle name="Normal 115 2 2" xfId="1264" xr:uid="{00000000-0005-0000-0000-0000F0040000}"/>
    <cellStyle name="Normal 115 2 2 2" xfId="1265" xr:uid="{00000000-0005-0000-0000-0000F1040000}"/>
    <cellStyle name="Normal 115 2 3" xfId="1266" xr:uid="{00000000-0005-0000-0000-0000F2040000}"/>
    <cellStyle name="Normal 115 3" xfId="1267" xr:uid="{00000000-0005-0000-0000-0000F3040000}"/>
    <cellStyle name="Normal 115 3 2" xfId="1268" xr:uid="{00000000-0005-0000-0000-0000F4040000}"/>
    <cellStyle name="Normal 115 4" xfId="1269" xr:uid="{00000000-0005-0000-0000-0000F5040000}"/>
    <cellStyle name="Normal 116" xfId="1270" xr:uid="{00000000-0005-0000-0000-0000F6040000}"/>
    <cellStyle name="Normal 116 2" xfId="1271" xr:uid="{00000000-0005-0000-0000-0000F7040000}"/>
    <cellStyle name="Normal 116 2 2" xfId="1272" xr:uid="{00000000-0005-0000-0000-0000F8040000}"/>
    <cellStyle name="Normal 116 2 2 2" xfId="1273" xr:uid="{00000000-0005-0000-0000-0000F9040000}"/>
    <cellStyle name="Normal 116 2 3" xfId="1274" xr:uid="{00000000-0005-0000-0000-0000FA040000}"/>
    <cellStyle name="Normal 116 3" xfId="1275" xr:uid="{00000000-0005-0000-0000-0000FB040000}"/>
    <cellStyle name="Normal 116 3 2" xfId="1276" xr:uid="{00000000-0005-0000-0000-0000FC040000}"/>
    <cellStyle name="Normal 116 4" xfId="1277" xr:uid="{00000000-0005-0000-0000-0000FD040000}"/>
    <cellStyle name="Normal 117" xfId="1278" xr:uid="{00000000-0005-0000-0000-0000FE040000}"/>
    <cellStyle name="Normal 117 2" xfId="1279" xr:uid="{00000000-0005-0000-0000-0000FF040000}"/>
    <cellStyle name="Normal 117 2 2" xfId="1280" xr:uid="{00000000-0005-0000-0000-000000050000}"/>
    <cellStyle name="Normal 117 2 2 2" xfId="1281" xr:uid="{00000000-0005-0000-0000-000001050000}"/>
    <cellStyle name="Normal 117 2 3" xfId="1282" xr:uid="{00000000-0005-0000-0000-000002050000}"/>
    <cellStyle name="Normal 117 3" xfId="1283" xr:uid="{00000000-0005-0000-0000-000003050000}"/>
    <cellStyle name="Normal 117 3 2" xfId="1284" xr:uid="{00000000-0005-0000-0000-000004050000}"/>
    <cellStyle name="Normal 117 4" xfId="1285" xr:uid="{00000000-0005-0000-0000-000005050000}"/>
    <cellStyle name="Normal 118" xfId="1286" xr:uid="{00000000-0005-0000-0000-000006050000}"/>
    <cellStyle name="Normal 118 2" xfId="1287" xr:uid="{00000000-0005-0000-0000-000007050000}"/>
    <cellStyle name="Normal 118 2 2" xfId="1288" xr:uid="{00000000-0005-0000-0000-000008050000}"/>
    <cellStyle name="Normal 118 2 2 2" xfId="1289" xr:uid="{00000000-0005-0000-0000-000009050000}"/>
    <cellStyle name="Normal 118 2 3" xfId="1290" xr:uid="{00000000-0005-0000-0000-00000A050000}"/>
    <cellStyle name="Normal 118 3" xfId="1291" xr:uid="{00000000-0005-0000-0000-00000B050000}"/>
    <cellStyle name="Normal 118 3 2" xfId="1292" xr:uid="{00000000-0005-0000-0000-00000C050000}"/>
    <cellStyle name="Normal 118 4" xfId="1293" xr:uid="{00000000-0005-0000-0000-00000D050000}"/>
    <cellStyle name="Normal 119" xfId="1294" xr:uid="{00000000-0005-0000-0000-00000E050000}"/>
    <cellStyle name="Normal 119 2" xfId="1295" xr:uid="{00000000-0005-0000-0000-00000F050000}"/>
    <cellStyle name="Normal 119 2 2" xfId="1296" xr:uid="{00000000-0005-0000-0000-000010050000}"/>
    <cellStyle name="Normal 119 2 2 2" xfId="1297" xr:uid="{00000000-0005-0000-0000-000011050000}"/>
    <cellStyle name="Normal 119 2 3" xfId="1298" xr:uid="{00000000-0005-0000-0000-000012050000}"/>
    <cellStyle name="Normal 119 3" xfId="1299" xr:uid="{00000000-0005-0000-0000-000013050000}"/>
    <cellStyle name="Normal 119 3 2" xfId="1300" xr:uid="{00000000-0005-0000-0000-000014050000}"/>
    <cellStyle name="Normal 119 4" xfId="1301" xr:uid="{00000000-0005-0000-0000-000015050000}"/>
    <cellStyle name="Normal 12" xfId="1302" xr:uid="{00000000-0005-0000-0000-000016050000}"/>
    <cellStyle name="Normal 12 2" xfId="1303" xr:uid="{00000000-0005-0000-0000-000017050000}"/>
    <cellStyle name="Normal 12_Dual_Mode_Time" xfId="1304" xr:uid="{00000000-0005-0000-0000-000018050000}"/>
    <cellStyle name="Normal 120" xfId="1305" xr:uid="{00000000-0005-0000-0000-000019050000}"/>
    <cellStyle name="Normal 120 2" xfId="1306" xr:uid="{00000000-0005-0000-0000-00001A050000}"/>
    <cellStyle name="Normal 120 2 2" xfId="1307" xr:uid="{00000000-0005-0000-0000-00001B050000}"/>
    <cellStyle name="Normal 120 2 2 2" xfId="1308" xr:uid="{00000000-0005-0000-0000-00001C050000}"/>
    <cellStyle name="Normal 120 2 3" xfId="1309" xr:uid="{00000000-0005-0000-0000-00001D050000}"/>
    <cellStyle name="Normal 120 3" xfId="1310" xr:uid="{00000000-0005-0000-0000-00001E050000}"/>
    <cellStyle name="Normal 120 3 2" xfId="1311" xr:uid="{00000000-0005-0000-0000-00001F050000}"/>
    <cellStyle name="Normal 120 4" xfId="1312" xr:uid="{00000000-0005-0000-0000-000020050000}"/>
    <cellStyle name="Normal 121" xfId="1313" xr:uid="{00000000-0005-0000-0000-000021050000}"/>
    <cellStyle name="Normal 121 2" xfId="1314" xr:uid="{00000000-0005-0000-0000-000022050000}"/>
    <cellStyle name="Normal 121 2 2" xfId="1315" xr:uid="{00000000-0005-0000-0000-000023050000}"/>
    <cellStyle name="Normal 121 2 2 2" xfId="1316" xr:uid="{00000000-0005-0000-0000-000024050000}"/>
    <cellStyle name="Normal 121 2 3" xfId="1317" xr:uid="{00000000-0005-0000-0000-000025050000}"/>
    <cellStyle name="Normal 121 3" xfId="1318" xr:uid="{00000000-0005-0000-0000-000026050000}"/>
    <cellStyle name="Normal 121 3 2" xfId="1319" xr:uid="{00000000-0005-0000-0000-000027050000}"/>
    <cellStyle name="Normal 121 4" xfId="1320" xr:uid="{00000000-0005-0000-0000-000028050000}"/>
    <cellStyle name="Normal 122" xfId="1321" xr:uid="{00000000-0005-0000-0000-000029050000}"/>
    <cellStyle name="Normal 123" xfId="1322" xr:uid="{00000000-0005-0000-0000-00002A050000}"/>
    <cellStyle name="Normal 124" xfId="1323" xr:uid="{00000000-0005-0000-0000-00002B050000}"/>
    <cellStyle name="Normal 125" xfId="1324" xr:uid="{00000000-0005-0000-0000-00002C050000}"/>
    <cellStyle name="Normal 125 2" xfId="1325" xr:uid="{00000000-0005-0000-0000-00002D050000}"/>
    <cellStyle name="Normal 125 2 2" xfId="1326" xr:uid="{00000000-0005-0000-0000-00002E050000}"/>
    <cellStyle name="Normal 125 2 2 2" xfId="1327" xr:uid="{00000000-0005-0000-0000-00002F050000}"/>
    <cellStyle name="Normal 125 2 3" xfId="1328" xr:uid="{00000000-0005-0000-0000-000030050000}"/>
    <cellStyle name="Normal 125 3" xfId="1329" xr:uid="{00000000-0005-0000-0000-000031050000}"/>
    <cellStyle name="Normal 125 3 2" xfId="1330" xr:uid="{00000000-0005-0000-0000-000032050000}"/>
    <cellStyle name="Normal 125 4" xfId="1331" xr:uid="{00000000-0005-0000-0000-000033050000}"/>
    <cellStyle name="Normal 126" xfId="1332" xr:uid="{00000000-0005-0000-0000-000034050000}"/>
    <cellStyle name="Normal 126 2" xfId="1333" xr:uid="{00000000-0005-0000-0000-000035050000}"/>
    <cellStyle name="Normal 126 2 2" xfId="1334" xr:uid="{00000000-0005-0000-0000-000036050000}"/>
    <cellStyle name="Normal 126 2 2 2" xfId="1335" xr:uid="{00000000-0005-0000-0000-000037050000}"/>
    <cellStyle name="Normal 126 2 3" xfId="1336" xr:uid="{00000000-0005-0000-0000-000038050000}"/>
    <cellStyle name="Normal 126 3" xfId="1337" xr:uid="{00000000-0005-0000-0000-000039050000}"/>
    <cellStyle name="Normal 126 3 2" xfId="1338" xr:uid="{00000000-0005-0000-0000-00003A050000}"/>
    <cellStyle name="Normal 126 4" xfId="1339" xr:uid="{00000000-0005-0000-0000-00003B050000}"/>
    <cellStyle name="Normal 127" xfId="1340" xr:uid="{00000000-0005-0000-0000-00003C050000}"/>
    <cellStyle name="Normal 128" xfId="1341" xr:uid="{00000000-0005-0000-0000-00003D050000}"/>
    <cellStyle name="Normal 129" xfId="1342" xr:uid="{00000000-0005-0000-0000-00003E050000}"/>
    <cellStyle name="Normal 13" xfId="1343" xr:uid="{00000000-0005-0000-0000-00003F050000}"/>
    <cellStyle name="Normal 13 2" xfId="1344" xr:uid="{00000000-0005-0000-0000-000040050000}"/>
    <cellStyle name="Normal 13_Dual_Mode_Time" xfId="1345" xr:uid="{00000000-0005-0000-0000-000041050000}"/>
    <cellStyle name="Normal 130" xfId="1346" xr:uid="{00000000-0005-0000-0000-000042050000}"/>
    <cellStyle name="Normal 131" xfId="1347" xr:uid="{00000000-0005-0000-0000-000043050000}"/>
    <cellStyle name="Normal 132" xfId="1348" xr:uid="{00000000-0005-0000-0000-000044050000}"/>
    <cellStyle name="Normal 133" xfId="1349" xr:uid="{00000000-0005-0000-0000-000045050000}"/>
    <cellStyle name="Normal 134" xfId="1350" xr:uid="{00000000-0005-0000-0000-000046050000}"/>
    <cellStyle name="Normal 135" xfId="1351" xr:uid="{00000000-0005-0000-0000-000047050000}"/>
    <cellStyle name="Normal 136" xfId="1352" xr:uid="{00000000-0005-0000-0000-000048050000}"/>
    <cellStyle name="Normal 137" xfId="1353" xr:uid="{00000000-0005-0000-0000-000049050000}"/>
    <cellStyle name="Normal 138" xfId="1354" xr:uid="{00000000-0005-0000-0000-00004A050000}"/>
    <cellStyle name="Normal 139" xfId="1355" xr:uid="{00000000-0005-0000-0000-00004B050000}"/>
    <cellStyle name="Normal 14" xfId="1356" xr:uid="{00000000-0005-0000-0000-00004C050000}"/>
    <cellStyle name="Normal 14 2" xfId="1357" xr:uid="{00000000-0005-0000-0000-00004D050000}"/>
    <cellStyle name="Normal 14_Dual_Mode_Time" xfId="1358" xr:uid="{00000000-0005-0000-0000-00004E050000}"/>
    <cellStyle name="Normal 140" xfId="1359" xr:uid="{00000000-0005-0000-0000-00004F050000}"/>
    <cellStyle name="Normal 141" xfId="1360" xr:uid="{00000000-0005-0000-0000-000050050000}"/>
    <cellStyle name="Normal 142" xfId="1361" xr:uid="{00000000-0005-0000-0000-000051050000}"/>
    <cellStyle name="Normal 143" xfId="1362" xr:uid="{00000000-0005-0000-0000-000052050000}"/>
    <cellStyle name="Normal 144" xfId="1363" xr:uid="{00000000-0005-0000-0000-000053050000}"/>
    <cellStyle name="Normal 145" xfId="1364" xr:uid="{00000000-0005-0000-0000-000054050000}"/>
    <cellStyle name="Normal 146" xfId="1365" xr:uid="{00000000-0005-0000-0000-000055050000}"/>
    <cellStyle name="Normal 147" xfId="1366" xr:uid="{00000000-0005-0000-0000-000056050000}"/>
    <cellStyle name="Normal 148" xfId="1367" xr:uid="{00000000-0005-0000-0000-000057050000}"/>
    <cellStyle name="Normal 149" xfId="1368" xr:uid="{00000000-0005-0000-0000-000058050000}"/>
    <cellStyle name="Normal 15" xfId="1369" xr:uid="{00000000-0005-0000-0000-000059050000}"/>
    <cellStyle name="Normal 15 2" xfId="1370" xr:uid="{00000000-0005-0000-0000-00005A050000}"/>
    <cellStyle name="Normal 15_Dual_Mode_Time" xfId="1371" xr:uid="{00000000-0005-0000-0000-00005B050000}"/>
    <cellStyle name="Normal 150" xfId="1372" xr:uid="{00000000-0005-0000-0000-00005C050000}"/>
    <cellStyle name="Normal 151" xfId="1373" xr:uid="{00000000-0005-0000-0000-00005D050000}"/>
    <cellStyle name="Normal 152" xfId="1374" xr:uid="{00000000-0005-0000-0000-00005E050000}"/>
    <cellStyle name="Normal 153" xfId="1375" xr:uid="{00000000-0005-0000-0000-00005F050000}"/>
    <cellStyle name="Normal 154" xfId="1376" xr:uid="{00000000-0005-0000-0000-000060050000}"/>
    <cellStyle name="Normal 155" xfId="1377" xr:uid="{00000000-0005-0000-0000-000061050000}"/>
    <cellStyle name="Normal 156" xfId="1378" xr:uid="{00000000-0005-0000-0000-000062050000}"/>
    <cellStyle name="Normal 157" xfId="1379" xr:uid="{00000000-0005-0000-0000-000063050000}"/>
    <cellStyle name="Normal 158" xfId="1380" xr:uid="{00000000-0005-0000-0000-000064050000}"/>
    <cellStyle name="Normal 159" xfId="1381" xr:uid="{00000000-0005-0000-0000-000065050000}"/>
    <cellStyle name="Normal 16" xfId="1382" xr:uid="{00000000-0005-0000-0000-000066050000}"/>
    <cellStyle name="Normal 16 2" xfId="1383" xr:uid="{00000000-0005-0000-0000-000067050000}"/>
    <cellStyle name="Normal 16_Dual_Mode_Time" xfId="1384" xr:uid="{00000000-0005-0000-0000-000068050000}"/>
    <cellStyle name="Normal 17" xfId="1385" xr:uid="{00000000-0005-0000-0000-000069050000}"/>
    <cellStyle name="Normal 18" xfId="1386" xr:uid="{00000000-0005-0000-0000-00006A050000}"/>
    <cellStyle name="Normal 18 2" xfId="1387" xr:uid="{00000000-0005-0000-0000-00006B050000}"/>
    <cellStyle name="Normal 18 2 2" xfId="1388" xr:uid="{00000000-0005-0000-0000-00006C050000}"/>
    <cellStyle name="Normal 18 2 2 2" xfId="1389" xr:uid="{00000000-0005-0000-0000-00006D050000}"/>
    <cellStyle name="Normal 18 2 2 2 2" xfId="1390" xr:uid="{00000000-0005-0000-0000-00006E050000}"/>
    <cellStyle name="Normal 18 2 2 2 2 2" xfId="1391" xr:uid="{00000000-0005-0000-0000-00006F050000}"/>
    <cellStyle name="Normal 18 2 2 2 3" xfId="1392" xr:uid="{00000000-0005-0000-0000-000070050000}"/>
    <cellStyle name="Normal 18 2 2 2 4" xfId="1393" xr:uid="{00000000-0005-0000-0000-000071050000}"/>
    <cellStyle name="Normal 18 2 2 3" xfId="1394" xr:uid="{00000000-0005-0000-0000-000072050000}"/>
    <cellStyle name="Normal 18 2 2 3 2" xfId="1395" xr:uid="{00000000-0005-0000-0000-000073050000}"/>
    <cellStyle name="Normal 18 2 2 4" xfId="1396" xr:uid="{00000000-0005-0000-0000-000074050000}"/>
    <cellStyle name="Normal 18 2 2 4 2" xfId="1397" xr:uid="{00000000-0005-0000-0000-000075050000}"/>
    <cellStyle name="Normal 18 2 2 5" xfId="1398" xr:uid="{00000000-0005-0000-0000-000076050000}"/>
    <cellStyle name="Normal 18 2 2 6" xfId="1399" xr:uid="{00000000-0005-0000-0000-000077050000}"/>
    <cellStyle name="Normal 18 2 3" xfId="1400" xr:uid="{00000000-0005-0000-0000-000078050000}"/>
    <cellStyle name="Normal 18 2 3 2" xfId="1401" xr:uid="{00000000-0005-0000-0000-000079050000}"/>
    <cellStyle name="Normal 18 2 3 2 2" xfId="1402" xr:uid="{00000000-0005-0000-0000-00007A050000}"/>
    <cellStyle name="Normal 18 2 3 2 2 2" xfId="1403" xr:uid="{00000000-0005-0000-0000-00007B050000}"/>
    <cellStyle name="Normal 18 2 3 2 3" xfId="1404" xr:uid="{00000000-0005-0000-0000-00007C050000}"/>
    <cellStyle name="Normal 18 2 3 2 4" xfId="1405" xr:uid="{00000000-0005-0000-0000-00007D050000}"/>
    <cellStyle name="Normal 18 2 3 3" xfId="1406" xr:uid="{00000000-0005-0000-0000-00007E050000}"/>
    <cellStyle name="Normal 18 2 3 3 2" xfId="1407" xr:uid="{00000000-0005-0000-0000-00007F050000}"/>
    <cellStyle name="Normal 18 2 3 4" xfId="1408" xr:uid="{00000000-0005-0000-0000-000080050000}"/>
    <cellStyle name="Normal 18 2 3 5" xfId="1409" xr:uid="{00000000-0005-0000-0000-000081050000}"/>
    <cellStyle name="Normal 18 2 4" xfId="1410" xr:uid="{00000000-0005-0000-0000-000082050000}"/>
    <cellStyle name="Normal 18 2 4 2" xfId="1411" xr:uid="{00000000-0005-0000-0000-000083050000}"/>
    <cellStyle name="Normal 18 2 4 2 2" xfId="1412" xr:uid="{00000000-0005-0000-0000-000084050000}"/>
    <cellStyle name="Normal 18 2 4 3" xfId="1413" xr:uid="{00000000-0005-0000-0000-000085050000}"/>
    <cellStyle name="Normal 18 2 4 4" xfId="1414" xr:uid="{00000000-0005-0000-0000-000086050000}"/>
    <cellStyle name="Normal 18 2 5" xfId="1415" xr:uid="{00000000-0005-0000-0000-000087050000}"/>
    <cellStyle name="Normal 18 2 5 2" xfId="1416" xr:uid="{00000000-0005-0000-0000-000088050000}"/>
    <cellStyle name="Normal 18 2 5 2 2" xfId="1417" xr:uid="{00000000-0005-0000-0000-000089050000}"/>
    <cellStyle name="Normal 18 2 5 3" xfId="1418" xr:uid="{00000000-0005-0000-0000-00008A050000}"/>
    <cellStyle name="Normal 18 2 5 4" xfId="1419" xr:uid="{00000000-0005-0000-0000-00008B050000}"/>
    <cellStyle name="Normal 18 2 6" xfId="1420" xr:uid="{00000000-0005-0000-0000-00008C050000}"/>
    <cellStyle name="Normal 18 2 6 2" xfId="1421" xr:uid="{00000000-0005-0000-0000-00008D050000}"/>
    <cellStyle name="Normal 18 2 7" xfId="1422" xr:uid="{00000000-0005-0000-0000-00008E050000}"/>
    <cellStyle name="Normal 18 2 7 2" xfId="1423" xr:uid="{00000000-0005-0000-0000-00008F050000}"/>
    <cellStyle name="Normal 18 2 8" xfId="1424" xr:uid="{00000000-0005-0000-0000-000090050000}"/>
    <cellStyle name="Normal 18 2 9" xfId="1425" xr:uid="{00000000-0005-0000-0000-000091050000}"/>
    <cellStyle name="Normal 18 3" xfId="1426" xr:uid="{00000000-0005-0000-0000-000092050000}"/>
    <cellStyle name="Normal 18 3 2" xfId="1427" xr:uid="{00000000-0005-0000-0000-000093050000}"/>
    <cellStyle name="Normal 18 3 2 2" xfId="1428" xr:uid="{00000000-0005-0000-0000-000094050000}"/>
    <cellStyle name="Normal 18 3 2 2 2" xfId="1429" xr:uid="{00000000-0005-0000-0000-000095050000}"/>
    <cellStyle name="Normal 18 3 2 2 2 2" xfId="1430" xr:uid="{00000000-0005-0000-0000-000096050000}"/>
    <cellStyle name="Normal 18 3 2 2 3" xfId="1431" xr:uid="{00000000-0005-0000-0000-000097050000}"/>
    <cellStyle name="Normal 18 3 2 3" xfId="1432" xr:uid="{00000000-0005-0000-0000-000098050000}"/>
    <cellStyle name="Normal 18 3 2 3 2" xfId="1433" xr:uid="{00000000-0005-0000-0000-000099050000}"/>
    <cellStyle name="Normal 18 3 2 4" xfId="1434" xr:uid="{00000000-0005-0000-0000-00009A050000}"/>
    <cellStyle name="Normal 18 3 3" xfId="1435" xr:uid="{00000000-0005-0000-0000-00009B050000}"/>
    <cellStyle name="Normal 18 3 3 2" xfId="1436" xr:uid="{00000000-0005-0000-0000-00009C050000}"/>
    <cellStyle name="Normal 18 3 3 2 2" xfId="1437" xr:uid="{00000000-0005-0000-0000-00009D050000}"/>
    <cellStyle name="Normal 18 3 3 3" xfId="1438" xr:uid="{00000000-0005-0000-0000-00009E050000}"/>
    <cellStyle name="Normal 18 3 4" xfId="1439" xr:uid="{00000000-0005-0000-0000-00009F050000}"/>
    <cellStyle name="Normal 18 3 4 2" xfId="1440" xr:uid="{00000000-0005-0000-0000-0000A0050000}"/>
    <cellStyle name="Normal 18 3 5" xfId="1441" xr:uid="{00000000-0005-0000-0000-0000A1050000}"/>
    <cellStyle name="Normal 18 4" xfId="1442" xr:uid="{00000000-0005-0000-0000-0000A2050000}"/>
    <cellStyle name="Normal 18 4 2" xfId="1443" xr:uid="{00000000-0005-0000-0000-0000A3050000}"/>
    <cellStyle name="Normal 18 4 2 2" xfId="1444" xr:uid="{00000000-0005-0000-0000-0000A4050000}"/>
    <cellStyle name="Normal 18 4 2 2 2" xfId="1445" xr:uid="{00000000-0005-0000-0000-0000A5050000}"/>
    <cellStyle name="Normal 18 4 2 3" xfId="1446" xr:uid="{00000000-0005-0000-0000-0000A6050000}"/>
    <cellStyle name="Normal 18 4 3" xfId="1447" xr:uid="{00000000-0005-0000-0000-0000A7050000}"/>
    <cellStyle name="Normal 18 4 3 2" xfId="1448" xr:uid="{00000000-0005-0000-0000-0000A8050000}"/>
    <cellStyle name="Normal 18 4 4" xfId="1449" xr:uid="{00000000-0005-0000-0000-0000A9050000}"/>
    <cellStyle name="Normal 18 5" xfId="1450" xr:uid="{00000000-0005-0000-0000-0000AA050000}"/>
    <cellStyle name="Normal 18 5 2" xfId="1451" xr:uid="{00000000-0005-0000-0000-0000AB050000}"/>
    <cellStyle name="Normal 18 5 2 2" xfId="1452" xr:uid="{00000000-0005-0000-0000-0000AC050000}"/>
    <cellStyle name="Normal 18 5 2 2 2" xfId="1453" xr:uid="{00000000-0005-0000-0000-0000AD050000}"/>
    <cellStyle name="Normal 18 5 2 3" xfId="1454" xr:uid="{00000000-0005-0000-0000-0000AE050000}"/>
    <cellStyle name="Normal 18 5 3" xfId="1455" xr:uid="{00000000-0005-0000-0000-0000AF050000}"/>
    <cellStyle name="Normal 18 5 3 2" xfId="1456" xr:uid="{00000000-0005-0000-0000-0000B0050000}"/>
    <cellStyle name="Normal 18 5 4" xfId="1457" xr:uid="{00000000-0005-0000-0000-0000B1050000}"/>
    <cellStyle name="Normal 18 6" xfId="1458" xr:uid="{00000000-0005-0000-0000-0000B2050000}"/>
    <cellStyle name="Normal 18 6 2" xfId="1459" xr:uid="{00000000-0005-0000-0000-0000B3050000}"/>
    <cellStyle name="Normal 18 6 2 2" xfId="1460" xr:uid="{00000000-0005-0000-0000-0000B4050000}"/>
    <cellStyle name="Normal 18 6 3" xfId="1461" xr:uid="{00000000-0005-0000-0000-0000B5050000}"/>
    <cellStyle name="Normal 18 7" xfId="1462" xr:uid="{00000000-0005-0000-0000-0000B6050000}"/>
    <cellStyle name="Normal 18 7 2" xfId="1463" xr:uid="{00000000-0005-0000-0000-0000B7050000}"/>
    <cellStyle name="Normal 18 8" xfId="1464" xr:uid="{00000000-0005-0000-0000-0000B8050000}"/>
    <cellStyle name="Normal 19" xfId="1465" xr:uid="{00000000-0005-0000-0000-0000B9050000}"/>
    <cellStyle name="Normal 19 2" xfId="1466" xr:uid="{00000000-0005-0000-0000-0000BA050000}"/>
    <cellStyle name="Normal 19 2 2" xfId="1467" xr:uid="{00000000-0005-0000-0000-0000BB050000}"/>
    <cellStyle name="Normal 19 2 2 2" xfId="1468" xr:uid="{00000000-0005-0000-0000-0000BC050000}"/>
    <cellStyle name="Normal 19 2 2 2 2" xfId="1469" xr:uid="{00000000-0005-0000-0000-0000BD050000}"/>
    <cellStyle name="Normal 19 2 2 2 2 2" xfId="1470" xr:uid="{00000000-0005-0000-0000-0000BE050000}"/>
    <cellStyle name="Normal 19 2 2 2 3" xfId="1471" xr:uid="{00000000-0005-0000-0000-0000BF050000}"/>
    <cellStyle name="Normal 19 2 2 2 4" xfId="1472" xr:uid="{00000000-0005-0000-0000-0000C0050000}"/>
    <cellStyle name="Normal 19 2 2 3" xfId="1473" xr:uid="{00000000-0005-0000-0000-0000C1050000}"/>
    <cellStyle name="Normal 19 2 2 3 2" xfId="1474" xr:uid="{00000000-0005-0000-0000-0000C2050000}"/>
    <cellStyle name="Normal 19 2 2 4" xfId="1475" xr:uid="{00000000-0005-0000-0000-0000C3050000}"/>
    <cellStyle name="Normal 19 2 2 4 2" xfId="1476" xr:uid="{00000000-0005-0000-0000-0000C4050000}"/>
    <cellStyle name="Normal 19 2 2 5" xfId="1477" xr:uid="{00000000-0005-0000-0000-0000C5050000}"/>
    <cellStyle name="Normal 19 2 2 6" xfId="1478" xr:uid="{00000000-0005-0000-0000-0000C6050000}"/>
    <cellStyle name="Normal 19 2 3" xfId="1479" xr:uid="{00000000-0005-0000-0000-0000C7050000}"/>
    <cellStyle name="Normal 19 2 3 2" xfId="1480" xr:uid="{00000000-0005-0000-0000-0000C8050000}"/>
    <cellStyle name="Normal 19 2 3 2 2" xfId="1481" xr:uid="{00000000-0005-0000-0000-0000C9050000}"/>
    <cellStyle name="Normal 19 2 3 2 2 2" xfId="1482" xr:uid="{00000000-0005-0000-0000-0000CA050000}"/>
    <cellStyle name="Normal 19 2 3 2 3" xfId="1483" xr:uid="{00000000-0005-0000-0000-0000CB050000}"/>
    <cellStyle name="Normal 19 2 3 2 4" xfId="1484" xr:uid="{00000000-0005-0000-0000-0000CC050000}"/>
    <cellStyle name="Normal 19 2 3 3" xfId="1485" xr:uid="{00000000-0005-0000-0000-0000CD050000}"/>
    <cellStyle name="Normal 19 2 3 3 2" xfId="1486" xr:uid="{00000000-0005-0000-0000-0000CE050000}"/>
    <cellStyle name="Normal 19 2 3 4" xfId="1487" xr:uid="{00000000-0005-0000-0000-0000CF050000}"/>
    <cellStyle name="Normal 19 2 3 5" xfId="1488" xr:uid="{00000000-0005-0000-0000-0000D0050000}"/>
    <cellStyle name="Normal 19 2 4" xfId="1489" xr:uid="{00000000-0005-0000-0000-0000D1050000}"/>
    <cellStyle name="Normal 19 2 4 2" xfId="1490" xr:uid="{00000000-0005-0000-0000-0000D2050000}"/>
    <cellStyle name="Normal 19 2 4 2 2" xfId="1491" xr:uid="{00000000-0005-0000-0000-0000D3050000}"/>
    <cellStyle name="Normal 19 2 4 3" xfId="1492" xr:uid="{00000000-0005-0000-0000-0000D4050000}"/>
    <cellStyle name="Normal 19 2 4 4" xfId="1493" xr:uid="{00000000-0005-0000-0000-0000D5050000}"/>
    <cellStyle name="Normal 19 2 5" xfId="1494" xr:uid="{00000000-0005-0000-0000-0000D6050000}"/>
    <cellStyle name="Normal 19 2 5 2" xfId="1495" xr:uid="{00000000-0005-0000-0000-0000D7050000}"/>
    <cellStyle name="Normal 19 2 5 2 2" xfId="1496" xr:uid="{00000000-0005-0000-0000-0000D8050000}"/>
    <cellStyle name="Normal 19 2 5 3" xfId="1497" xr:uid="{00000000-0005-0000-0000-0000D9050000}"/>
    <cellStyle name="Normal 19 2 5 4" xfId="1498" xr:uid="{00000000-0005-0000-0000-0000DA050000}"/>
    <cellStyle name="Normal 19 2 6" xfId="1499" xr:uid="{00000000-0005-0000-0000-0000DB050000}"/>
    <cellStyle name="Normal 19 2 6 2" xfId="1500" xr:uid="{00000000-0005-0000-0000-0000DC050000}"/>
    <cellStyle name="Normal 19 2 7" xfId="1501" xr:uid="{00000000-0005-0000-0000-0000DD050000}"/>
    <cellStyle name="Normal 19 2 7 2" xfId="1502" xr:uid="{00000000-0005-0000-0000-0000DE050000}"/>
    <cellStyle name="Normal 19 2 8" xfId="1503" xr:uid="{00000000-0005-0000-0000-0000DF050000}"/>
    <cellStyle name="Normal 19 2 9" xfId="1504" xr:uid="{00000000-0005-0000-0000-0000E0050000}"/>
    <cellStyle name="Normal 19 3" xfId="1505" xr:uid="{00000000-0005-0000-0000-0000E1050000}"/>
    <cellStyle name="Normal 19 3 2" xfId="1506" xr:uid="{00000000-0005-0000-0000-0000E2050000}"/>
    <cellStyle name="Normal 19 3 2 2" xfId="1507" xr:uid="{00000000-0005-0000-0000-0000E3050000}"/>
    <cellStyle name="Normal 19 3 2 2 2" xfId="1508" xr:uid="{00000000-0005-0000-0000-0000E4050000}"/>
    <cellStyle name="Normal 19 3 2 2 2 2" xfId="1509" xr:uid="{00000000-0005-0000-0000-0000E5050000}"/>
    <cellStyle name="Normal 19 3 2 2 3" xfId="1510" xr:uid="{00000000-0005-0000-0000-0000E6050000}"/>
    <cellStyle name="Normal 19 3 2 3" xfId="1511" xr:uid="{00000000-0005-0000-0000-0000E7050000}"/>
    <cellStyle name="Normal 19 3 2 3 2" xfId="1512" xr:uid="{00000000-0005-0000-0000-0000E8050000}"/>
    <cellStyle name="Normal 19 3 2 4" xfId="1513" xr:uid="{00000000-0005-0000-0000-0000E9050000}"/>
    <cellStyle name="Normal 19 3 3" xfId="1514" xr:uid="{00000000-0005-0000-0000-0000EA050000}"/>
    <cellStyle name="Normal 19 3 3 2" xfId="1515" xr:uid="{00000000-0005-0000-0000-0000EB050000}"/>
    <cellStyle name="Normal 19 3 3 2 2" xfId="1516" xr:uid="{00000000-0005-0000-0000-0000EC050000}"/>
    <cellStyle name="Normal 19 3 3 3" xfId="1517" xr:uid="{00000000-0005-0000-0000-0000ED050000}"/>
    <cellStyle name="Normal 19 3 4" xfId="1518" xr:uid="{00000000-0005-0000-0000-0000EE050000}"/>
    <cellStyle name="Normal 19 3 4 2" xfId="1519" xr:uid="{00000000-0005-0000-0000-0000EF050000}"/>
    <cellStyle name="Normal 19 3 5" xfId="1520" xr:uid="{00000000-0005-0000-0000-0000F0050000}"/>
    <cellStyle name="Normal 19 4" xfId="1521" xr:uid="{00000000-0005-0000-0000-0000F1050000}"/>
    <cellStyle name="Normal 19 4 2" xfId="1522" xr:uid="{00000000-0005-0000-0000-0000F2050000}"/>
    <cellStyle name="Normal 19 4 2 2" xfId="1523" xr:uid="{00000000-0005-0000-0000-0000F3050000}"/>
    <cellStyle name="Normal 19 4 2 2 2" xfId="1524" xr:uid="{00000000-0005-0000-0000-0000F4050000}"/>
    <cellStyle name="Normal 19 4 2 3" xfId="1525" xr:uid="{00000000-0005-0000-0000-0000F5050000}"/>
    <cellStyle name="Normal 19 4 3" xfId="1526" xr:uid="{00000000-0005-0000-0000-0000F6050000}"/>
    <cellStyle name="Normal 19 4 3 2" xfId="1527" xr:uid="{00000000-0005-0000-0000-0000F7050000}"/>
    <cellStyle name="Normal 19 4 4" xfId="1528" xr:uid="{00000000-0005-0000-0000-0000F8050000}"/>
    <cellStyle name="Normal 19 5" xfId="1529" xr:uid="{00000000-0005-0000-0000-0000F9050000}"/>
    <cellStyle name="Normal 19 5 2" xfId="1530" xr:uid="{00000000-0005-0000-0000-0000FA050000}"/>
    <cellStyle name="Normal 19 5 2 2" xfId="1531" xr:uid="{00000000-0005-0000-0000-0000FB050000}"/>
    <cellStyle name="Normal 19 5 2 2 2" xfId="1532" xr:uid="{00000000-0005-0000-0000-0000FC050000}"/>
    <cellStyle name="Normal 19 5 2 3" xfId="1533" xr:uid="{00000000-0005-0000-0000-0000FD050000}"/>
    <cellStyle name="Normal 19 5 3" xfId="1534" xr:uid="{00000000-0005-0000-0000-0000FE050000}"/>
    <cellStyle name="Normal 19 5 3 2" xfId="1535" xr:uid="{00000000-0005-0000-0000-0000FF050000}"/>
    <cellStyle name="Normal 19 5 4" xfId="1536" xr:uid="{00000000-0005-0000-0000-000000060000}"/>
    <cellStyle name="Normal 19 6" xfId="1537" xr:uid="{00000000-0005-0000-0000-000001060000}"/>
    <cellStyle name="Normal 19 6 2" xfId="1538" xr:uid="{00000000-0005-0000-0000-000002060000}"/>
    <cellStyle name="Normal 19 6 2 2" xfId="1539" xr:uid="{00000000-0005-0000-0000-000003060000}"/>
    <cellStyle name="Normal 19 6 3" xfId="1540" xr:uid="{00000000-0005-0000-0000-000004060000}"/>
    <cellStyle name="Normal 19 7" xfId="1541" xr:uid="{00000000-0005-0000-0000-000005060000}"/>
    <cellStyle name="Normal 19 7 2" xfId="1542" xr:uid="{00000000-0005-0000-0000-000006060000}"/>
    <cellStyle name="Normal 19 8" xfId="1543" xr:uid="{00000000-0005-0000-0000-000007060000}"/>
    <cellStyle name="Normal 2" xfId="1544" xr:uid="{00000000-0005-0000-0000-000008060000}"/>
    <cellStyle name="Normal 2 10" xfId="1545" xr:uid="{00000000-0005-0000-0000-000009060000}"/>
    <cellStyle name="Normal 2 10 2" xfId="1546" xr:uid="{00000000-0005-0000-0000-00000A060000}"/>
    <cellStyle name="Normal 2 10_Dual_Mode_Time" xfId="1547" xr:uid="{00000000-0005-0000-0000-00000B060000}"/>
    <cellStyle name="Normal 2 100" xfId="1548" xr:uid="{00000000-0005-0000-0000-00000C060000}"/>
    <cellStyle name="Normal 2 100 2" xfId="1549" xr:uid="{00000000-0005-0000-0000-00000D060000}"/>
    <cellStyle name="Normal 2 101" xfId="1550" xr:uid="{00000000-0005-0000-0000-00000E060000}"/>
    <cellStyle name="Normal 2 101 2" xfId="1551" xr:uid="{00000000-0005-0000-0000-00000F060000}"/>
    <cellStyle name="Normal 2 102" xfId="1552" xr:uid="{00000000-0005-0000-0000-000010060000}"/>
    <cellStyle name="Normal 2 102 2" xfId="1553" xr:uid="{00000000-0005-0000-0000-000011060000}"/>
    <cellStyle name="Normal 2 103" xfId="1554" xr:uid="{00000000-0005-0000-0000-000012060000}"/>
    <cellStyle name="Normal 2 103 2" xfId="1555" xr:uid="{00000000-0005-0000-0000-000013060000}"/>
    <cellStyle name="Normal 2 104" xfId="1556" xr:uid="{00000000-0005-0000-0000-000014060000}"/>
    <cellStyle name="Normal 2 104 2" xfId="1557" xr:uid="{00000000-0005-0000-0000-000015060000}"/>
    <cellStyle name="Normal 2 105" xfId="1558" xr:uid="{00000000-0005-0000-0000-000016060000}"/>
    <cellStyle name="Normal 2 105 2" xfId="1559" xr:uid="{00000000-0005-0000-0000-000017060000}"/>
    <cellStyle name="Normal 2 106" xfId="1560" xr:uid="{00000000-0005-0000-0000-000018060000}"/>
    <cellStyle name="Normal 2 106 2" xfId="1561" xr:uid="{00000000-0005-0000-0000-000019060000}"/>
    <cellStyle name="Normal 2 107" xfId="1562" xr:uid="{00000000-0005-0000-0000-00001A060000}"/>
    <cellStyle name="Normal 2 107 2" xfId="1563" xr:uid="{00000000-0005-0000-0000-00001B060000}"/>
    <cellStyle name="Normal 2 108" xfId="1564" xr:uid="{00000000-0005-0000-0000-00001C060000}"/>
    <cellStyle name="Normal 2 108 2" xfId="1565" xr:uid="{00000000-0005-0000-0000-00001D060000}"/>
    <cellStyle name="Normal 2 109" xfId="1566" xr:uid="{00000000-0005-0000-0000-00001E060000}"/>
    <cellStyle name="Normal 2 109 2" xfId="1567" xr:uid="{00000000-0005-0000-0000-00001F060000}"/>
    <cellStyle name="Normal 2 11" xfId="1568" xr:uid="{00000000-0005-0000-0000-000020060000}"/>
    <cellStyle name="Normal 2 11 2" xfId="1569" xr:uid="{00000000-0005-0000-0000-000021060000}"/>
    <cellStyle name="Normal 2 11_Dual_Mode_Time" xfId="1570" xr:uid="{00000000-0005-0000-0000-000022060000}"/>
    <cellStyle name="Normal 2 110" xfId="1571" xr:uid="{00000000-0005-0000-0000-000023060000}"/>
    <cellStyle name="Normal 2 110 2" xfId="1572" xr:uid="{00000000-0005-0000-0000-000024060000}"/>
    <cellStyle name="Normal 2 111" xfId="1573" xr:uid="{00000000-0005-0000-0000-000025060000}"/>
    <cellStyle name="Normal 2 111 2" xfId="1574" xr:uid="{00000000-0005-0000-0000-000026060000}"/>
    <cellStyle name="Normal 2 112" xfId="1575" xr:uid="{00000000-0005-0000-0000-000027060000}"/>
    <cellStyle name="Normal 2 112 2" xfId="1576" xr:uid="{00000000-0005-0000-0000-000028060000}"/>
    <cellStyle name="Normal 2 113" xfId="1577" xr:uid="{00000000-0005-0000-0000-000029060000}"/>
    <cellStyle name="Normal 2 113 2" xfId="1578" xr:uid="{00000000-0005-0000-0000-00002A060000}"/>
    <cellStyle name="Normal 2 114" xfId="1579" xr:uid="{00000000-0005-0000-0000-00002B060000}"/>
    <cellStyle name="Normal 2 114 2" xfId="1580" xr:uid="{00000000-0005-0000-0000-00002C060000}"/>
    <cellStyle name="Normal 2 115" xfId="1581" xr:uid="{00000000-0005-0000-0000-00002D060000}"/>
    <cellStyle name="Normal 2 115 2" xfId="1582" xr:uid="{00000000-0005-0000-0000-00002E060000}"/>
    <cellStyle name="Normal 2 116" xfId="1583" xr:uid="{00000000-0005-0000-0000-00002F060000}"/>
    <cellStyle name="Normal 2 116 2" xfId="1584" xr:uid="{00000000-0005-0000-0000-000030060000}"/>
    <cellStyle name="Normal 2 117" xfId="1585" xr:uid="{00000000-0005-0000-0000-000031060000}"/>
    <cellStyle name="Normal 2 117 2" xfId="1586" xr:uid="{00000000-0005-0000-0000-000032060000}"/>
    <cellStyle name="Normal 2 118" xfId="1587" xr:uid="{00000000-0005-0000-0000-000033060000}"/>
    <cellStyle name="Normal 2 118 2" xfId="1588" xr:uid="{00000000-0005-0000-0000-000034060000}"/>
    <cellStyle name="Normal 2 119" xfId="1589" xr:uid="{00000000-0005-0000-0000-000035060000}"/>
    <cellStyle name="Normal 2 119 2" xfId="1590" xr:uid="{00000000-0005-0000-0000-000036060000}"/>
    <cellStyle name="Normal 2 12" xfId="1591" xr:uid="{00000000-0005-0000-0000-000037060000}"/>
    <cellStyle name="Normal 2 12 2" xfId="1592" xr:uid="{00000000-0005-0000-0000-000038060000}"/>
    <cellStyle name="Normal 2 12_Dual_Mode_Time" xfId="1593" xr:uid="{00000000-0005-0000-0000-000039060000}"/>
    <cellStyle name="Normal 2 120" xfId="1594" xr:uid="{00000000-0005-0000-0000-00003A060000}"/>
    <cellStyle name="Normal 2 121" xfId="1595" xr:uid="{00000000-0005-0000-0000-00003B060000}"/>
    <cellStyle name="Normal 2 122" xfId="1596" xr:uid="{00000000-0005-0000-0000-00003C060000}"/>
    <cellStyle name="Normal 2 123" xfId="1597" xr:uid="{00000000-0005-0000-0000-00003D060000}"/>
    <cellStyle name="Normal 2 124" xfId="1598" xr:uid="{00000000-0005-0000-0000-00003E060000}"/>
    <cellStyle name="Normal 2 13" xfId="1599" xr:uid="{00000000-0005-0000-0000-00003F060000}"/>
    <cellStyle name="Normal 2 13 2" xfId="1600" xr:uid="{00000000-0005-0000-0000-000040060000}"/>
    <cellStyle name="Normal 2 13_Dual_Mode_Time" xfId="1601" xr:uid="{00000000-0005-0000-0000-000041060000}"/>
    <cellStyle name="Normal 2 14" xfId="1602" xr:uid="{00000000-0005-0000-0000-000042060000}"/>
    <cellStyle name="Normal 2 14 2" xfId="1603" xr:uid="{00000000-0005-0000-0000-000043060000}"/>
    <cellStyle name="Normal 2 14_Dual_Mode_Time" xfId="1604" xr:uid="{00000000-0005-0000-0000-000044060000}"/>
    <cellStyle name="Normal 2 15" xfId="1605" xr:uid="{00000000-0005-0000-0000-000045060000}"/>
    <cellStyle name="Normal 2 15 2" xfId="1606" xr:uid="{00000000-0005-0000-0000-000046060000}"/>
    <cellStyle name="Normal 2 15_Dual_Mode_Time" xfId="1607" xr:uid="{00000000-0005-0000-0000-000047060000}"/>
    <cellStyle name="Normal 2 16" xfId="1608" xr:uid="{00000000-0005-0000-0000-000048060000}"/>
    <cellStyle name="Normal 2 17" xfId="1609" xr:uid="{00000000-0005-0000-0000-000049060000}"/>
    <cellStyle name="Normal 2 18" xfId="1610" xr:uid="{00000000-0005-0000-0000-00004A060000}"/>
    <cellStyle name="Normal 2 19" xfId="1611" xr:uid="{00000000-0005-0000-0000-00004B060000}"/>
    <cellStyle name="Normal 2 2" xfId="1612" xr:uid="{00000000-0005-0000-0000-00004C060000}"/>
    <cellStyle name="Normal 2 2 2" xfId="1613" xr:uid="{00000000-0005-0000-0000-00004D060000}"/>
    <cellStyle name="Normal 2 2 2 2" xfId="1614" xr:uid="{00000000-0005-0000-0000-00004E060000}"/>
    <cellStyle name="Normal 2 2 2 2 2" xfId="1615" xr:uid="{00000000-0005-0000-0000-00004F060000}"/>
    <cellStyle name="Normal 2 2 2 2 2 2" xfId="1616" xr:uid="{00000000-0005-0000-0000-000050060000}"/>
    <cellStyle name="Normal 2 2 2 2 2 2 2" xfId="1617" xr:uid="{00000000-0005-0000-0000-000051060000}"/>
    <cellStyle name="Normal 2 2 2 2 2 2 2 2" xfId="1618" xr:uid="{00000000-0005-0000-0000-000052060000}"/>
    <cellStyle name="Normal 2 2 2 2 2 2 3" xfId="1619" xr:uid="{00000000-0005-0000-0000-000053060000}"/>
    <cellStyle name="Normal 2 2 2 2 2 3" xfId="1620" xr:uid="{00000000-0005-0000-0000-000054060000}"/>
    <cellStyle name="Normal 2 2 2 2 2 3 2" xfId="1621" xr:uid="{00000000-0005-0000-0000-000055060000}"/>
    <cellStyle name="Normal 2 2 2 2 2 4" xfId="1622" xr:uid="{00000000-0005-0000-0000-000056060000}"/>
    <cellStyle name="Normal 2 2 2 2 2 5" xfId="1623" xr:uid="{00000000-0005-0000-0000-000057060000}"/>
    <cellStyle name="Normal 2 2 2 2 3" xfId="1624" xr:uid="{00000000-0005-0000-0000-000058060000}"/>
    <cellStyle name="Normal 2 2 2 2 3 2" xfId="1625" xr:uid="{00000000-0005-0000-0000-000059060000}"/>
    <cellStyle name="Normal 2 2 2 2 3 2 2" xfId="1626" xr:uid="{00000000-0005-0000-0000-00005A060000}"/>
    <cellStyle name="Normal 2 2 2 2 3 2 2 2" xfId="1627" xr:uid="{00000000-0005-0000-0000-00005B060000}"/>
    <cellStyle name="Normal 2 2 2 2 3 2 3" xfId="1628" xr:uid="{00000000-0005-0000-0000-00005C060000}"/>
    <cellStyle name="Normal 2 2 2 2 3 3" xfId="1629" xr:uid="{00000000-0005-0000-0000-00005D060000}"/>
    <cellStyle name="Normal 2 2 2 2 3 3 2" xfId="1630" xr:uid="{00000000-0005-0000-0000-00005E060000}"/>
    <cellStyle name="Normal 2 2 2 2 3 4" xfId="1631" xr:uid="{00000000-0005-0000-0000-00005F060000}"/>
    <cellStyle name="Normal 2 2 2 2 4" xfId="1632" xr:uid="{00000000-0005-0000-0000-000060060000}"/>
    <cellStyle name="Normal 2 2 2 2 4 2" xfId="1633" xr:uid="{00000000-0005-0000-0000-000061060000}"/>
    <cellStyle name="Normal 2 2 2 2 4 2 2" xfId="1634" xr:uid="{00000000-0005-0000-0000-000062060000}"/>
    <cellStyle name="Normal 2 2 2 2 4 3" xfId="1635" xr:uid="{00000000-0005-0000-0000-000063060000}"/>
    <cellStyle name="Normal 2 2 2 2 5" xfId="1636" xr:uid="{00000000-0005-0000-0000-000064060000}"/>
    <cellStyle name="Normal 2 2 2 2 5 2" xfId="1637" xr:uid="{00000000-0005-0000-0000-000065060000}"/>
    <cellStyle name="Normal 2 2 2 2 6" xfId="1638" xr:uid="{00000000-0005-0000-0000-000066060000}"/>
    <cellStyle name="Normal 2 2 2 2 6 2" xfId="1639" xr:uid="{00000000-0005-0000-0000-000067060000}"/>
    <cellStyle name="Normal 2 2 2 2 7" xfId="1640" xr:uid="{00000000-0005-0000-0000-000068060000}"/>
    <cellStyle name="Normal 2 2 2 2 8" xfId="1641" xr:uid="{00000000-0005-0000-0000-000069060000}"/>
    <cellStyle name="Normal 2 2 2 3" xfId="1642" xr:uid="{00000000-0005-0000-0000-00006A060000}"/>
    <cellStyle name="Normal 2 2 2 3 2" xfId="1643" xr:uid="{00000000-0005-0000-0000-00006B060000}"/>
    <cellStyle name="Normal 2 2 2 3 3" xfId="1644" xr:uid="{00000000-0005-0000-0000-00006C060000}"/>
    <cellStyle name="Normal 2 2 2 4" xfId="1645" xr:uid="{00000000-0005-0000-0000-00006D060000}"/>
    <cellStyle name="Normal 2 2 2 4 2" xfId="1646" xr:uid="{00000000-0005-0000-0000-00006E060000}"/>
    <cellStyle name="Normal 2 2 2 4 2 2" xfId="1647" xr:uid="{00000000-0005-0000-0000-00006F060000}"/>
    <cellStyle name="Normal 2 2 2 4 2 2 2" xfId="1648" xr:uid="{00000000-0005-0000-0000-000070060000}"/>
    <cellStyle name="Normal 2 2 2 4 2 3" xfId="1649" xr:uid="{00000000-0005-0000-0000-000071060000}"/>
    <cellStyle name="Normal 2 2 2 4 3" xfId="1650" xr:uid="{00000000-0005-0000-0000-000072060000}"/>
    <cellStyle name="Normal 2 2 2 4 3 2" xfId="1651" xr:uid="{00000000-0005-0000-0000-000073060000}"/>
    <cellStyle name="Normal 2 2 2 4 4" xfId="1652" xr:uid="{00000000-0005-0000-0000-000074060000}"/>
    <cellStyle name="Normal 2 2 2 4 5" xfId="1653" xr:uid="{00000000-0005-0000-0000-000075060000}"/>
    <cellStyle name="Normal 2 2 2 5" xfId="1654" xr:uid="{00000000-0005-0000-0000-000076060000}"/>
    <cellStyle name="Normal 2 2 2 5 2" xfId="1655" xr:uid="{00000000-0005-0000-0000-000077060000}"/>
    <cellStyle name="Normal 2 2 2 5 2 2" xfId="1656" xr:uid="{00000000-0005-0000-0000-000078060000}"/>
    <cellStyle name="Normal 2 2 2 5 2 2 2" xfId="1657" xr:uid="{00000000-0005-0000-0000-000079060000}"/>
    <cellStyle name="Normal 2 2 2 5 2 3" xfId="1658" xr:uid="{00000000-0005-0000-0000-00007A060000}"/>
    <cellStyle name="Normal 2 2 2 5 3" xfId="1659" xr:uid="{00000000-0005-0000-0000-00007B060000}"/>
    <cellStyle name="Normal 2 2 2 5 3 2" xfId="1660" xr:uid="{00000000-0005-0000-0000-00007C060000}"/>
    <cellStyle name="Normal 2 2 2 5 4" xfId="1661" xr:uid="{00000000-0005-0000-0000-00007D060000}"/>
    <cellStyle name="Normal 2 2 2 5 5" xfId="1662" xr:uid="{00000000-0005-0000-0000-00007E060000}"/>
    <cellStyle name="Normal 2 2 2 6" xfId="1663" xr:uid="{00000000-0005-0000-0000-00007F060000}"/>
    <cellStyle name="Normal 2 2 2 6 2" xfId="1664" xr:uid="{00000000-0005-0000-0000-000080060000}"/>
    <cellStyle name="Normal 2 2 2 7" xfId="1665" xr:uid="{00000000-0005-0000-0000-000081060000}"/>
    <cellStyle name="Normal 2 2_Dual_Mode_Time" xfId="1666" xr:uid="{00000000-0005-0000-0000-000082060000}"/>
    <cellStyle name="Normal 2 20" xfId="1667" xr:uid="{00000000-0005-0000-0000-000083060000}"/>
    <cellStyle name="Normal 2 21" xfId="1668" xr:uid="{00000000-0005-0000-0000-000084060000}"/>
    <cellStyle name="Normal 2 22" xfId="1669" xr:uid="{00000000-0005-0000-0000-000085060000}"/>
    <cellStyle name="Normal 2 23" xfId="1670" xr:uid="{00000000-0005-0000-0000-000086060000}"/>
    <cellStyle name="Normal 2 24" xfId="1671" xr:uid="{00000000-0005-0000-0000-000087060000}"/>
    <cellStyle name="Normal 2 25" xfId="1672" xr:uid="{00000000-0005-0000-0000-000088060000}"/>
    <cellStyle name="Normal 2 26" xfId="1673" xr:uid="{00000000-0005-0000-0000-000089060000}"/>
    <cellStyle name="Normal 2 27" xfId="1674" xr:uid="{00000000-0005-0000-0000-00008A060000}"/>
    <cellStyle name="Normal 2 28" xfId="1675" xr:uid="{00000000-0005-0000-0000-00008B060000}"/>
    <cellStyle name="Normal 2 29" xfId="1676" xr:uid="{00000000-0005-0000-0000-00008C060000}"/>
    <cellStyle name="Normal 2 3" xfId="1677" xr:uid="{00000000-0005-0000-0000-00008D060000}"/>
    <cellStyle name="Normal 2 3 2" xfId="1678" xr:uid="{00000000-0005-0000-0000-00008E060000}"/>
    <cellStyle name="Normal 2 3 2 2" xfId="1679" xr:uid="{00000000-0005-0000-0000-00008F060000}"/>
    <cellStyle name="Normal 2 3 2 3" xfId="1680" xr:uid="{00000000-0005-0000-0000-000090060000}"/>
    <cellStyle name="Normal 2 3 3" xfId="1681" xr:uid="{00000000-0005-0000-0000-000091060000}"/>
    <cellStyle name="Normal 2 3_Dual_Mode_Time" xfId="1682" xr:uid="{00000000-0005-0000-0000-000092060000}"/>
    <cellStyle name="Normal 2 30" xfId="1683" xr:uid="{00000000-0005-0000-0000-000093060000}"/>
    <cellStyle name="Normal 2 31" xfId="1684" xr:uid="{00000000-0005-0000-0000-000094060000}"/>
    <cellStyle name="Normal 2 32" xfId="1685" xr:uid="{00000000-0005-0000-0000-000095060000}"/>
    <cellStyle name="Normal 2 33" xfId="1686" xr:uid="{00000000-0005-0000-0000-000096060000}"/>
    <cellStyle name="Normal 2 34" xfId="1687" xr:uid="{00000000-0005-0000-0000-000097060000}"/>
    <cellStyle name="Normal 2 35" xfId="1688" xr:uid="{00000000-0005-0000-0000-000098060000}"/>
    <cellStyle name="Normal 2 36" xfId="1689" xr:uid="{00000000-0005-0000-0000-000099060000}"/>
    <cellStyle name="Normal 2 37" xfId="1690" xr:uid="{00000000-0005-0000-0000-00009A060000}"/>
    <cellStyle name="Normal 2 38" xfId="1691" xr:uid="{00000000-0005-0000-0000-00009B060000}"/>
    <cellStyle name="Normal 2 39" xfId="1692" xr:uid="{00000000-0005-0000-0000-00009C060000}"/>
    <cellStyle name="Normal 2 4" xfId="1693" xr:uid="{00000000-0005-0000-0000-00009D060000}"/>
    <cellStyle name="Normal 2 4 2" xfId="1694" xr:uid="{00000000-0005-0000-0000-00009E060000}"/>
    <cellStyle name="Normal 2 4_Dual_Mode_Time" xfId="1695" xr:uid="{00000000-0005-0000-0000-00009F060000}"/>
    <cellStyle name="Normal 2 40" xfId="1696" xr:uid="{00000000-0005-0000-0000-0000A0060000}"/>
    <cellStyle name="Normal 2 41" xfId="1697" xr:uid="{00000000-0005-0000-0000-0000A1060000}"/>
    <cellStyle name="Normal 2 42" xfId="1698" xr:uid="{00000000-0005-0000-0000-0000A2060000}"/>
    <cellStyle name="Normal 2 43" xfId="1699" xr:uid="{00000000-0005-0000-0000-0000A3060000}"/>
    <cellStyle name="Normal 2 44" xfId="1700" xr:uid="{00000000-0005-0000-0000-0000A4060000}"/>
    <cellStyle name="Normal 2 45" xfId="1701" xr:uid="{00000000-0005-0000-0000-0000A5060000}"/>
    <cellStyle name="Normal 2 46" xfId="1702" xr:uid="{00000000-0005-0000-0000-0000A6060000}"/>
    <cellStyle name="Normal 2 47" xfId="1703" xr:uid="{00000000-0005-0000-0000-0000A7060000}"/>
    <cellStyle name="Normal 2 48" xfId="1704" xr:uid="{00000000-0005-0000-0000-0000A8060000}"/>
    <cellStyle name="Normal 2 49" xfId="1705" xr:uid="{00000000-0005-0000-0000-0000A9060000}"/>
    <cellStyle name="Normal 2 5" xfId="1706" xr:uid="{00000000-0005-0000-0000-0000AA060000}"/>
    <cellStyle name="Normal 2 5 2" xfId="1707" xr:uid="{00000000-0005-0000-0000-0000AB060000}"/>
    <cellStyle name="Normal 2 5_Dual_Mode_Time" xfId="1708" xr:uid="{00000000-0005-0000-0000-0000AC060000}"/>
    <cellStyle name="Normal 2 50" xfId="1709" xr:uid="{00000000-0005-0000-0000-0000AD060000}"/>
    <cellStyle name="Normal 2 51" xfId="1710" xr:uid="{00000000-0005-0000-0000-0000AE060000}"/>
    <cellStyle name="Normal 2 52" xfId="1711" xr:uid="{00000000-0005-0000-0000-0000AF060000}"/>
    <cellStyle name="Normal 2 53" xfId="1712" xr:uid="{00000000-0005-0000-0000-0000B0060000}"/>
    <cellStyle name="Normal 2 54" xfId="1713" xr:uid="{00000000-0005-0000-0000-0000B1060000}"/>
    <cellStyle name="Normal 2 55" xfId="1714" xr:uid="{00000000-0005-0000-0000-0000B2060000}"/>
    <cellStyle name="Normal 2 56" xfId="1715" xr:uid="{00000000-0005-0000-0000-0000B3060000}"/>
    <cellStyle name="Normal 2 57" xfId="1716" xr:uid="{00000000-0005-0000-0000-0000B4060000}"/>
    <cellStyle name="Normal 2 58" xfId="1717" xr:uid="{00000000-0005-0000-0000-0000B5060000}"/>
    <cellStyle name="Normal 2 59" xfId="1718" xr:uid="{00000000-0005-0000-0000-0000B6060000}"/>
    <cellStyle name="Normal 2 59 2" xfId="1719" xr:uid="{00000000-0005-0000-0000-0000B7060000}"/>
    <cellStyle name="Normal 2 59 2 2" xfId="1720" xr:uid="{00000000-0005-0000-0000-0000B8060000}"/>
    <cellStyle name="Normal 2 59 3" xfId="1721" xr:uid="{00000000-0005-0000-0000-0000B9060000}"/>
    <cellStyle name="Normal 2 6" xfId="1722" xr:uid="{00000000-0005-0000-0000-0000BA060000}"/>
    <cellStyle name="Normal 2 6 2" xfId="1723" xr:uid="{00000000-0005-0000-0000-0000BB060000}"/>
    <cellStyle name="Normal 2 6_Dual_Mode_Time" xfId="1724" xr:uid="{00000000-0005-0000-0000-0000BC060000}"/>
    <cellStyle name="Normal 2 60" xfId="1725" xr:uid="{00000000-0005-0000-0000-0000BD060000}"/>
    <cellStyle name="Normal 2 60 2" xfId="1726" xr:uid="{00000000-0005-0000-0000-0000BE060000}"/>
    <cellStyle name="Normal 2 60 2 2" xfId="1727" xr:uid="{00000000-0005-0000-0000-0000BF060000}"/>
    <cellStyle name="Normal 2 60 3" xfId="1728" xr:uid="{00000000-0005-0000-0000-0000C0060000}"/>
    <cellStyle name="Normal 2 61" xfId="1729" xr:uid="{00000000-0005-0000-0000-0000C1060000}"/>
    <cellStyle name="Normal 2 61 2" xfId="1730" xr:uid="{00000000-0005-0000-0000-0000C2060000}"/>
    <cellStyle name="Normal 2 61 2 2" xfId="1731" xr:uid="{00000000-0005-0000-0000-0000C3060000}"/>
    <cellStyle name="Normal 2 61 3" xfId="1732" xr:uid="{00000000-0005-0000-0000-0000C4060000}"/>
    <cellStyle name="Normal 2 62" xfId="1733" xr:uid="{00000000-0005-0000-0000-0000C5060000}"/>
    <cellStyle name="Normal 2 62 2" xfId="1734" xr:uid="{00000000-0005-0000-0000-0000C6060000}"/>
    <cellStyle name="Normal 2 62 2 2" xfId="1735" xr:uid="{00000000-0005-0000-0000-0000C7060000}"/>
    <cellStyle name="Normal 2 62 3" xfId="1736" xr:uid="{00000000-0005-0000-0000-0000C8060000}"/>
    <cellStyle name="Normal 2 63" xfId="1737" xr:uid="{00000000-0005-0000-0000-0000C9060000}"/>
    <cellStyle name="Normal 2 63 2" xfId="1738" xr:uid="{00000000-0005-0000-0000-0000CA060000}"/>
    <cellStyle name="Normal 2 63 2 2" xfId="1739" xr:uid="{00000000-0005-0000-0000-0000CB060000}"/>
    <cellStyle name="Normal 2 63 3" xfId="1740" xr:uid="{00000000-0005-0000-0000-0000CC060000}"/>
    <cellStyle name="Normal 2 64" xfId="1741" xr:uid="{00000000-0005-0000-0000-0000CD060000}"/>
    <cellStyle name="Normal 2 65" xfId="1742" xr:uid="{00000000-0005-0000-0000-0000CE060000}"/>
    <cellStyle name="Normal 2 66" xfId="1743" xr:uid="{00000000-0005-0000-0000-0000CF060000}"/>
    <cellStyle name="Normal 2 66 2" xfId="1744" xr:uid="{00000000-0005-0000-0000-0000D0060000}"/>
    <cellStyle name="Normal 2 67" xfId="1745" xr:uid="{00000000-0005-0000-0000-0000D1060000}"/>
    <cellStyle name="Normal 2 67 2" xfId="1746" xr:uid="{00000000-0005-0000-0000-0000D2060000}"/>
    <cellStyle name="Normal 2 68" xfId="1747" xr:uid="{00000000-0005-0000-0000-0000D3060000}"/>
    <cellStyle name="Normal 2 68 2" xfId="1748" xr:uid="{00000000-0005-0000-0000-0000D4060000}"/>
    <cellStyle name="Normal 2 69" xfId="1749" xr:uid="{00000000-0005-0000-0000-0000D5060000}"/>
    <cellStyle name="Normal 2 69 2" xfId="1750" xr:uid="{00000000-0005-0000-0000-0000D6060000}"/>
    <cellStyle name="Normal 2 7" xfId="1751" xr:uid="{00000000-0005-0000-0000-0000D7060000}"/>
    <cellStyle name="Normal 2 7 2" xfId="1752" xr:uid="{00000000-0005-0000-0000-0000D8060000}"/>
    <cellStyle name="Normal 2 7_Dual_Mode_Time" xfId="1753" xr:uid="{00000000-0005-0000-0000-0000D9060000}"/>
    <cellStyle name="Normal 2 70" xfId="1754" xr:uid="{00000000-0005-0000-0000-0000DA060000}"/>
    <cellStyle name="Normal 2 70 2" xfId="1755" xr:uid="{00000000-0005-0000-0000-0000DB060000}"/>
    <cellStyle name="Normal 2 71" xfId="1756" xr:uid="{00000000-0005-0000-0000-0000DC060000}"/>
    <cellStyle name="Normal 2 71 2" xfId="1757" xr:uid="{00000000-0005-0000-0000-0000DD060000}"/>
    <cellStyle name="Normal 2 72" xfId="1758" xr:uid="{00000000-0005-0000-0000-0000DE060000}"/>
    <cellStyle name="Normal 2 72 2" xfId="1759" xr:uid="{00000000-0005-0000-0000-0000DF060000}"/>
    <cellStyle name="Normal 2 73" xfId="1760" xr:uid="{00000000-0005-0000-0000-0000E0060000}"/>
    <cellStyle name="Normal 2 73 2" xfId="1761" xr:uid="{00000000-0005-0000-0000-0000E1060000}"/>
    <cellStyle name="Normal 2 74" xfId="1762" xr:uid="{00000000-0005-0000-0000-0000E2060000}"/>
    <cellStyle name="Normal 2 74 2" xfId="1763" xr:uid="{00000000-0005-0000-0000-0000E3060000}"/>
    <cellStyle name="Normal 2 75" xfId="1764" xr:uid="{00000000-0005-0000-0000-0000E4060000}"/>
    <cellStyle name="Normal 2 75 2" xfId="1765" xr:uid="{00000000-0005-0000-0000-0000E5060000}"/>
    <cellStyle name="Normal 2 76" xfId="1766" xr:uid="{00000000-0005-0000-0000-0000E6060000}"/>
    <cellStyle name="Normal 2 76 2" xfId="1767" xr:uid="{00000000-0005-0000-0000-0000E7060000}"/>
    <cellStyle name="Normal 2 77" xfId="1768" xr:uid="{00000000-0005-0000-0000-0000E8060000}"/>
    <cellStyle name="Normal 2 77 2" xfId="1769" xr:uid="{00000000-0005-0000-0000-0000E9060000}"/>
    <cellStyle name="Normal 2 78" xfId="1770" xr:uid="{00000000-0005-0000-0000-0000EA060000}"/>
    <cellStyle name="Normal 2 78 2" xfId="1771" xr:uid="{00000000-0005-0000-0000-0000EB060000}"/>
    <cellStyle name="Normal 2 79" xfId="1772" xr:uid="{00000000-0005-0000-0000-0000EC060000}"/>
    <cellStyle name="Normal 2 79 2" xfId="1773" xr:uid="{00000000-0005-0000-0000-0000ED060000}"/>
    <cellStyle name="Normal 2 8" xfId="1774" xr:uid="{00000000-0005-0000-0000-0000EE060000}"/>
    <cellStyle name="Normal 2 8 2" xfId="1775" xr:uid="{00000000-0005-0000-0000-0000EF060000}"/>
    <cellStyle name="Normal 2 8_Dual_Mode_Time" xfId="1776" xr:uid="{00000000-0005-0000-0000-0000F0060000}"/>
    <cellStyle name="Normal 2 80" xfId="1777" xr:uid="{00000000-0005-0000-0000-0000F1060000}"/>
    <cellStyle name="Normal 2 80 2" xfId="1778" xr:uid="{00000000-0005-0000-0000-0000F2060000}"/>
    <cellStyle name="Normal 2 81" xfId="1779" xr:uid="{00000000-0005-0000-0000-0000F3060000}"/>
    <cellStyle name="Normal 2 81 2" xfId="1780" xr:uid="{00000000-0005-0000-0000-0000F4060000}"/>
    <cellStyle name="Normal 2 82" xfId="1781" xr:uid="{00000000-0005-0000-0000-0000F5060000}"/>
    <cellStyle name="Normal 2 82 2" xfId="1782" xr:uid="{00000000-0005-0000-0000-0000F6060000}"/>
    <cellStyle name="Normal 2 83" xfId="1783" xr:uid="{00000000-0005-0000-0000-0000F7060000}"/>
    <cellStyle name="Normal 2 83 2" xfId="1784" xr:uid="{00000000-0005-0000-0000-0000F8060000}"/>
    <cellStyle name="Normal 2 84" xfId="1785" xr:uid="{00000000-0005-0000-0000-0000F9060000}"/>
    <cellStyle name="Normal 2 84 2" xfId="1786" xr:uid="{00000000-0005-0000-0000-0000FA060000}"/>
    <cellStyle name="Normal 2 85" xfId="1787" xr:uid="{00000000-0005-0000-0000-0000FB060000}"/>
    <cellStyle name="Normal 2 85 2" xfId="1788" xr:uid="{00000000-0005-0000-0000-0000FC060000}"/>
    <cellStyle name="Normal 2 86" xfId="1789" xr:uid="{00000000-0005-0000-0000-0000FD060000}"/>
    <cellStyle name="Normal 2 86 2" xfId="1790" xr:uid="{00000000-0005-0000-0000-0000FE060000}"/>
    <cellStyle name="Normal 2 87" xfId="1791" xr:uid="{00000000-0005-0000-0000-0000FF060000}"/>
    <cellStyle name="Normal 2 87 2" xfId="1792" xr:uid="{00000000-0005-0000-0000-000000070000}"/>
    <cellStyle name="Normal 2 88" xfId="1793" xr:uid="{00000000-0005-0000-0000-000001070000}"/>
    <cellStyle name="Normal 2 88 2" xfId="1794" xr:uid="{00000000-0005-0000-0000-000002070000}"/>
    <cellStyle name="Normal 2 89" xfId="1795" xr:uid="{00000000-0005-0000-0000-000003070000}"/>
    <cellStyle name="Normal 2 89 2" xfId="1796" xr:uid="{00000000-0005-0000-0000-000004070000}"/>
    <cellStyle name="Normal 2 9" xfId="1797" xr:uid="{00000000-0005-0000-0000-000005070000}"/>
    <cellStyle name="Normal 2 9 2" xfId="1798" xr:uid="{00000000-0005-0000-0000-000006070000}"/>
    <cellStyle name="Normal 2 9_Dual_Mode_Time" xfId="1799" xr:uid="{00000000-0005-0000-0000-000007070000}"/>
    <cellStyle name="Normal 2 90" xfId="1800" xr:uid="{00000000-0005-0000-0000-000008070000}"/>
    <cellStyle name="Normal 2 90 2" xfId="1801" xr:uid="{00000000-0005-0000-0000-000009070000}"/>
    <cellStyle name="Normal 2 91" xfId="1802" xr:uid="{00000000-0005-0000-0000-00000A070000}"/>
    <cellStyle name="Normal 2 91 2" xfId="1803" xr:uid="{00000000-0005-0000-0000-00000B070000}"/>
    <cellStyle name="Normal 2 92" xfId="1804" xr:uid="{00000000-0005-0000-0000-00000C070000}"/>
    <cellStyle name="Normal 2 92 2" xfId="1805" xr:uid="{00000000-0005-0000-0000-00000D070000}"/>
    <cellStyle name="Normal 2 93" xfId="1806" xr:uid="{00000000-0005-0000-0000-00000E070000}"/>
    <cellStyle name="Normal 2 93 2" xfId="1807" xr:uid="{00000000-0005-0000-0000-00000F070000}"/>
    <cellStyle name="Normal 2 94" xfId="1808" xr:uid="{00000000-0005-0000-0000-000010070000}"/>
    <cellStyle name="Normal 2 94 2" xfId="1809" xr:uid="{00000000-0005-0000-0000-000011070000}"/>
    <cellStyle name="Normal 2 95" xfId="1810" xr:uid="{00000000-0005-0000-0000-000012070000}"/>
    <cellStyle name="Normal 2 95 2" xfId="1811" xr:uid="{00000000-0005-0000-0000-000013070000}"/>
    <cellStyle name="Normal 2 96" xfId="1812" xr:uid="{00000000-0005-0000-0000-000014070000}"/>
    <cellStyle name="Normal 2 96 2" xfId="1813" xr:uid="{00000000-0005-0000-0000-000015070000}"/>
    <cellStyle name="Normal 2 97" xfId="1814" xr:uid="{00000000-0005-0000-0000-000016070000}"/>
    <cellStyle name="Normal 2 97 2" xfId="1815" xr:uid="{00000000-0005-0000-0000-000017070000}"/>
    <cellStyle name="Normal 2 98" xfId="1816" xr:uid="{00000000-0005-0000-0000-000018070000}"/>
    <cellStyle name="Normal 2 98 2" xfId="1817" xr:uid="{00000000-0005-0000-0000-000019070000}"/>
    <cellStyle name="Normal 2 99" xfId="1818" xr:uid="{00000000-0005-0000-0000-00001A070000}"/>
    <cellStyle name="Normal 2 99 2" xfId="1819" xr:uid="{00000000-0005-0000-0000-00001B070000}"/>
    <cellStyle name="Normal 2_Chans" xfId="1820" xr:uid="{00000000-0005-0000-0000-00001C070000}"/>
    <cellStyle name="Normal 20" xfId="1821" xr:uid="{00000000-0005-0000-0000-00001D070000}"/>
    <cellStyle name="Normal 20 2" xfId="1822" xr:uid="{00000000-0005-0000-0000-00001E070000}"/>
    <cellStyle name="Normal 20 2 2" xfId="1823" xr:uid="{00000000-0005-0000-0000-00001F070000}"/>
    <cellStyle name="Normal 20 2 2 2" xfId="1824" xr:uid="{00000000-0005-0000-0000-000020070000}"/>
    <cellStyle name="Normal 20 2 2 2 2" xfId="1825" xr:uid="{00000000-0005-0000-0000-000021070000}"/>
    <cellStyle name="Normal 20 2 2 2 2 2" xfId="1826" xr:uid="{00000000-0005-0000-0000-000022070000}"/>
    <cellStyle name="Normal 20 2 2 2 3" xfId="1827" xr:uid="{00000000-0005-0000-0000-000023070000}"/>
    <cellStyle name="Normal 20 2 2 2 4" xfId="1828" xr:uid="{00000000-0005-0000-0000-000024070000}"/>
    <cellStyle name="Normal 20 2 2 3" xfId="1829" xr:uid="{00000000-0005-0000-0000-000025070000}"/>
    <cellStyle name="Normal 20 2 2 3 2" xfId="1830" xr:uid="{00000000-0005-0000-0000-000026070000}"/>
    <cellStyle name="Normal 20 2 2 4" xfId="1831" xr:uid="{00000000-0005-0000-0000-000027070000}"/>
    <cellStyle name="Normal 20 2 2 4 2" xfId="1832" xr:uid="{00000000-0005-0000-0000-000028070000}"/>
    <cellStyle name="Normal 20 2 2 5" xfId="1833" xr:uid="{00000000-0005-0000-0000-000029070000}"/>
    <cellStyle name="Normal 20 2 2 6" xfId="1834" xr:uid="{00000000-0005-0000-0000-00002A070000}"/>
    <cellStyle name="Normal 20 2 3" xfId="1835" xr:uid="{00000000-0005-0000-0000-00002B070000}"/>
    <cellStyle name="Normal 20 2 3 2" xfId="1836" xr:uid="{00000000-0005-0000-0000-00002C070000}"/>
    <cellStyle name="Normal 20 2 3 2 2" xfId="1837" xr:uid="{00000000-0005-0000-0000-00002D070000}"/>
    <cellStyle name="Normal 20 2 3 2 2 2" xfId="1838" xr:uid="{00000000-0005-0000-0000-00002E070000}"/>
    <cellStyle name="Normal 20 2 3 2 3" xfId="1839" xr:uid="{00000000-0005-0000-0000-00002F070000}"/>
    <cellStyle name="Normal 20 2 3 2 4" xfId="1840" xr:uid="{00000000-0005-0000-0000-000030070000}"/>
    <cellStyle name="Normal 20 2 3 3" xfId="1841" xr:uid="{00000000-0005-0000-0000-000031070000}"/>
    <cellStyle name="Normal 20 2 3 3 2" xfId="1842" xr:uid="{00000000-0005-0000-0000-000032070000}"/>
    <cellStyle name="Normal 20 2 3 4" xfId="1843" xr:uid="{00000000-0005-0000-0000-000033070000}"/>
    <cellStyle name="Normal 20 2 3 5" xfId="1844" xr:uid="{00000000-0005-0000-0000-000034070000}"/>
    <cellStyle name="Normal 20 2 4" xfId="1845" xr:uid="{00000000-0005-0000-0000-000035070000}"/>
    <cellStyle name="Normal 20 2 4 2" xfId="1846" xr:uid="{00000000-0005-0000-0000-000036070000}"/>
    <cellStyle name="Normal 20 2 4 2 2" xfId="1847" xr:uid="{00000000-0005-0000-0000-000037070000}"/>
    <cellStyle name="Normal 20 2 4 3" xfId="1848" xr:uid="{00000000-0005-0000-0000-000038070000}"/>
    <cellStyle name="Normal 20 2 4 4" xfId="1849" xr:uid="{00000000-0005-0000-0000-000039070000}"/>
    <cellStyle name="Normal 20 2 5" xfId="1850" xr:uid="{00000000-0005-0000-0000-00003A070000}"/>
    <cellStyle name="Normal 20 2 5 2" xfId="1851" xr:uid="{00000000-0005-0000-0000-00003B070000}"/>
    <cellStyle name="Normal 20 2 5 2 2" xfId="1852" xr:uid="{00000000-0005-0000-0000-00003C070000}"/>
    <cellStyle name="Normal 20 2 5 3" xfId="1853" xr:uid="{00000000-0005-0000-0000-00003D070000}"/>
    <cellStyle name="Normal 20 2 5 4" xfId="1854" xr:uid="{00000000-0005-0000-0000-00003E070000}"/>
    <cellStyle name="Normal 20 2 6" xfId="1855" xr:uid="{00000000-0005-0000-0000-00003F070000}"/>
    <cellStyle name="Normal 20 2 6 2" xfId="1856" xr:uid="{00000000-0005-0000-0000-000040070000}"/>
    <cellStyle name="Normal 20 2 7" xfId="1857" xr:uid="{00000000-0005-0000-0000-000041070000}"/>
    <cellStyle name="Normal 20 2 7 2" xfId="1858" xr:uid="{00000000-0005-0000-0000-000042070000}"/>
    <cellStyle name="Normal 20 2 8" xfId="1859" xr:uid="{00000000-0005-0000-0000-000043070000}"/>
    <cellStyle name="Normal 20 2 9" xfId="1860" xr:uid="{00000000-0005-0000-0000-000044070000}"/>
    <cellStyle name="Normal 20 3" xfId="1861" xr:uid="{00000000-0005-0000-0000-000045070000}"/>
    <cellStyle name="Normal 20 3 2" xfId="1862" xr:uid="{00000000-0005-0000-0000-000046070000}"/>
    <cellStyle name="Normal 20 3 2 2" xfId="1863" xr:uid="{00000000-0005-0000-0000-000047070000}"/>
    <cellStyle name="Normal 20 3 2 2 2" xfId="1864" xr:uid="{00000000-0005-0000-0000-000048070000}"/>
    <cellStyle name="Normal 20 3 2 2 2 2" xfId="1865" xr:uid="{00000000-0005-0000-0000-000049070000}"/>
    <cellStyle name="Normal 20 3 2 2 3" xfId="1866" xr:uid="{00000000-0005-0000-0000-00004A070000}"/>
    <cellStyle name="Normal 20 3 2 3" xfId="1867" xr:uid="{00000000-0005-0000-0000-00004B070000}"/>
    <cellStyle name="Normal 20 3 2 3 2" xfId="1868" xr:uid="{00000000-0005-0000-0000-00004C070000}"/>
    <cellStyle name="Normal 20 3 2 4" xfId="1869" xr:uid="{00000000-0005-0000-0000-00004D070000}"/>
    <cellStyle name="Normal 20 3 3" xfId="1870" xr:uid="{00000000-0005-0000-0000-00004E070000}"/>
    <cellStyle name="Normal 20 3 3 2" xfId="1871" xr:uid="{00000000-0005-0000-0000-00004F070000}"/>
    <cellStyle name="Normal 20 3 3 2 2" xfId="1872" xr:uid="{00000000-0005-0000-0000-000050070000}"/>
    <cellStyle name="Normal 20 3 3 3" xfId="1873" xr:uid="{00000000-0005-0000-0000-000051070000}"/>
    <cellStyle name="Normal 20 3 4" xfId="1874" xr:uid="{00000000-0005-0000-0000-000052070000}"/>
    <cellStyle name="Normal 20 3 4 2" xfId="1875" xr:uid="{00000000-0005-0000-0000-000053070000}"/>
    <cellStyle name="Normal 20 3 5" xfId="1876" xr:uid="{00000000-0005-0000-0000-000054070000}"/>
    <cellStyle name="Normal 20 4" xfId="1877" xr:uid="{00000000-0005-0000-0000-000055070000}"/>
    <cellStyle name="Normal 20 4 2" xfId="1878" xr:uid="{00000000-0005-0000-0000-000056070000}"/>
    <cellStyle name="Normal 20 4 2 2" xfId="1879" xr:uid="{00000000-0005-0000-0000-000057070000}"/>
    <cellStyle name="Normal 20 4 2 2 2" xfId="1880" xr:uid="{00000000-0005-0000-0000-000058070000}"/>
    <cellStyle name="Normal 20 4 2 3" xfId="1881" xr:uid="{00000000-0005-0000-0000-000059070000}"/>
    <cellStyle name="Normal 20 4 3" xfId="1882" xr:uid="{00000000-0005-0000-0000-00005A070000}"/>
    <cellStyle name="Normal 20 4 3 2" xfId="1883" xr:uid="{00000000-0005-0000-0000-00005B070000}"/>
    <cellStyle name="Normal 20 4 4" xfId="1884" xr:uid="{00000000-0005-0000-0000-00005C070000}"/>
    <cellStyle name="Normal 20 5" xfId="1885" xr:uid="{00000000-0005-0000-0000-00005D070000}"/>
    <cellStyle name="Normal 20 5 2" xfId="1886" xr:uid="{00000000-0005-0000-0000-00005E070000}"/>
    <cellStyle name="Normal 20 5 2 2" xfId="1887" xr:uid="{00000000-0005-0000-0000-00005F070000}"/>
    <cellStyle name="Normal 20 5 2 2 2" xfId="1888" xr:uid="{00000000-0005-0000-0000-000060070000}"/>
    <cellStyle name="Normal 20 5 2 3" xfId="1889" xr:uid="{00000000-0005-0000-0000-000061070000}"/>
    <cellStyle name="Normal 20 5 3" xfId="1890" xr:uid="{00000000-0005-0000-0000-000062070000}"/>
    <cellStyle name="Normal 20 5 3 2" xfId="1891" xr:uid="{00000000-0005-0000-0000-000063070000}"/>
    <cellStyle name="Normal 20 5 4" xfId="1892" xr:uid="{00000000-0005-0000-0000-000064070000}"/>
    <cellStyle name="Normal 20 6" xfId="1893" xr:uid="{00000000-0005-0000-0000-000065070000}"/>
    <cellStyle name="Normal 20 6 2" xfId="1894" xr:uid="{00000000-0005-0000-0000-000066070000}"/>
    <cellStyle name="Normal 20 6 2 2" xfId="1895" xr:uid="{00000000-0005-0000-0000-000067070000}"/>
    <cellStyle name="Normal 20 6 3" xfId="1896" xr:uid="{00000000-0005-0000-0000-000068070000}"/>
    <cellStyle name="Normal 20 7" xfId="1897" xr:uid="{00000000-0005-0000-0000-000069070000}"/>
    <cellStyle name="Normal 20 7 2" xfId="1898" xr:uid="{00000000-0005-0000-0000-00006A070000}"/>
    <cellStyle name="Normal 20 8" xfId="1899" xr:uid="{00000000-0005-0000-0000-00006B070000}"/>
    <cellStyle name="Normal 21" xfId="1900" xr:uid="{00000000-0005-0000-0000-00006C070000}"/>
    <cellStyle name="Normal 21 2" xfId="1901" xr:uid="{00000000-0005-0000-0000-00006D070000}"/>
    <cellStyle name="Normal 21 2 2" xfId="1902" xr:uid="{00000000-0005-0000-0000-00006E070000}"/>
    <cellStyle name="Normal 21 2 2 2" xfId="1903" xr:uid="{00000000-0005-0000-0000-00006F070000}"/>
    <cellStyle name="Normal 21 2 2 2 2" xfId="1904" xr:uid="{00000000-0005-0000-0000-000070070000}"/>
    <cellStyle name="Normal 21 2 2 2 2 2" xfId="1905" xr:uid="{00000000-0005-0000-0000-000071070000}"/>
    <cellStyle name="Normal 21 2 2 2 3" xfId="1906" xr:uid="{00000000-0005-0000-0000-000072070000}"/>
    <cellStyle name="Normal 21 2 2 2 4" xfId="1907" xr:uid="{00000000-0005-0000-0000-000073070000}"/>
    <cellStyle name="Normal 21 2 2 3" xfId="1908" xr:uid="{00000000-0005-0000-0000-000074070000}"/>
    <cellStyle name="Normal 21 2 2 3 2" xfId="1909" xr:uid="{00000000-0005-0000-0000-000075070000}"/>
    <cellStyle name="Normal 21 2 2 4" xfId="1910" xr:uid="{00000000-0005-0000-0000-000076070000}"/>
    <cellStyle name="Normal 21 2 2 4 2" xfId="1911" xr:uid="{00000000-0005-0000-0000-000077070000}"/>
    <cellStyle name="Normal 21 2 2 5" xfId="1912" xr:uid="{00000000-0005-0000-0000-000078070000}"/>
    <cellStyle name="Normal 21 2 2 6" xfId="1913" xr:uid="{00000000-0005-0000-0000-000079070000}"/>
    <cellStyle name="Normal 21 2 3" xfId="1914" xr:uid="{00000000-0005-0000-0000-00007A070000}"/>
    <cellStyle name="Normal 21 2 3 2" xfId="1915" xr:uid="{00000000-0005-0000-0000-00007B070000}"/>
    <cellStyle name="Normal 21 2 3 2 2" xfId="1916" xr:uid="{00000000-0005-0000-0000-00007C070000}"/>
    <cellStyle name="Normal 21 2 3 2 2 2" xfId="1917" xr:uid="{00000000-0005-0000-0000-00007D070000}"/>
    <cellStyle name="Normal 21 2 3 2 3" xfId="1918" xr:uid="{00000000-0005-0000-0000-00007E070000}"/>
    <cellStyle name="Normal 21 2 3 2 4" xfId="1919" xr:uid="{00000000-0005-0000-0000-00007F070000}"/>
    <cellStyle name="Normal 21 2 3 3" xfId="1920" xr:uid="{00000000-0005-0000-0000-000080070000}"/>
    <cellStyle name="Normal 21 2 3 3 2" xfId="1921" xr:uid="{00000000-0005-0000-0000-000081070000}"/>
    <cellStyle name="Normal 21 2 3 4" xfId="1922" xr:uid="{00000000-0005-0000-0000-000082070000}"/>
    <cellStyle name="Normal 21 2 3 5" xfId="1923" xr:uid="{00000000-0005-0000-0000-000083070000}"/>
    <cellStyle name="Normal 21 2 4" xfId="1924" xr:uid="{00000000-0005-0000-0000-000084070000}"/>
    <cellStyle name="Normal 21 2 4 2" xfId="1925" xr:uid="{00000000-0005-0000-0000-000085070000}"/>
    <cellStyle name="Normal 21 2 4 2 2" xfId="1926" xr:uid="{00000000-0005-0000-0000-000086070000}"/>
    <cellStyle name="Normal 21 2 4 3" xfId="1927" xr:uid="{00000000-0005-0000-0000-000087070000}"/>
    <cellStyle name="Normal 21 2 4 4" xfId="1928" xr:uid="{00000000-0005-0000-0000-000088070000}"/>
    <cellStyle name="Normal 21 2 5" xfId="1929" xr:uid="{00000000-0005-0000-0000-000089070000}"/>
    <cellStyle name="Normal 21 2 5 2" xfId="1930" xr:uid="{00000000-0005-0000-0000-00008A070000}"/>
    <cellStyle name="Normal 21 2 5 2 2" xfId="1931" xr:uid="{00000000-0005-0000-0000-00008B070000}"/>
    <cellStyle name="Normal 21 2 5 3" xfId="1932" xr:uid="{00000000-0005-0000-0000-00008C070000}"/>
    <cellStyle name="Normal 21 2 5 4" xfId="1933" xr:uid="{00000000-0005-0000-0000-00008D070000}"/>
    <cellStyle name="Normal 21 2 6" xfId="1934" xr:uid="{00000000-0005-0000-0000-00008E070000}"/>
    <cellStyle name="Normal 21 2 6 2" xfId="1935" xr:uid="{00000000-0005-0000-0000-00008F070000}"/>
    <cellStyle name="Normal 21 2 7" xfId="1936" xr:uid="{00000000-0005-0000-0000-000090070000}"/>
    <cellStyle name="Normal 21 2 7 2" xfId="1937" xr:uid="{00000000-0005-0000-0000-000091070000}"/>
    <cellStyle name="Normal 21 2 8" xfId="1938" xr:uid="{00000000-0005-0000-0000-000092070000}"/>
    <cellStyle name="Normal 21 2 9" xfId="1939" xr:uid="{00000000-0005-0000-0000-000093070000}"/>
    <cellStyle name="Normal 21 3" xfId="1940" xr:uid="{00000000-0005-0000-0000-000094070000}"/>
    <cellStyle name="Normal 21 3 2" xfId="1941" xr:uid="{00000000-0005-0000-0000-000095070000}"/>
    <cellStyle name="Normal 21 3 2 2" xfId="1942" xr:uid="{00000000-0005-0000-0000-000096070000}"/>
    <cellStyle name="Normal 21 3 2 2 2" xfId="1943" xr:uid="{00000000-0005-0000-0000-000097070000}"/>
    <cellStyle name="Normal 21 3 2 2 2 2" xfId="1944" xr:uid="{00000000-0005-0000-0000-000098070000}"/>
    <cellStyle name="Normal 21 3 2 2 3" xfId="1945" xr:uid="{00000000-0005-0000-0000-000099070000}"/>
    <cellStyle name="Normal 21 3 2 3" xfId="1946" xr:uid="{00000000-0005-0000-0000-00009A070000}"/>
    <cellStyle name="Normal 21 3 2 3 2" xfId="1947" xr:uid="{00000000-0005-0000-0000-00009B070000}"/>
    <cellStyle name="Normal 21 3 2 4" xfId="1948" xr:uid="{00000000-0005-0000-0000-00009C070000}"/>
    <cellStyle name="Normal 21 3 3" xfId="1949" xr:uid="{00000000-0005-0000-0000-00009D070000}"/>
    <cellStyle name="Normal 21 3 3 2" xfId="1950" xr:uid="{00000000-0005-0000-0000-00009E070000}"/>
    <cellStyle name="Normal 21 3 3 2 2" xfId="1951" xr:uid="{00000000-0005-0000-0000-00009F070000}"/>
    <cellStyle name="Normal 21 3 3 3" xfId="1952" xr:uid="{00000000-0005-0000-0000-0000A0070000}"/>
    <cellStyle name="Normal 21 3 4" xfId="1953" xr:uid="{00000000-0005-0000-0000-0000A1070000}"/>
    <cellStyle name="Normal 21 3 4 2" xfId="1954" xr:uid="{00000000-0005-0000-0000-0000A2070000}"/>
    <cellStyle name="Normal 21 3 5" xfId="1955" xr:uid="{00000000-0005-0000-0000-0000A3070000}"/>
    <cellStyle name="Normal 21 4" xfId="1956" xr:uid="{00000000-0005-0000-0000-0000A4070000}"/>
    <cellStyle name="Normal 21 4 2" xfId="1957" xr:uid="{00000000-0005-0000-0000-0000A5070000}"/>
    <cellStyle name="Normal 21 4 2 2" xfId="1958" xr:uid="{00000000-0005-0000-0000-0000A6070000}"/>
    <cellStyle name="Normal 21 4 2 2 2" xfId="1959" xr:uid="{00000000-0005-0000-0000-0000A7070000}"/>
    <cellStyle name="Normal 21 4 2 3" xfId="1960" xr:uid="{00000000-0005-0000-0000-0000A8070000}"/>
    <cellStyle name="Normal 21 4 3" xfId="1961" xr:uid="{00000000-0005-0000-0000-0000A9070000}"/>
    <cellStyle name="Normal 21 4 3 2" xfId="1962" xr:uid="{00000000-0005-0000-0000-0000AA070000}"/>
    <cellStyle name="Normal 21 4 4" xfId="1963" xr:uid="{00000000-0005-0000-0000-0000AB070000}"/>
    <cellStyle name="Normal 21 5" xfId="1964" xr:uid="{00000000-0005-0000-0000-0000AC070000}"/>
    <cellStyle name="Normal 21 5 2" xfId="1965" xr:uid="{00000000-0005-0000-0000-0000AD070000}"/>
    <cellStyle name="Normal 21 5 2 2" xfId="1966" xr:uid="{00000000-0005-0000-0000-0000AE070000}"/>
    <cellStyle name="Normal 21 5 2 2 2" xfId="1967" xr:uid="{00000000-0005-0000-0000-0000AF070000}"/>
    <cellStyle name="Normal 21 5 2 3" xfId="1968" xr:uid="{00000000-0005-0000-0000-0000B0070000}"/>
    <cellStyle name="Normal 21 5 3" xfId="1969" xr:uid="{00000000-0005-0000-0000-0000B1070000}"/>
    <cellStyle name="Normal 21 5 3 2" xfId="1970" xr:uid="{00000000-0005-0000-0000-0000B2070000}"/>
    <cellStyle name="Normal 21 5 4" xfId="1971" xr:uid="{00000000-0005-0000-0000-0000B3070000}"/>
    <cellStyle name="Normal 21 6" xfId="1972" xr:uid="{00000000-0005-0000-0000-0000B4070000}"/>
    <cellStyle name="Normal 21 6 2" xfId="1973" xr:uid="{00000000-0005-0000-0000-0000B5070000}"/>
    <cellStyle name="Normal 21 6 2 2" xfId="1974" xr:uid="{00000000-0005-0000-0000-0000B6070000}"/>
    <cellStyle name="Normal 21 6 3" xfId="1975" xr:uid="{00000000-0005-0000-0000-0000B7070000}"/>
    <cellStyle name="Normal 21 7" xfId="1976" xr:uid="{00000000-0005-0000-0000-0000B8070000}"/>
    <cellStyle name="Normal 21 7 2" xfId="1977" xr:uid="{00000000-0005-0000-0000-0000B9070000}"/>
    <cellStyle name="Normal 21 8" xfId="1978" xr:uid="{00000000-0005-0000-0000-0000BA070000}"/>
    <cellStyle name="Normal 22" xfId="1979" xr:uid="{00000000-0005-0000-0000-0000BB070000}"/>
    <cellStyle name="Normal 22 2" xfId="1980" xr:uid="{00000000-0005-0000-0000-0000BC070000}"/>
    <cellStyle name="Normal 22 2 2" xfId="1981" xr:uid="{00000000-0005-0000-0000-0000BD070000}"/>
    <cellStyle name="Normal 22 2 2 2" xfId="1982" xr:uid="{00000000-0005-0000-0000-0000BE070000}"/>
    <cellStyle name="Normal 22 2 2 2 2" xfId="1983" xr:uid="{00000000-0005-0000-0000-0000BF070000}"/>
    <cellStyle name="Normal 22 2 2 2 2 2" xfId="1984" xr:uid="{00000000-0005-0000-0000-0000C0070000}"/>
    <cellStyle name="Normal 22 2 2 2 3" xfId="1985" xr:uid="{00000000-0005-0000-0000-0000C1070000}"/>
    <cellStyle name="Normal 22 2 2 2 4" xfId="1986" xr:uid="{00000000-0005-0000-0000-0000C2070000}"/>
    <cellStyle name="Normal 22 2 2 3" xfId="1987" xr:uid="{00000000-0005-0000-0000-0000C3070000}"/>
    <cellStyle name="Normal 22 2 2 3 2" xfId="1988" xr:uid="{00000000-0005-0000-0000-0000C4070000}"/>
    <cellStyle name="Normal 22 2 2 4" xfId="1989" xr:uid="{00000000-0005-0000-0000-0000C5070000}"/>
    <cellStyle name="Normal 22 2 2 4 2" xfId="1990" xr:uid="{00000000-0005-0000-0000-0000C6070000}"/>
    <cellStyle name="Normal 22 2 2 5" xfId="1991" xr:uid="{00000000-0005-0000-0000-0000C7070000}"/>
    <cellStyle name="Normal 22 2 2 6" xfId="1992" xr:uid="{00000000-0005-0000-0000-0000C8070000}"/>
    <cellStyle name="Normal 22 2 3" xfId="1993" xr:uid="{00000000-0005-0000-0000-0000C9070000}"/>
    <cellStyle name="Normal 22 2 3 2" xfId="1994" xr:uid="{00000000-0005-0000-0000-0000CA070000}"/>
    <cellStyle name="Normal 22 2 3 2 2" xfId="1995" xr:uid="{00000000-0005-0000-0000-0000CB070000}"/>
    <cellStyle name="Normal 22 2 3 2 2 2" xfId="1996" xr:uid="{00000000-0005-0000-0000-0000CC070000}"/>
    <cellStyle name="Normal 22 2 3 2 3" xfId="1997" xr:uid="{00000000-0005-0000-0000-0000CD070000}"/>
    <cellStyle name="Normal 22 2 3 2 4" xfId="1998" xr:uid="{00000000-0005-0000-0000-0000CE070000}"/>
    <cellStyle name="Normal 22 2 3 3" xfId="1999" xr:uid="{00000000-0005-0000-0000-0000CF070000}"/>
    <cellStyle name="Normal 22 2 3 3 2" xfId="2000" xr:uid="{00000000-0005-0000-0000-0000D0070000}"/>
    <cellStyle name="Normal 22 2 3 4" xfId="2001" xr:uid="{00000000-0005-0000-0000-0000D1070000}"/>
    <cellStyle name="Normal 22 2 3 5" xfId="2002" xr:uid="{00000000-0005-0000-0000-0000D2070000}"/>
    <cellStyle name="Normal 22 2 4" xfId="2003" xr:uid="{00000000-0005-0000-0000-0000D3070000}"/>
    <cellStyle name="Normal 22 2 4 2" xfId="2004" xr:uid="{00000000-0005-0000-0000-0000D4070000}"/>
    <cellStyle name="Normal 22 2 4 2 2" xfId="2005" xr:uid="{00000000-0005-0000-0000-0000D5070000}"/>
    <cellStyle name="Normal 22 2 4 3" xfId="2006" xr:uid="{00000000-0005-0000-0000-0000D6070000}"/>
    <cellStyle name="Normal 22 2 4 4" xfId="2007" xr:uid="{00000000-0005-0000-0000-0000D7070000}"/>
    <cellStyle name="Normal 22 2 5" xfId="2008" xr:uid="{00000000-0005-0000-0000-0000D8070000}"/>
    <cellStyle name="Normal 22 2 5 2" xfId="2009" xr:uid="{00000000-0005-0000-0000-0000D9070000}"/>
    <cellStyle name="Normal 22 2 5 2 2" xfId="2010" xr:uid="{00000000-0005-0000-0000-0000DA070000}"/>
    <cellStyle name="Normal 22 2 5 3" xfId="2011" xr:uid="{00000000-0005-0000-0000-0000DB070000}"/>
    <cellStyle name="Normal 22 2 5 4" xfId="2012" xr:uid="{00000000-0005-0000-0000-0000DC070000}"/>
    <cellStyle name="Normal 22 2 6" xfId="2013" xr:uid="{00000000-0005-0000-0000-0000DD070000}"/>
    <cellStyle name="Normal 22 2 6 2" xfId="2014" xr:uid="{00000000-0005-0000-0000-0000DE070000}"/>
    <cellStyle name="Normal 22 2 7" xfId="2015" xr:uid="{00000000-0005-0000-0000-0000DF070000}"/>
    <cellStyle name="Normal 22 2 7 2" xfId="2016" xr:uid="{00000000-0005-0000-0000-0000E0070000}"/>
    <cellStyle name="Normal 22 2 8" xfId="2017" xr:uid="{00000000-0005-0000-0000-0000E1070000}"/>
    <cellStyle name="Normal 22 2 9" xfId="2018" xr:uid="{00000000-0005-0000-0000-0000E2070000}"/>
    <cellStyle name="Normal 22 3" xfId="2019" xr:uid="{00000000-0005-0000-0000-0000E3070000}"/>
    <cellStyle name="Normal 22 3 2" xfId="2020" xr:uid="{00000000-0005-0000-0000-0000E4070000}"/>
    <cellStyle name="Normal 22 3 2 2" xfId="2021" xr:uid="{00000000-0005-0000-0000-0000E5070000}"/>
    <cellStyle name="Normal 22 3 2 2 2" xfId="2022" xr:uid="{00000000-0005-0000-0000-0000E6070000}"/>
    <cellStyle name="Normal 22 3 2 2 2 2" xfId="2023" xr:uid="{00000000-0005-0000-0000-0000E7070000}"/>
    <cellStyle name="Normal 22 3 2 2 3" xfId="2024" xr:uid="{00000000-0005-0000-0000-0000E8070000}"/>
    <cellStyle name="Normal 22 3 2 3" xfId="2025" xr:uid="{00000000-0005-0000-0000-0000E9070000}"/>
    <cellStyle name="Normal 22 3 2 3 2" xfId="2026" xr:uid="{00000000-0005-0000-0000-0000EA070000}"/>
    <cellStyle name="Normal 22 3 2 4" xfId="2027" xr:uid="{00000000-0005-0000-0000-0000EB070000}"/>
    <cellStyle name="Normal 22 3 3" xfId="2028" xr:uid="{00000000-0005-0000-0000-0000EC070000}"/>
    <cellStyle name="Normal 22 3 3 2" xfId="2029" xr:uid="{00000000-0005-0000-0000-0000ED070000}"/>
    <cellStyle name="Normal 22 3 3 2 2" xfId="2030" xr:uid="{00000000-0005-0000-0000-0000EE070000}"/>
    <cellStyle name="Normal 22 3 3 3" xfId="2031" xr:uid="{00000000-0005-0000-0000-0000EF070000}"/>
    <cellStyle name="Normal 22 3 4" xfId="2032" xr:uid="{00000000-0005-0000-0000-0000F0070000}"/>
    <cellStyle name="Normal 22 3 4 2" xfId="2033" xr:uid="{00000000-0005-0000-0000-0000F1070000}"/>
    <cellStyle name="Normal 22 3 5" xfId="2034" xr:uid="{00000000-0005-0000-0000-0000F2070000}"/>
    <cellStyle name="Normal 22 4" xfId="2035" xr:uid="{00000000-0005-0000-0000-0000F3070000}"/>
    <cellStyle name="Normal 22 4 2" xfId="2036" xr:uid="{00000000-0005-0000-0000-0000F4070000}"/>
    <cellStyle name="Normal 22 4 2 2" xfId="2037" xr:uid="{00000000-0005-0000-0000-0000F5070000}"/>
    <cellStyle name="Normal 22 4 2 2 2" xfId="2038" xr:uid="{00000000-0005-0000-0000-0000F6070000}"/>
    <cellStyle name="Normal 22 4 2 3" xfId="2039" xr:uid="{00000000-0005-0000-0000-0000F7070000}"/>
    <cellStyle name="Normal 22 4 3" xfId="2040" xr:uid="{00000000-0005-0000-0000-0000F8070000}"/>
    <cellStyle name="Normal 22 4 3 2" xfId="2041" xr:uid="{00000000-0005-0000-0000-0000F9070000}"/>
    <cellStyle name="Normal 22 4 4" xfId="2042" xr:uid="{00000000-0005-0000-0000-0000FA070000}"/>
    <cellStyle name="Normal 22 5" xfId="2043" xr:uid="{00000000-0005-0000-0000-0000FB070000}"/>
    <cellStyle name="Normal 22 5 2" xfId="2044" xr:uid="{00000000-0005-0000-0000-0000FC070000}"/>
    <cellStyle name="Normal 22 5 2 2" xfId="2045" xr:uid="{00000000-0005-0000-0000-0000FD070000}"/>
    <cellStyle name="Normal 22 5 2 2 2" xfId="2046" xr:uid="{00000000-0005-0000-0000-0000FE070000}"/>
    <cellStyle name="Normal 22 5 2 3" xfId="2047" xr:uid="{00000000-0005-0000-0000-0000FF070000}"/>
    <cellStyle name="Normal 22 5 3" xfId="2048" xr:uid="{00000000-0005-0000-0000-000000080000}"/>
    <cellStyle name="Normal 22 5 3 2" xfId="2049" xr:uid="{00000000-0005-0000-0000-000001080000}"/>
    <cellStyle name="Normal 22 5 4" xfId="2050" xr:uid="{00000000-0005-0000-0000-000002080000}"/>
    <cellStyle name="Normal 22 6" xfId="2051" xr:uid="{00000000-0005-0000-0000-000003080000}"/>
    <cellStyle name="Normal 22 6 2" xfId="2052" xr:uid="{00000000-0005-0000-0000-000004080000}"/>
    <cellStyle name="Normal 22 6 2 2" xfId="2053" xr:uid="{00000000-0005-0000-0000-000005080000}"/>
    <cellStyle name="Normal 22 6 3" xfId="2054" xr:uid="{00000000-0005-0000-0000-000006080000}"/>
    <cellStyle name="Normal 22 7" xfId="2055" xr:uid="{00000000-0005-0000-0000-000007080000}"/>
    <cellStyle name="Normal 22 7 2" xfId="2056" xr:uid="{00000000-0005-0000-0000-000008080000}"/>
    <cellStyle name="Normal 22 8" xfId="2057" xr:uid="{00000000-0005-0000-0000-000009080000}"/>
    <cellStyle name="Normal 23" xfId="2058" xr:uid="{00000000-0005-0000-0000-00000A080000}"/>
    <cellStyle name="Normal 23 2" xfId="2059" xr:uid="{00000000-0005-0000-0000-00000B080000}"/>
    <cellStyle name="Normal 23 2 2" xfId="2060" xr:uid="{00000000-0005-0000-0000-00000C080000}"/>
    <cellStyle name="Normal 23 2 2 2" xfId="2061" xr:uid="{00000000-0005-0000-0000-00000D080000}"/>
    <cellStyle name="Normal 23 2 2 2 2" xfId="2062" xr:uid="{00000000-0005-0000-0000-00000E080000}"/>
    <cellStyle name="Normal 23 2 2 2 2 2" xfId="2063" xr:uid="{00000000-0005-0000-0000-00000F080000}"/>
    <cellStyle name="Normal 23 2 2 2 3" xfId="2064" xr:uid="{00000000-0005-0000-0000-000010080000}"/>
    <cellStyle name="Normal 23 2 2 2 4" xfId="2065" xr:uid="{00000000-0005-0000-0000-000011080000}"/>
    <cellStyle name="Normal 23 2 2 3" xfId="2066" xr:uid="{00000000-0005-0000-0000-000012080000}"/>
    <cellStyle name="Normal 23 2 2 3 2" xfId="2067" xr:uid="{00000000-0005-0000-0000-000013080000}"/>
    <cellStyle name="Normal 23 2 2 4" xfId="2068" xr:uid="{00000000-0005-0000-0000-000014080000}"/>
    <cellStyle name="Normal 23 2 2 4 2" xfId="2069" xr:uid="{00000000-0005-0000-0000-000015080000}"/>
    <cellStyle name="Normal 23 2 2 5" xfId="2070" xr:uid="{00000000-0005-0000-0000-000016080000}"/>
    <cellStyle name="Normal 23 2 2 6" xfId="2071" xr:uid="{00000000-0005-0000-0000-000017080000}"/>
    <cellStyle name="Normal 23 2 3" xfId="2072" xr:uid="{00000000-0005-0000-0000-000018080000}"/>
    <cellStyle name="Normal 23 2 3 2" xfId="2073" xr:uid="{00000000-0005-0000-0000-000019080000}"/>
    <cellStyle name="Normal 23 2 3 2 2" xfId="2074" xr:uid="{00000000-0005-0000-0000-00001A080000}"/>
    <cellStyle name="Normal 23 2 3 2 2 2" xfId="2075" xr:uid="{00000000-0005-0000-0000-00001B080000}"/>
    <cellStyle name="Normal 23 2 3 2 3" xfId="2076" xr:uid="{00000000-0005-0000-0000-00001C080000}"/>
    <cellStyle name="Normal 23 2 3 2 4" xfId="2077" xr:uid="{00000000-0005-0000-0000-00001D080000}"/>
    <cellStyle name="Normal 23 2 3 3" xfId="2078" xr:uid="{00000000-0005-0000-0000-00001E080000}"/>
    <cellStyle name="Normal 23 2 3 3 2" xfId="2079" xr:uid="{00000000-0005-0000-0000-00001F080000}"/>
    <cellStyle name="Normal 23 2 3 4" xfId="2080" xr:uid="{00000000-0005-0000-0000-000020080000}"/>
    <cellStyle name="Normal 23 2 3 5" xfId="2081" xr:uid="{00000000-0005-0000-0000-000021080000}"/>
    <cellStyle name="Normal 23 2 4" xfId="2082" xr:uid="{00000000-0005-0000-0000-000022080000}"/>
    <cellStyle name="Normal 23 2 4 2" xfId="2083" xr:uid="{00000000-0005-0000-0000-000023080000}"/>
    <cellStyle name="Normal 23 2 4 2 2" xfId="2084" xr:uid="{00000000-0005-0000-0000-000024080000}"/>
    <cellStyle name="Normal 23 2 4 3" xfId="2085" xr:uid="{00000000-0005-0000-0000-000025080000}"/>
    <cellStyle name="Normal 23 2 4 4" xfId="2086" xr:uid="{00000000-0005-0000-0000-000026080000}"/>
    <cellStyle name="Normal 23 2 5" xfId="2087" xr:uid="{00000000-0005-0000-0000-000027080000}"/>
    <cellStyle name="Normal 23 2 5 2" xfId="2088" xr:uid="{00000000-0005-0000-0000-000028080000}"/>
    <cellStyle name="Normal 23 2 5 2 2" xfId="2089" xr:uid="{00000000-0005-0000-0000-000029080000}"/>
    <cellStyle name="Normal 23 2 5 3" xfId="2090" xr:uid="{00000000-0005-0000-0000-00002A080000}"/>
    <cellStyle name="Normal 23 2 5 4" xfId="2091" xr:uid="{00000000-0005-0000-0000-00002B080000}"/>
    <cellStyle name="Normal 23 2 6" xfId="2092" xr:uid="{00000000-0005-0000-0000-00002C080000}"/>
    <cellStyle name="Normal 23 2 6 2" xfId="2093" xr:uid="{00000000-0005-0000-0000-00002D080000}"/>
    <cellStyle name="Normal 23 2 7" xfId="2094" xr:uid="{00000000-0005-0000-0000-00002E080000}"/>
    <cellStyle name="Normal 23 2 7 2" xfId="2095" xr:uid="{00000000-0005-0000-0000-00002F080000}"/>
    <cellStyle name="Normal 23 2 8" xfId="2096" xr:uid="{00000000-0005-0000-0000-000030080000}"/>
    <cellStyle name="Normal 23 2 9" xfId="2097" xr:uid="{00000000-0005-0000-0000-000031080000}"/>
    <cellStyle name="Normal 23 3" xfId="2098" xr:uid="{00000000-0005-0000-0000-000032080000}"/>
    <cellStyle name="Normal 23 3 2" xfId="2099" xr:uid="{00000000-0005-0000-0000-000033080000}"/>
    <cellStyle name="Normal 23 3 2 2" xfId="2100" xr:uid="{00000000-0005-0000-0000-000034080000}"/>
    <cellStyle name="Normal 23 3 2 2 2" xfId="2101" xr:uid="{00000000-0005-0000-0000-000035080000}"/>
    <cellStyle name="Normal 23 3 2 2 2 2" xfId="2102" xr:uid="{00000000-0005-0000-0000-000036080000}"/>
    <cellStyle name="Normal 23 3 2 2 3" xfId="2103" xr:uid="{00000000-0005-0000-0000-000037080000}"/>
    <cellStyle name="Normal 23 3 2 3" xfId="2104" xr:uid="{00000000-0005-0000-0000-000038080000}"/>
    <cellStyle name="Normal 23 3 2 3 2" xfId="2105" xr:uid="{00000000-0005-0000-0000-000039080000}"/>
    <cellStyle name="Normal 23 3 2 4" xfId="2106" xr:uid="{00000000-0005-0000-0000-00003A080000}"/>
    <cellStyle name="Normal 23 3 3" xfId="2107" xr:uid="{00000000-0005-0000-0000-00003B080000}"/>
    <cellStyle name="Normal 23 3 3 2" xfId="2108" xr:uid="{00000000-0005-0000-0000-00003C080000}"/>
    <cellStyle name="Normal 23 3 3 2 2" xfId="2109" xr:uid="{00000000-0005-0000-0000-00003D080000}"/>
    <cellStyle name="Normal 23 3 3 3" xfId="2110" xr:uid="{00000000-0005-0000-0000-00003E080000}"/>
    <cellStyle name="Normal 23 3 4" xfId="2111" xr:uid="{00000000-0005-0000-0000-00003F080000}"/>
    <cellStyle name="Normal 23 3 4 2" xfId="2112" xr:uid="{00000000-0005-0000-0000-000040080000}"/>
    <cellStyle name="Normal 23 3 5" xfId="2113" xr:uid="{00000000-0005-0000-0000-000041080000}"/>
    <cellStyle name="Normal 23 4" xfId="2114" xr:uid="{00000000-0005-0000-0000-000042080000}"/>
    <cellStyle name="Normal 23 4 2" xfId="2115" xr:uid="{00000000-0005-0000-0000-000043080000}"/>
    <cellStyle name="Normal 23 4 2 2" xfId="2116" xr:uid="{00000000-0005-0000-0000-000044080000}"/>
    <cellStyle name="Normal 23 4 2 2 2" xfId="2117" xr:uid="{00000000-0005-0000-0000-000045080000}"/>
    <cellStyle name="Normal 23 4 2 3" xfId="2118" xr:uid="{00000000-0005-0000-0000-000046080000}"/>
    <cellStyle name="Normal 23 4 3" xfId="2119" xr:uid="{00000000-0005-0000-0000-000047080000}"/>
    <cellStyle name="Normal 23 4 3 2" xfId="2120" xr:uid="{00000000-0005-0000-0000-000048080000}"/>
    <cellStyle name="Normal 23 4 4" xfId="2121" xr:uid="{00000000-0005-0000-0000-000049080000}"/>
    <cellStyle name="Normal 23 5" xfId="2122" xr:uid="{00000000-0005-0000-0000-00004A080000}"/>
    <cellStyle name="Normal 23 5 2" xfId="2123" xr:uid="{00000000-0005-0000-0000-00004B080000}"/>
    <cellStyle name="Normal 23 5 2 2" xfId="2124" xr:uid="{00000000-0005-0000-0000-00004C080000}"/>
    <cellStyle name="Normal 23 5 3" xfId="2125" xr:uid="{00000000-0005-0000-0000-00004D080000}"/>
    <cellStyle name="Normal 23 6" xfId="2126" xr:uid="{00000000-0005-0000-0000-00004E080000}"/>
    <cellStyle name="Normal 23 6 2" xfId="2127" xr:uid="{00000000-0005-0000-0000-00004F080000}"/>
    <cellStyle name="Normal 23 7" xfId="2128" xr:uid="{00000000-0005-0000-0000-000050080000}"/>
    <cellStyle name="Normal 24" xfId="2129" xr:uid="{00000000-0005-0000-0000-000051080000}"/>
    <cellStyle name="Normal 24 2" xfId="2130" xr:uid="{00000000-0005-0000-0000-000052080000}"/>
    <cellStyle name="Normal 24 2 2" xfId="2131" xr:uid="{00000000-0005-0000-0000-000053080000}"/>
    <cellStyle name="Normal 24 2 2 2" xfId="2132" xr:uid="{00000000-0005-0000-0000-000054080000}"/>
    <cellStyle name="Normal 24 2 2 2 2" xfId="2133" xr:uid="{00000000-0005-0000-0000-000055080000}"/>
    <cellStyle name="Normal 24 2 2 2 2 2" xfId="2134" xr:uid="{00000000-0005-0000-0000-000056080000}"/>
    <cellStyle name="Normal 24 2 2 2 3" xfId="2135" xr:uid="{00000000-0005-0000-0000-000057080000}"/>
    <cellStyle name="Normal 24 2 2 2 4" xfId="2136" xr:uid="{00000000-0005-0000-0000-000058080000}"/>
    <cellStyle name="Normal 24 2 2 3" xfId="2137" xr:uid="{00000000-0005-0000-0000-000059080000}"/>
    <cellStyle name="Normal 24 2 2 3 2" xfId="2138" xr:uid="{00000000-0005-0000-0000-00005A080000}"/>
    <cellStyle name="Normal 24 2 2 4" xfId="2139" xr:uid="{00000000-0005-0000-0000-00005B080000}"/>
    <cellStyle name="Normal 24 2 2 4 2" xfId="2140" xr:uid="{00000000-0005-0000-0000-00005C080000}"/>
    <cellStyle name="Normal 24 2 2 5" xfId="2141" xr:uid="{00000000-0005-0000-0000-00005D080000}"/>
    <cellStyle name="Normal 24 2 2 6" xfId="2142" xr:uid="{00000000-0005-0000-0000-00005E080000}"/>
    <cellStyle name="Normal 24 2 3" xfId="2143" xr:uid="{00000000-0005-0000-0000-00005F080000}"/>
    <cellStyle name="Normal 24 2 3 2" xfId="2144" xr:uid="{00000000-0005-0000-0000-000060080000}"/>
    <cellStyle name="Normal 24 2 3 2 2" xfId="2145" xr:uid="{00000000-0005-0000-0000-000061080000}"/>
    <cellStyle name="Normal 24 2 3 2 2 2" xfId="2146" xr:uid="{00000000-0005-0000-0000-000062080000}"/>
    <cellStyle name="Normal 24 2 3 2 3" xfId="2147" xr:uid="{00000000-0005-0000-0000-000063080000}"/>
    <cellStyle name="Normal 24 2 3 2 4" xfId="2148" xr:uid="{00000000-0005-0000-0000-000064080000}"/>
    <cellStyle name="Normal 24 2 3 3" xfId="2149" xr:uid="{00000000-0005-0000-0000-000065080000}"/>
    <cellStyle name="Normal 24 2 3 3 2" xfId="2150" xr:uid="{00000000-0005-0000-0000-000066080000}"/>
    <cellStyle name="Normal 24 2 3 4" xfId="2151" xr:uid="{00000000-0005-0000-0000-000067080000}"/>
    <cellStyle name="Normal 24 2 3 5" xfId="2152" xr:uid="{00000000-0005-0000-0000-000068080000}"/>
    <cellStyle name="Normal 24 2 4" xfId="2153" xr:uid="{00000000-0005-0000-0000-000069080000}"/>
    <cellStyle name="Normal 24 2 4 2" xfId="2154" xr:uid="{00000000-0005-0000-0000-00006A080000}"/>
    <cellStyle name="Normal 24 2 4 2 2" xfId="2155" xr:uid="{00000000-0005-0000-0000-00006B080000}"/>
    <cellStyle name="Normal 24 2 4 3" xfId="2156" xr:uid="{00000000-0005-0000-0000-00006C080000}"/>
    <cellStyle name="Normal 24 2 4 4" xfId="2157" xr:uid="{00000000-0005-0000-0000-00006D080000}"/>
    <cellStyle name="Normal 24 2 5" xfId="2158" xr:uid="{00000000-0005-0000-0000-00006E080000}"/>
    <cellStyle name="Normal 24 2 5 2" xfId="2159" xr:uid="{00000000-0005-0000-0000-00006F080000}"/>
    <cellStyle name="Normal 24 2 5 2 2" xfId="2160" xr:uid="{00000000-0005-0000-0000-000070080000}"/>
    <cellStyle name="Normal 24 2 5 3" xfId="2161" xr:uid="{00000000-0005-0000-0000-000071080000}"/>
    <cellStyle name="Normal 24 2 5 4" xfId="2162" xr:uid="{00000000-0005-0000-0000-000072080000}"/>
    <cellStyle name="Normal 24 2 6" xfId="2163" xr:uid="{00000000-0005-0000-0000-000073080000}"/>
    <cellStyle name="Normal 24 2 6 2" xfId="2164" xr:uid="{00000000-0005-0000-0000-000074080000}"/>
    <cellStyle name="Normal 24 2 7" xfId="2165" xr:uid="{00000000-0005-0000-0000-000075080000}"/>
    <cellStyle name="Normal 24 2 7 2" xfId="2166" xr:uid="{00000000-0005-0000-0000-000076080000}"/>
    <cellStyle name="Normal 24 2 8" xfId="2167" xr:uid="{00000000-0005-0000-0000-000077080000}"/>
    <cellStyle name="Normal 24 2 9" xfId="2168" xr:uid="{00000000-0005-0000-0000-000078080000}"/>
    <cellStyle name="Normal 24 3" xfId="2169" xr:uid="{00000000-0005-0000-0000-000079080000}"/>
    <cellStyle name="Normal 24 3 2" xfId="2170" xr:uid="{00000000-0005-0000-0000-00007A080000}"/>
    <cellStyle name="Normal 24 3 2 2" xfId="2171" xr:uid="{00000000-0005-0000-0000-00007B080000}"/>
    <cellStyle name="Normal 24 3 2 2 2" xfId="2172" xr:uid="{00000000-0005-0000-0000-00007C080000}"/>
    <cellStyle name="Normal 24 3 2 2 2 2" xfId="2173" xr:uid="{00000000-0005-0000-0000-00007D080000}"/>
    <cellStyle name="Normal 24 3 2 2 3" xfId="2174" xr:uid="{00000000-0005-0000-0000-00007E080000}"/>
    <cellStyle name="Normal 24 3 2 3" xfId="2175" xr:uid="{00000000-0005-0000-0000-00007F080000}"/>
    <cellStyle name="Normal 24 3 2 3 2" xfId="2176" xr:uid="{00000000-0005-0000-0000-000080080000}"/>
    <cellStyle name="Normal 24 3 2 4" xfId="2177" xr:uid="{00000000-0005-0000-0000-000081080000}"/>
    <cellStyle name="Normal 24 3 3" xfId="2178" xr:uid="{00000000-0005-0000-0000-000082080000}"/>
    <cellStyle name="Normal 24 3 3 2" xfId="2179" xr:uid="{00000000-0005-0000-0000-000083080000}"/>
    <cellStyle name="Normal 24 3 3 2 2" xfId="2180" xr:uid="{00000000-0005-0000-0000-000084080000}"/>
    <cellStyle name="Normal 24 3 3 3" xfId="2181" xr:uid="{00000000-0005-0000-0000-000085080000}"/>
    <cellStyle name="Normal 24 3 4" xfId="2182" xr:uid="{00000000-0005-0000-0000-000086080000}"/>
    <cellStyle name="Normal 24 3 4 2" xfId="2183" xr:uid="{00000000-0005-0000-0000-000087080000}"/>
    <cellStyle name="Normal 24 3 5" xfId="2184" xr:uid="{00000000-0005-0000-0000-000088080000}"/>
    <cellStyle name="Normal 24 4" xfId="2185" xr:uid="{00000000-0005-0000-0000-000089080000}"/>
    <cellStyle name="Normal 24 4 2" xfId="2186" xr:uid="{00000000-0005-0000-0000-00008A080000}"/>
    <cellStyle name="Normal 24 4 2 2" xfId="2187" xr:uid="{00000000-0005-0000-0000-00008B080000}"/>
    <cellStyle name="Normal 24 4 2 2 2" xfId="2188" xr:uid="{00000000-0005-0000-0000-00008C080000}"/>
    <cellStyle name="Normal 24 4 2 3" xfId="2189" xr:uid="{00000000-0005-0000-0000-00008D080000}"/>
    <cellStyle name="Normal 24 4 3" xfId="2190" xr:uid="{00000000-0005-0000-0000-00008E080000}"/>
    <cellStyle name="Normal 24 4 3 2" xfId="2191" xr:uid="{00000000-0005-0000-0000-00008F080000}"/>
    <cellStyle name="Normal 24 4 4" xfId="2192" xr:uid="{00000000-0005-0000-0000-000090080000}"/>
    <cellStyle name="Normal 24 5" xfId="2193" xr:uid="{00000000-0005-0000-0000-000091080000}"/>
    <cellStyle name="Normal 24 5 2" xfId="2194" xr:uid="{00000000-0005-0000-0000-000092080000}"/>
    <cellStyle name="Normal 24 5 2 2" xfId="2195" xr:uid="{00000000-0005-0000-0000-000093080000}"/>
    <cellStyle name="Normal 24 5 2 2 2" xfId="2196" xr:uid="{00000000-0005-0000-0000-000094080000}"/>
    <cellStyle name="Normal 24 5 2 3" xfId="2197" xr:uid="{00000000-0005-0000-0000-000095080000}"/>
    <cellStyle name="Normal 24 5 3" xfId="2198" xr:uid="{00000000-0005-0000-0000-000096080000}"/>
    <cellStyle name="Normal 24 5 3 2" xfId="2199" xr:uid="{00000000-0005-0000-0000-000097080000}"/>
    <cellStyle name="Normal 24 5 4" xfId="2200" xr:uid="{00000000-0005-0000-0000-000098080000}"/>
    <cellStyle name="Normal 24 6" xfId="2201" xr:uid="{00000000-0005-0000-0000-000099080000}"/>
    <cellStyle name="Normal 24 6 2" xfId="2202" xr:uid="{00000000-0005-0000-0000-00009A080000}"/>
    <cellStyle name="Normal 24 6 2 2" xfId="2203" xr:uid="{00000000-0005-0000-0000-00009B080000}"/>
    <cellStyle name="Normal 24 6 3" xfId="2204" xr:uid="{00000000-0005-0000-0000-00009C080000}"/>
    <cellStyle name="Normal 24 7" xfId="2205" xr:uid="{00000000-0005-0000-0000-00009D080000}"/>
    <cellStyle name="Normal 24 7 2" xfId="2206" xr:uid="{00000000-0005-0000-0000-00009E080000}"/>
    <cellStyle name="Normal 24 8" xfId="2207" xr:uid="{00000000-0005-0000-0000-00009F080000}"/>
    <cellStyle name="Normal 25" xfId="2208" xr:uid="{00000000-0005-0000-0000-0000A0080000}"/>
    <cellStyle name="Normal 25 2" xfId="2209" xr:uid="{00000000-0005-0000-0000-0000A1080000}"/>
    <cellStyle name="Normal 25 2 2" xfId="2210" xr:uid="{00000000-0005-0000-0000-0000A2080000}"/>
    <cellStyle name="Normal 25 2 2 2" xfId="2211" xr:uid="{00000000-0005-0000-0000-0000A3080000}"/>
    <cellStyle name="Normal 25 2 2 2 2" xfId="2212" xr:uid="{00000000-0005-0000-0000-0000A4080000}"/>
    <cellStyle name="Normal 25 2 2 2 2 2" xfId="2213" xr:uid="{00000000-0005-0000-0000-0000A5080000}"/>
    <cellStyle name="Normal 25 2 2 2 3" xfId="2214" xr:uid="{00000000-0005-0000-0000-0000A6080000}"/>
    <cellStyle name="Normal 25 2 2 2 4" xfId="2215" xr:uid="{00000000-0005-0000-0000-0000A7080000}"/>
    <cellStyle name="Normal 25 2 2 3" xfId="2216" xr:uid="{00000000-0005-0000-0000-0000A8080000}"/>
    <cellStyle name="Normal 25 2 2 3 2" xfId="2217" xr:uid="{00000000-0005-0000-0000-0000A9080000}"/>
    <cellStyle name="Normal 25 2 2 4" xfId="2218" xr:uid="{00000000-0005-0000-0000-0000AA080000}"/>
    <cellStyle name="Normal 25 2 2 4 2" xfId="2219" xr:uid="{00000000-0005-0000-0000-0000AB080000}"/>
    <cellStyle name="Normal 25 2 2 5" xfId="2220" xr:uid="{00000000-0005-0000-0000-0000AC080000}"/>
    <cellStyle name="Normal 25 2 2 6" xfId="2221" xr:uid="{00000000-0005-0000-0000-0000AD080000}"/>
    <cellStyle name="Normal 25 2 3" xfId="2222" xr:uid="{00000000-0005-0000-0000-0000AE080000}"/>
    <cellStyle name="Normal 25 2 3 2" xfId="2223" xr:uid="{00000000-0005-0000-0000-0000AF080000}"/>
    <cellStyle name="Normal 25 2 3 2 2" xfId="2224" xr:uid="{00000000-0005-0000-0000-0000B0080000}"/>
    <cellStyle name="Normal 25 2 3 2 2 2" xfId="2225" xr:uid="{00000000-0005-0000-0000-0000B1080000}"/>
    <cellStyle name="Normal 25 2 3 2 3" xfId="2226" xr:uid="{00000000-0005-0000-0000-0000B2080000}"/>
    <cellStyle name="Normal 25 2 3 2 4" xfId="2227" xr:uid="{00000000-0005-0000-0000-0000B3080000}"/>
    <cellStyle name="Normal 25 2 3 3" xfId="2228" xr:uid="{00000000-0005-0000-0000-0000B4080000}"/>
    <cellStyle name="Normal 25 2 3 3 2" xfId="2229" xr:uid="{00000000-0005-0000-0000-0000B5080000}"/>
    <cellStyle name="Normal 25 2 3 4" xfId="2230" xr:uid="{00000000-0005-0000-0000-0000B6080000}"/>
    <cellStyle name="Normal 25 2 3 5" xfId="2231" xr:uid="{00000000-0005-0000-0000-0000B7080000}"/>
    <cellStyle name="Normal 25 2 4" xfId="2232" xr:uid="{00000000-0005-0000-0000-0000B8080000}"/>
    <cellStyle name="Normal 25 2 4 2" xfId="2233" xr:uid="{00000000-0005-0000-0000-0000B9080000}"/>
    <cellStyle name="Normal 25 2 4 2 2" xfId="2234" xr:uid="{00000000-0005-0000-0000-0000BA080000}"/>
    <cellStyle name="Normal 25 2 4 3" xfId="2235" xr:uid="{00000000-0005-0000-0000-0000BB080000}"/>
    <cellStyle name="Normal 25 2 4 4" xfId="2236" xr:uid="{00000000-0005-0000-0000-0000BC080000}"/>
    <cellStyle name="Normal 25 2 5" xfId="2237" xr:uid="{00000000-0005-0000-0000-0000BD080000}"/>
    <cellStyle name="Normal 25 2 5 2" xfId="2238" xr:uid="{00000000-0005-0000-0000-0000BE080000}"/>
    <cellStyle name="Normal 25 2 5 2 2" xfId="2239" xr:uid="{00000000-0005-0000-0000-0000BF080000}"/>
    <cellStyle name="Normal 25 2 5 3" xfId="2240" xr:uid="{00000000-0005-0000-0000-0000C0080000}"/>
    <cellStyle name="Normal 25 2 5 4" xfId="2241" xr:uid="{00000000-0005-0000-0000-0000C1080000}"/>
    <cellStyle name="Normal 25 2 6" xfId="2242" xr:uid="{00000000-0005-0000-0000-0000C2080000}"/>
    <cellStyle name="Normal 25 2 6 2" xfId="2243" xr:uid="{00000000-0005-0000-0000-0000C3080000}"/>
    <cellStyle name="Normal 25 2 7" xfId="2244" xr:uid="{00000000-0005-0000-0000-0000C4080000}"/>
    <cellStyle name="Normal 25 2 7 2" xfId="2245" xr:uid="{00000000-0005-0000-0000-0000C5080000}"/>
    <cellStyle name="Normal 25 2 8" xfId="2246" xr:uid="{00000000-0005-0000-0000-0000C6080000}"/>
    <cellStyle name="Normal 25 2 9" xfId="2247" xr:uid="{00000000-0005-0000-0000-0000C7080000}"/>
    <cellStyle name="Normal 25 3" xfId="2248" xr:uid="{00000000-0005-0000-0000-0000C8080000}"/>
    <cellStyle name="Normal 25 3 2" xfId="2249" xr:uid="{00000000-0005-0000-0000-0000C9080000}"/>
    <cellStyle name="Normal 25 3 2 2" xfId="2250" xr:uid="{00000000-0005-0000-0000-0000CA080000}"/>
    <cellStyle name="Normal 25 3 2 2 2" xfId="2251" xr:uid="{00000000-0005-0000-0000-0000CB080000}"/>
    <cellStyle name="Normal 25 3 2 2 2 2" xfId="2252" xr:uid="{00000000-0005-0000-0000-0000CC080000}"/>
    <cellStyle name="Normal 25 3 2 2 3" xfId="2253" xr:uid="{00000000-0005-0000-0000-0000CD080000}"/>
    <cellStyle name="Normal 25 3 2 3" xfId="2254" xr:uid="{00000000-0005-0000-0000-0000CE080000}"/>
    <cellStyle name="Normal 25 3 2 3 2" xfId="2255" xr:uid="{00000000-0005-0000-0000-0000CF080000}"/>
    <cellStyle name="Normal 25 3 2 4" xfId="2256" xr:uid="{00000000-0005-0000-0000-0000D0080000}"/>
    <cellStyle name="Normal 25 3 3" xfId="2257" xr:uid="{00000000-0005-0000-0000-0000D1080000}"/>
    <cellStyle name="Normal 25 3 3 2" xfId="2258" xr:uid="{00000000-0005-0000-0000-0000D2080000}"/>
    <cellStyle name="Normal 25 3 3 2 2" xfId="2259" xr:uid="{00000000-0005-0000-0000-0000D3080000}"/>
    <cellStyle name="Normal 25 3 3 3" xfId="2260" xr:uid="{00000000-0005-0000-0000-0000D4080000}"/>
    <cellStyle name="Normal 25 3 4" xfId="2261" xr:uid="{00000000-0005-0000-0000-0000D5080000}"/>
    <cellStyle name="Normal 25 3 4 2" xfId="2262" xr:uid="{00000000-0005-0000-0000-0000D6080000}"/>
    <cellStyle name="Normal 25 3 5" xfId="2263" xr:uid="{00000000-0005-0000-0000-0000D7080000}"/>
    <cellStyle name="Normal 25 4" xfId="2264" xr:uid="{00000000-0005-0000-0000-0000D8080000}"/>
    <cellStyle name="Normal 25 4 2" xfId="2265" xr:uid="{00000000-0005-0000-0000-0000D9080000}"/>
    <cellStyle name="Normal 25 4 2 2" xfId="2266" xr:uid="{00000000-0005-0000-0000-0000DA080000}"/>
    <cellStyle name="Normal 25 4 2 2 2" xfId="2267" xr:uid="{00000000-0005-0000-0000-0000DB080000}"/>
    <cellStyle name="Normal 25 4 2 3" xfId="2268" xr:uid="{00000000-0005-0000-0000-0000DC080000}"/>
    <cellStyle name="Normal 25 4 3" xfId="2269" xr:uid="{00000000-0005-0000-0000-0000DD080000}"/>
    <cellStyle name="Normal 25 4 3 2" xfId="2270" xr:uid="{00000000-0005-0000-0000-0000DE080000}"/>
    <cellStyle name="Normal 25 4 4" xfId="2271" xr:uid="{00000000-0005-0000-0000-0000DF080000}"/>
    <cellStyle name="Normal 25 5" xfId="2272" xr:uid="{00000000-0005-0000-0000-0000E0080000}"/>
    <cellStyle name="Normal 25 5 2" xfId="2273" xr:uid="{00000000-0005-0000-0000-0000E1080000}"/>
    <cellStyle name="Normal 25 5 2 2" xfId="2274" xr:uid="{00000000-0005-0000-0000-0000E2080000}"/>
    <cellStyle name="Normal 25 5 2 2 2" xfId="2275" xr:uid="{00000000-0005-0000-0000-0000E3080000}"/>
    <cellStyle name="Normal 25 5 2 3" xfId="2276" xr:uid="{00000000-0005-0000-0000-0000E4080000}"/>
    <cellStyle name="Normal 25 5 3" xfId="2277" xr:uid="{00000000-0005-0000-0000-0000E5080000}"/>
    <cellStyle name="Normal 25 5 3 2" xfId="2278" xr:uid="{00000000-0005-0000-0000-0000E6080000}"/>
    <cellStyle name="Normal 25 5 4" xfId="2279" xr:uid="{00000000-0005-0000-0000-0000E7080000}"/>
    <cellStyle name="Normal 25 6" xfId="2280" xr:uid="{00000000-0005-0000-0000-0000E8080000}"/>
    <cellStyle name="Normal 25 6 2" xfId="2281" xr:uid="{00000000-0005-0000-0000-0000E9080000}"/>
    <cellStyle name="Normal 25 6 2 2" xfId="2282" xr:uid="{00000000-0005-0000-0000-0000EA080000}"/>
    <cellStyle name="Normal 25 6 3" xfId="2283" xr:uid="{00000000-0005-0000-0000-0000EB080000}"/>
    <cellStyle name="Normal 25 7" xfId="2284" xr:uid="{00000000-0005-0000-0000-0000EC080000}"/>
    <cellStyle name="Normal 25 7 2" xfId="2285" xr:uid="{00000000-0005-0000-0000-0000ED080000}"/>
    <cellStyle name="Normal 25 8" xfId="2286" xr:uid="{00000000-0005-0000-0000-0000EE080000}"/>
    <cellStyle name="Normal 26" xfId="2287" xr:uid="{00000000-0005-0000-0000-0000EF080000}"/>
    <cellStyle name="Normal 26 2" xfId="2288" xr:uid="{00000000-0005-0000-0000-0000F0080000}"/>
    <cellStyle name="Normal 26 2 2" xfId="2289" xr:uid="{00000000-0005-0000-0000-0000F1080000}"/>
    <cellStyle name="Normal 26 2 2 2" xfId="2290" xr:uid="{00000000-0005-0000-0000-0000F2080000}"/>
    <cellStyle name="Normal 26 2 2 2 2" xfId="2291" xr:uid="{00000000-0005-0000-0000-0000F3080000}"/>
    <cellStyle name="Normal 26 2 2 2 2 2" xfId="2292" xr:uid="{00000000-0005-0000-0000-0000F4080000}"/>
    <cellStyle name="Normal 26 2 2 2 3" xfId="2293" xr:uid="{00000000-0005-0000-0000-0000F5080000}"/>
    <cellStyle name="Normal 26 2 2 2 4" xfId="2294" xr:uid="{00000000-0005-0000-0000-0000F6080000}"/>
    <cellStyle name="Normal 26 2 2 3" xfId="2295" xr:uid="{00000000-0005-0000-0000-0000F7080000}"/>
    <cellStyle name="Normal 26 2 2 3 2" xfId="2296" xr:uid="{00000000-0005-0000-0000-0000F8080000}"/>
    <cellStyle name="Normal 26 2 2 4" xfId="2297" xr:uid="{00000000-0005-0000-0000-0000F9080000}"/>
    <cellStyle name="Normal 26 2 2 4 2" xfId="2298" xr:uid="{00000000-0005-0000-0000-0000FA080000}"/>
    <cellStyle name="Normal 26 2 2 5" xfId="2299" xr:uid="{00000000-0005-0000-0000-0000FB080000}"/>
    <cellStyle name="Normal 26 2 2 6" xfId="2300" xr:uid="{00000000-0005-0000-0000-0000FC080000}"/>
    <cellStyle name="Normal 26 2 3" xfId="2301" xr:uid="{00000000-0005-0000-0000-0000FD080000}"/>
    <cellStyle name="Normal 26 2 3 2" xfId="2302" xr:uid="{00000000-0005-0000-0000-0000FE080000}"/>
    <cellStyle name="Normal 26 2 3 2 2" xfId="2303" xr:uid="{00000000-0005-0000-0000-0000FF080000}"/>
    <cellStyle name="Normal 26 2 3 2 2 2" xfId="2304" xr:uid="{00000000-0005-0000-0000-000000090000}"/>
    <cellStyle name="Normal 26 2 3 2 3" xfId="2305" xr:uid="{00000000-0005-0000-0000-000001090000}"/>
    <cellStyle name="Normal 26 2 3 2 4" xfId="2306" xr:uid="{00000000-0005-0000-0000-000002090000}"/>
    <cellStyle name="Normal 26 2 3 3" xfId="2307" xr:uid="{00000000-0005-0000-0000-000003090000}"/>
    <cellStyle name="Normal 26 2 3 3 2" xfId="2308" xr:uid="{00000000-0005-0000-0000-000004090000}"/>
    <cellStyle name="Normal 26 2 3 4" xfId="2309" xr:uid="{00000000-0005-0000-0000-000005090000}"/>
    <cellStyle name="Normal 26 2 3 5" xfId="2310" xr:uid="{00000000-0005-0000-0000-000006090000}"/>
    <cellStyle name="Normal 26 2 4" xfId="2311" xr:uid="{00000000-0005-0000-0000-000007090000}"/>
    <cellStyle name="Normal 26 2 4 2" xfId="2312" xr:uid="{00000000-0005-0000-0000-000008090000}"/>
    <cellStyle name="Normal 26 2 4 2 2" xfId="2313" xr:uid="{00000000-0005-0000-0000-000009090000}"/>
    <cellStyle name="Normal 26 2 4 3" xfId="2314" xr:uid="{00000000-0005-0000-0000-00000A090000}"/>
    <cellStyle name="Normal 26 2 4 4" xfId="2315" xr:uid="{00000000-0005-0000-0000-00000B090000}"/>
    <cellStyle name="Normal 26 2 5" xfId="2316" xr:uid="{00000000-0005-0000-0000-00000C090000}"/>
    <cellStyle name="Normal 26 2 5 2" xfId="2317" xr:uid="{00000000-0005-0000-0000-00000D090000}"/>
    <cellStyle name="Normal 26 2 5 2 2" xfId="2318" xr:uid="{00000000-0005-0000-0000-00000E090000}"/>
    <cellStyle name="Normal 26 2 5 3" xfId="2319" xr:uid="{00000000-0005-0000-0000-00000F090000}"/>
    <cellStyle name="Normal 26 2 5 4" xfId="2320" xr:uid="{00000000-0005-0000-0000-000010090000}"/>
    <cellStyle name="Normal 26 2 6" xfId="2321" xr:uid="{00000000-0005-0000-0000-000011090000}"/>
    <cellStyle name="Normal 26 2 6 2" xfId="2322" xr:uid="{00000000-0005-0000-0000-000012090000}"/>
    <cellStyle name="Normal 26 2 7" xfId="2323" xr:uid="{00000000-0005-0000-0000-000013090000}"/>
    <cellStyle name="Normal 26 2 7 2" xfId="2324" xr:uid="{00000000-0005-0000-0000-000014090000}"/>
    <cellStyle name="Normal 26 2 8" xfId="2325" xr:uid="{00000000-0005-0000-0000-000015090000}"/>
    <cellStyle name="Normal 26 2 9" xfId="2326" xr:uid="{00000000-0005-0000-0000-000016090000}"/>
    <cellStyle name="Normal 26 3" xfId="2327" xr:uid="{00000000-0005-0000-0000-000017090000}"/>
    <cellStyle name="Normal 26 3 2" xfId="2328" xr:uid="{00000000-0005-0000-0000-000018090000}"/>
    <cellStyle name="Normal 26 3 2 2" xfId="2329" xr:uid="{00000000-0005-0000-0000-000019090000}"/>
    <cellStyle name="Normal 26 3 2 2 2" xfId="2330" xr:uid="{00000000-0005-0000-0000-00001A090000}"/>
    <cellStyle name="Normal 26 3 2 2 2 2" xfId="2331" xr:uid="{00000000-0005-0000-0000-00001B090000}"/>
    <cellStyle name="Normal 26 3 2 2 3" xfId="2332" xr:uid="{00000000-0005-0000-0000-00001C090000}"/>
    <cellStyle name="Normal 26 3 2 3" xfId="2333" xr:uid="{00000000-0005-0000-0000-00001D090000}"/>
    <cellStyle name="Normal 26 3 2 3 2" xfId="2334" xr:uid="{00000000-0005-0000-0000-00001E090000}"/>
    <cellStyle name="Normal 26 3 2 4" xfId="2335" xr:uid="{00000000-0005-0000-0000-00001F090000}"/>
    <cellStyle name="Normal 26 3 3" xfId="2336" xr:uid="{00000000-0005-0000-0000-000020090000}"/>
    <cellStyle name="Normal 26 3 3 2" xfId="2337" xr:uid="{00000000-0005-0000-0000-000021090000}"/>
    <cellStyle name="Normal 26 3 3 2 2" xfId="2338" xr:uid="{00000000-0005-0000-0000-000022090000}"/>
    <cellStyle name="Normal 26 3 3 3" xfId="2339" xr:uid="{00000000-0005-0000-0000-000023090000}"/>
    <cellStyle name="Normal 26 3 4" xfId="2340" xr:uid="{00000000-0005-0000-0000-000024090000}"/>
    <cellStyle name="Normal 26 3 4 2" xfId="2341" xr:uid="{00000000-0005-0000-0000-000025090000}"/>
    <cellStyle name="Normal 26 3 5" xfId="2342" xr:uid="{00000000-0005-0000-0000-000026090000}"/>
    <cellStyle name="Normal 26 4" xfId="2343" xr:uid="{00000000-0005-0000-0000-000027090000}"/>
    <cellStyle name="Normal 26 4 2" xfId="2344" xr:uid="{00000000-0005-0000-0000-000028090000}"/>
    <cellStyle name="Normal 26 4 2 2" xfId="2345" xr:uid="{00000000-0005-0000-0000-000029090000}"/>
    <cellStyle name="Normal 26 4 2 2 2" xfId="2346" xr:uid="{00000000-0005-0000-0000-00002A090000}"/>
    <cellStyle name="Normal 26 4 2 3" xfId="2347" xr:uid="{00000000-0005-0000-0000-00002B090000}"/>
    <cellStyle name="Normal 26 4 3" xfId="2348" xr:uid="{00000000-0005-0000-0000-00002C090000}"/>
    <cellStyle name="Normal 26 4 3 2" xfId="2349" xr:uid="{00000000-0005-0000-0000-00002D090000}"/>
    <cellStyle name="Normal 26 4 4" xfId="2350" xr:uid="{00000000-0005-0000-0000-00002E090000}"/>
    <cellStyle name="Normal 26 5" xfId="2351" xr:uid="{00000000-0005-0000-0000-00002F090000}"/>
    <cellStyle name="Normal 26 5 2" xfId="2352" xr:uid="{00000000-0005-0000-0000-000030090000}"/>
    <cellStyle name="Normal 26 5 2 2" xfId="2353" xr:uid="{00000000-0005-0000-0000-000031090000}"/>
    <cellStyle name="Normal 26 5 3" xfId="2354" xr:uid="{00000000-0005-0000-0000-000032090000}"/>
    <cellStyle name="Normal 26 6" xfId="2355" xr:uid="{00000000-0005-0000-0000-000033090000}"/>
    <cellStyle name="Normal 26 6 2" xfId="2356" xr:uid="{00000000-0005-0000-0000-000034090000}"/>
    <cellStyle name="Normal 26 7" xfId="2357" xr:uid="{00000000-0005-0000-0000-000035090000}"/>
    <cellStyle name="Normal 27" xfId="2358" xr:uid="{00000000-0005-0000-0000-000036090000}"/>
    <cellStyle name="Normal 27 2" xfId="2359" xr:uid="{00000000-0005-0000-0000-000037090000}"/>
    <cellStyle name="Normal 27 2 2" xfId="2360" xr:uid="{00000000-0005-0000-0000-000038090000}"/>
    <cellStyle name="Normal 27 2 2 2" xfId="2361" xr:uid="{00000000-0005-0000-0000-000039090000}"/>
    <cellStyle name="Normal 27 2 2 2 2" xfId="2362" xr:uid="{00000000-0005-0000-0000-00003A090000}"/>
    <cellStyle name="Normal 27 2 2 2 2 2" xfId="2363" xr:uid="{00000000-0005-0000-0000-00003B090000}"/>
    <cellStyle name="Normal 27 2 2 2 3" xfId="2364" xr:uid="{00000000-0005-0000-0000-00003C090000}"/>
    <cellStyle name="Normal 27 2 2 2 4" xfId="2365" xr:uid="{00000000-0005-0000-0000-00003D090000}"/>
    <cellStyle name="Normal 27 2 2 3" xfId="2366" xr:uid="{00000000-0005-0000-0000-00003E090000}"/>
    <cellStyle name="Normal 27 2 2 3 2" xfId="2367" xr:uid="{00000000-0005-0000-0000-00003F090000}"/>
    <cellStyle name="Normal 27 2 2 4" xfId="2368" xr:uid="{00000000-0005-0000-0000-000040090000}"/>
    <cellStyle name="Normal 27 2 2 4 2" xfId="2369" xr:uid="{00000000-0005-0000-0000-000041090000}"/>
    <cellStyle name="Normal 27 2 2 5" xfId="2370" xr:uid="{00000000-0005-0000-0000-000042090000}"/>
    <cellStyle name="Normal 27 2 2 6" xfId="2371" xr:uid="{00000000-0005-0000-0000-000043090000}"/>
    <cellStyle name="Normal 27 2 3" xfId="2372" xr:uid="{00000000-0005-0000-0000-000044090000}"/>
    <cellStyle name="Normal 27 2 3 2" xfId="2373" xr:uid="{00000000-0005-0000-0000-000045090000}"/>
    <cellStyle name="Normal 27 2 3 2 2" xfId="2374" xr:uid="{00000000-0005-0000-0000-000046090000}"/>
    <cellStyle name="Normal 27 2 3 2 2 2" xfId="2375" xr:uid="{00000000-0005-0000-0000-000047090000}"/>
    <cellStyle name="Normal 27 2 3 2 3" xfId="2376" xr:uid="{00000000-0005-0000-0000-000048090000}"/>
    <cellStyle name="Normal 27 2 3 2 4" xfId="2377" xr:uid="{00000000-0005-0000-0000-000049090000}"/>
    <cellStyle name="Normal 27 2 3 3" xfId="2378" xr:uid="{00000000-0005-0000-0000-00004A090000}"/>
    <cellStyle name="Normal 27 2 3 3 2" xfId="2379" xr:uid="{00000000-0005-0000-0000-00004B090000}"/>
    <cellStyle name="Normal 27 2 3 4" xfId="2380" xr:uid="{00000000-0005-0000-0000-00004C090000}"/>
    <cellStyle name="Normal 27 2 3 5" xfId="2381" xr:uid="{00000000-0005-0000-0000-00004D090000}"/>
    <cellStyle name="Normal 27 2 4" xfId="2382" xr:uid="{00000000-0005-0000-0000-00004E090000}"/>
    <cellStyle name="Normal 27 2 4 2" xfId="2383" xr:uid="{00000000-0005-0000-0000-00004F090000}"/>
    <cellStyle name="Normal 27 2 4 2 2" xfId="2384" xr:uid="{00000000-0005-0000-0000-000050090000}"/>
    <cellStyle name="Normal 27 2 4 3" xfId="2385" xr:uid="{00000000-0005-0000-0000-000051090000}"/>
    <cellStyle name="Normal 27 2 4 4" xfId="2386" xr:uid="{00000000-0005-0000-0000-000052090000}"/>
    <cellStyle name="Normal 27 2 5" xfId="2387" xr:uid="{00000000-0005-0000-0000-000053090000}"/>
    <cellStyle name="Normal 27 2 5 2" xfId="2388" xr:uid="{00000000-0005-0000-0000-000054090000}"/>
    <cellStyle name="Normal 27 2 5 2 2" xfId="2389" xr:uid="{00000000-0005-0000-0000-000055090000}"/>
    <cellStyle name="Normal 27 2 5 3" xfId="2390" xr:uid="{00000000-0005-0000-0000-000056090000}"/>
    <cellStyle name="Normal 27 2 5 4" xfId="2391" xr:uid="{00000000-0005-0000-0000-000057090000}"/>
    <cellStyle name="Normal 27 2 6" xfId="2392" xr:uid="{00000000-0005-0000-0000-000058090000}"/>
    <cellStyle name="Normal 27 2 6 2" xfId="2393" xr:uid="{00000000-0005-0000-0000-000059090000}"/>
    <cellStyle name="Normal 27 2 7" xfId="2394" xr:uid="{00000000-0005-0000-0000-00005A090000}"/>
    <cellStyle name="Normal 27 2 7 2" xfId="2395" xr:uid="{00000000-0005-0000-0000-00005B090000}"/>
    <cellStyle name="Normal 27 2 8" xfId="2396" xr:uid="{00000000-0005-0000-0000-00005C090000}"/>
    <cellStyle name="Normal 27 2 9" xfId="2397" xr:uid="{00000000-0005-0000-0000-00005D090000}"/>
    <cellStyle name="Normal 27 3" xfId="2398" xr:uid="{00000000-0005-0000-0000-00005E090000}"/>
    <cellStyle name="Normal 27 3 2" xfId="2399" xr:uid="{00000000-0005-0000-0000-00005F090000}"/>
    <cellStyle name="Normal 27 3 2 2" xfId="2400" xr:uid="{00000000-0005-0000-0000-000060090000}"/>
    <cellStyle name="Normal 27 3 2 2 2" xfId="2401" xr:uid="{00000000-0005-0000-0000-000061090000}"/>
    <cellStyle name="Normal 27 3 2 2 2 2" xfId="2402" xr:uid="{00000000-0005-0000-0000-000062090000}"/>
    <cellStyle name="Normal 27 3 2 2 3" xfId="2403" xr:uid="{00000000-0005-0000-0000-000063090000}"/>
    <cellStyle name="Normal 27 3 2 3" xfId="2404" xr:uid="{00000000-0005-0000-0000-000064090000}"/>
    <cellStyle name="Normal 27 3 2 3 2" xfId="2405" xr:uid="{00000000-0005-0000-0000-000065090000}"/>
    <cellStyle name="Normal 27 3 2 4" xfId="2406" xr:uid="{00000000-0005-0000-0000-000066090000}"/>
    <cellStyle name="Normal 27 3 3" xfId="2407" xr:uid="{00000000-0005-0000-0000-000067090000}"/>
    <cellStyle name="Normal 27 3 3 2" xfId="2408" xr:uid="{00000000-0005-0000-0000-000068090000}"/>
    <cellStyle name="Normal 27 3 3 2 2" xfId="2409" xr:uid="{00000000-0005-0000-0000-000069090000}"/>
    <cellStyle name="Normal 27 3 3 3" xfId="2410" xr:uid="{00000000-0005-0000-0000-00006A090000}"/>
    <cellStyle name="Normal 27 3 4" xfId="2411" xr:uid="{00000000-0005-0000-0000-00006B090000}"/>
    <cellStyle name="Normal 27 3 4 2" xfId="2412" xr:uid="{00000000-0005-0000-0000-00006C090000}"/>
    <cellStyle name="Normal 27 3 5" xfId="2413" xr:uid="{00000000-0005-0000-0000-00006D090000}"/>
    <cellStyle name="Normal 27 4" xfId="2414" xr:uid="{00000000-0005-0000-0000-00006E090000}"/>
    <cellStyle name="Normal 27 4 2" xfId="2415" xr:uid="{00000000-0005-0000-0000-00006F090000}"/>
    <cellStyle name="Normal 27 4 2 2" xfId="2416" xr:uid="{00000000-0005-0000-0000-000070090000}"/>
    <cellStyle name="Normal 27 4 2 2 2" xfId="2417" xr:uid="{00000000-0005-0000-0000-000071090000}"/>
    <cellStyle name="Normal 27 4 2 3" xfId="2418" xr:uid="{00000000-0005-0000-0000-000072090000}"/>
    <cellStyle name="Normal 27 4 3" xfId="2419" xr:uid="{00000000-0005-0000-0000-000073090000}"/>
    <cellStyle name="Normal 27 4 3 2" xfId="2420" xr:uid="{00000000-0005-0000-0000-000074090000}"/>
    <cellStyle name="Normal 27 4 4" xfId="2421" xr:uid="{00000000-0005-0000-0000-000075090000}"/>
    <cellStyle name="Normal 27 5" xfId="2422" xr:uid="{00000000-0005-0000-0000-000076090000}"/>
    <cellStyle name="Normal 27 5 2" xfId="2423" xr:uid="{00000000-0005-0000-0000-000077090000}"/>
    <cellStyle name="Normal 27 5 2 2" xfId="2424" xr:uid="{00000000-0005-0000-0000-000078090000}"/>
    <cellStyle name="Normal 27 5 3" xfId="2425" xr:uid="{00000000-0005-0000-0000-000079090000}"/>
    <cellStyle name="Normal 27 6" xfId="2426" xr:uid="{00000000-0005-0000-0000-00007A090000}"/>
    <cellStyle name="Normal 27 6 2" xfId="2427" xr:uid="{00000000-0005-0000-0000-00007B090000}"/>
    <cellStyle name="Normal 27 7" xfId="2428" xr:uid="{00000000-0005-0000-0000-00007C090000}"/>
    <cellStyle name="Normal 28" xfId="2429" xr:uid="{00000000-0005-0000-0000-00007D090000}"/>
    <cellStyle name="Normal 28 2" xfId="2430" xr:uid="{00000000-0005-0000-0000-00007E090000}"/>
    <cellStyle name="Normal 28 2 2" xfId="2431" xr:uid="{00000000-0005-0000-0000-00007F090000}"/>
    <cellStyle name="Normal 28 2 2 2" xfId="2432" xr:uid="{00000000-0005-0000-0000-000080090000}"/>
    <cellStyle name="Normal 28 2 2 2 2" xfId="2433" xr:uid="{00000000-0005-0000-0000-000081090000}"/>
    <cellStyle name="Normal 28 2 2 2 2 2" xfId="2434" xr:uid="{00000000-0005-0000-0000-000082090000}"/>
    <cellStyle name="Normal 28 2 2 2 3" xfId="2435" xr:uid="{00000000-0005-0000-0000-000083090000}"/>
    <cellStyle name="Normal 28 2 2 2 4" xfId="2436" xr:uid="{00000000-0005-0000-0000-000084090000}"/>
    <cellStyle name="Normal 28 2 2 3" xfId="2437" xr:uid="{00000000-0005-0000-0000-000085090000}"/>
    <cellStyle name="Normal 28 2 2 3 2" xfId="2438" xr:uid="{00000000-0005-0000-0000-000086090000}"/>
    <cellStyle name="Normal 28 2 2 4" xfId="2439" xr:uid="{00000000-0005-0000-0000-000087090000}"/>
    <cellStyle name="Normal 28 2 2 4 2" xfId="2440" xr:uid="{00000000-0005-0000-0000-000088090000}"/>
    <cellStyle name="Normal 28 2 2 5" xfId="2441" xr:uid="{00000000-0005-0000-0000-000089090000}"/>
    <cellStyle name="Normal 28 2 2 6" xfId="2442" xr:uid="{00000000-0005-0000-0000-00008A090000}"/>
    <cellStyle name="Normal 28 2 3" xfId="2443" xr:uid="{00000000-0005-0000-0000-00008B090000}"/>
    <cellStyle name="Normal 28 2 3 2" xfId="2444" xr:uid="{00000000-0005-0000-0000-00008C090000}"/>
    <cellStyle name="Normal 28 2 3 2 2" xfId="2445" xr:uid="{00000000-0005-0000-0000-00008D090000}"/>
    <cellStyle name="Normal 28 2 3 2 2 2" xfId="2446" xr:uid="{00000000-0005-0000-0000-00008E090000}"/>
    <cellStyle name="Normal 28 2 3 2 3" xfId="2447" xr:uid="{00000000-0005-0000-0000-00008F090000}"/>
    <cellStyle name="Normal 28 2 3 2 4" xfId="2448" xr:uid="{00000000-0005-0000-0000-000090090000}"/>
    <cellStyle name="Normal 28 2 3 3" xfId="2449" xr:uid="{00000000-0005-0000-0000-000091090000}"/>
    <cellStyle name="Normal 28 2 3 3 2" xfId="2450" xr:uid="{00000000-0005-0000-0000-000092090000}"/>
    <cellStyle name="Normal 28 2 3 4" xfId="2451" xr:uid="{00000000-0005-0000-0000-000093090000}"/>
    <cellStyle name="Normal 28 2 3 5" xfId="2452" xr:uid="{00000000-0005-0000-0000-000094090000}"/>
    <cellStyle name="Normal 28 2 4" xfId="2453" xr:uid="{00000000-0005-0000-0000-000095090000}"/>
    <cellStyle name="Normal 28 2 4 2" xfId="2454" xr:uid="{00000000-0005-0000-0000-000096090000}"/>
    <cellStyle name="Normal 28 2 4 2 2" xfId="2455" xr:uid="{00000000-0005-0000-0000-000097090000}"/>
    <cellStyle name="Normal 28 2 4 3" xfId="2456" xr:uid="{00000000-0005-0000-0000-000098090000}"/>
    <cellStyle name="Normal 28 2 4 4" xfId="2457" xr:uid="{00000000-0005-0000-0000-000099090000}"/>
    <cellStyle name="Normal 28 2 5" xfId="2458" xr:uid="{00000000-0005-0000-0000-00009A090000}"/>
    <cellStyle name="Normal 28 2 5 2" xfId="2459" xr:uid="{00000000-0005-0000-0000-00009B090000}"/>
    <cellStyle name="Normal 28 2 5 2 2" xfId="2460" xr:uid="{00000000-0005-0000-0000-00009C090000}"/>
    <cellStyle name="Normal 28 2 5 3" xfId="2461" xr:uid="{00000000-0005-0000-0000-00009D090000}"/>
    <cellStyle name="Normal 28 2 5 4" xfId="2462" xr:uid="{00000000-0005-0000-0000-00009E090000}"/>
    <cellStyle name="Normal 28 2 6" xfId="2463" xr:uid="{00000000-0005-0000-0000-00009F090000}"/>
    <cellStyle name="Normal 28 2 6 2" xfId="2464" xr:uid="{00000000-0005-0000-0000-0000A0090000}"/>
    <cellStyle name="Normal 28 2 7" xfId="2465" xr:uid="{00000000-0005-0000-0000-0000A1090000}"/>
    <cellStyle name="Normal 28 2 7 2" xfId="2466" xr:uid="{00000000-0005-0000-0000-0000A2090000}"/>
    <cellStyle name="Normal 28 2 8" xfId="2467" xr:uid="{00000000-0005-0000-0000-0000A3090000}"/>
    <cellStyle name="Normal 28 2 9" xfId="2468" xr:uid="{00000000-0005-0000-0000-0000A4090000}"/>
    <cellStyle name="Normal 28 3" xfId="2469" xr:uid="{00000000-0005-0000-0000-0000A5090000}"/>
    <cellStyle name="Normal 28 3 2" xfId="2470" xr:uid="{00000000-0005-0000-0000-0000A6090000}"/>
    <cellStyle name="Normal 28 3 2 2" xfId="2471" xr:uid="{00000000-0005-0000-0000-0000A7090000}"/>
    <cellStyle name="Normal 28 3 2 2 2" xfId="2472" xr:uid="{00000000-0005-0000-0000-0000A8090000}"/>
    <cellStyle name="Normal 28 3 2 2 2 2" xfId="2473" xr:uid="{00000000-0005-0000-0000-0000A9090000}"/>
    <cellStyle name="Normal 28 3 2 2 3" xfId="2474" xr:uid="{00000000-0005-0000-0000-0000AA090000}"/>
    <cellStyle name="Normal 28 3 2 3" xfId="2475" xr:uid="{00000000-0005-0000-0000-0000AB090000}"/>
    <cellStyle name="Normal 28 3 2 3 2" xfId="2476" xr:uid="{00000000-0005-0000-0000-0000AC090000}"/>
    <cellStyle name="Normal 28 3 2 4" xfId="2477" xr:uid="{00000000-0005-0000-0000-0000AD090000}"/>
    <cellStyle name="Normal 28 3 3" xfId="2478" xr:uid="{00000000-0005-0000-0000-0000AE090000}"/>
    <cellStyle name="Normal 28 3 3 2" xfId="2479" xr:uid="{00000000-0005-0000-0000-0000AF090000}"/>
    <cellStyle name="Normal 28 3 3 2 2" xfId="2480" xr:uid="{00000000-0005-0000-0000-0000B0090000}"/>
    <cellStyle name="Normal 28 3 3 3" xfId="2481" xr:uid="{00000000-0005-0000-0000-0000B1090000}"/>
    <cellStyle name="Normal 28 3 4" xfId="2482" xr:uid="{00000000-0005-0000-0000-0000B2090000}"/>
    <cellStyle name="Normal 28 3 4 2" xfId="2483" xr:uid="{00000000-0005-0000-0000-0000B3090000}"/>
    <cellStyle name="Normal 28 3 5" xfId="2484" xr:uid="{00000000-0005-0000-0000-0000B4090000}"/>
    <cellStyle name="Normal 28 4" xfId="2485" xr:uid="{00000000-0005-0000-0000-0000B5090000}"/>
    <cellStyle name="Normal 28 4 2" xfId="2486" xr:uid="{00000000-0005-0000-0000-0000B6090000}"/>
    <cellStyle name="Normal 28 4 2 2" xfId="2487" xr:uid="{00000000-0005-0000-0000-0000B7090000}"/>
    <cellStyle name="Normal 28 4 2 2 2" xfId="2488" xr:uid="{00000000-0005-0000-0000-0000B8090000}"/>
    <cellStyle name="Normal 28 4 2 3" xfId="2489" xr:uid="{00000000-0005-0000-0000-0000B9090000}"/>
    <cellStyle name="Normal 28 4 3" xfId="2490" xr:uid="{00000000-0005-0000-0000-0000BA090000}"/>
    <cellStyle name="Normal 28 4 3 2" xfId="2491" xr:uid="{00000000-0005-0000-0000-0000BB090000}"/>
    <cellStyle name="Normal 28 4 4" xfId="2492" xr:uid="{00000000-0005-0000-0000-0000BC090000}"/>
    <cellStyle name="Normal 28 5" xfId="2493" xr:uid="{00000000-0005-0000-0000-0000BD090000}"/>
    <cellStyle name="Normal 28 5 2" xfId="2494" xr:uid="{00000000-0005-0000-0000-0000BE090000}"/>
    <cellStyle name="Normal 28 5 2 2" xfId="2495" xr:uid="{00000000-0005-0000-0000-0000BF090000}"/>
    <cellStyle name="Normal 28 5 3" xfId="2496" xr:uid="{00000000-0005-0000-0000-0000C0090000}"/>
    <cellStyle name="Normal 28 6" xfId="2497" xr:uid="{00000000-0005-0000-0000-0000C1090000}"/>
    <cellStyle name="Normal 28 6 2" xfId="2498" xr:uid="{00000000-0005-0000-0000-0000C2090000}"/>
    <cellStyle name="Normal 28 7" xfId="2499" xr:uid="{00000000-0005-0000-0000-0000C3090000}"/>
    <cellStyle name="Normal 29" xfId="2500" xr:uid="{00000000-0005-0000-0000-0000C4090000}"/>
    <cellStyle name="Normal 29 2" xfId="2501" xr:uid="{00000000-0005-0000-0000-0000C5090000}"/>
    <cellStyle name="Normal 29 2 2" xfId="2502" xr:uid="{00000000-0005-0000-0000-0000C6090000}"/>
    <cellStyle name="Normal 29 2 2 2" xfId="2503" xr:uid="{00000000-0005-0000-0000-0000C7090000}"/>
    <cellStyle name="Normal 29 2 2 2 2" xfId="2504" xr:uid="{00000000-0005-0000-0000-0000C8090000}"/>
    <cellStyle name="Normal 29 2 2 2 2 2" xfId="2505" xr:uid="{00000000-0005-0000-0000-0000C9090000}"/>
    <cellStyle name="Normal 29 2 2 2 3" xfId="2506" xr:uid="{00000000-0005-0000-0000-0000CA090000}"/>
    <cellStyle name="Normal 29 2 2 2 4" xfId="2507" xr:uid="{00000000-0005-0000-0000-0000CB090000}"/>
    <cellStyle name="Normal 29 2 2 3" xfId="2508" xr:uid="{00000000-0005-0000-0000-0000CC090000}"/>
    <cellStyle name="Normal 29 2 2 3 2" xfId="2509" xr:uid="{00000000-0005-0000-0000-0000CD090000}"/>
    <cellStyle name="Normal 29 2 2 4" xfId="2510" xr:uid="{00000000-0005-0000-0000-0000CE090000}"/>
    <cellStyle name="Normal 29 2 2 4 2" xfId="2511" xr:uid="{00000000-0005-0000-0000-0000CF090000}"/>
    <cellStyle name="Normal 29 2 2 5" xfId="2512" xr:uid="{00000000-0005-0000-0000-0000D0090000}"/>
    <cellStyle name="Normal 29 2 2 6" xfId="2513" xr:uid="{00000000-0005-0000-0000-0000D1090000}"/>
    <cellStyle name="Normal 29 2 3" xfId="2514" xr:uid="{00000000-0005-0000-0000-0000D2090000}"/>
    <cellStyle name="Normal 29 2 3 2" xfId="2515" xr:uid="{00000000-0005-0000-0000-0000D3090000}"/>
    <cellStyle name="Normal 29 2 3 2 2" xfId="2516" xr:uid="{00000000-0005-0000-0000-0000D4090000}"/>
    <cellStyle name="Normal 29 2 3 2 2 2" xfId="2517" xr:uid="{00000000-0005-0000-0000-0000D5090000}"/>
    <cellStyle name="Normal 29 2 3 2 3" xfId="2518" xr:uid="{00000000-0005-0000-0000-0000D6090000}"/>
    <cellStyle name="Normal 29 2 3 2 4" xfId="2519" xr:uid="{00000000-0005-0000-0000-0000D7090000}"/>
    <cellStyle name="Normal 29 2 3 3" xfId="2520" xr:uid="{00000000-0005-0000-0000-0000D8090000}"/>
    <cellStyle name="Normal 29 2 3 3 2" xfId="2521" xr:uid="{00000000-0005-0000-0000-0000D9090000}"/>
    <cellStyle name="Normal 29 2 3 4" xfId="2522" xr:uid="{00000000-0005-0000-0000-0000DA090000}"/>
    <cellStyle name="Normal 29 2 3 5" xfId="2523" xr:uid="{00000000-0005-0000-0000-0000DB090000}"/>
    <cellStyle name="Normal 29 2 4" xfId="2524" xr:uid="{00000000-0005-0000-0000-0000DC090000}"/>
    <cellStyle name="Normal 29 2 4 2" xfId="2525" xr:uid="{00000000-0005-0000-0000-0000DD090000}"/>
    <cellStyle name="Normal 29 2 4 2 2" xfId="2526" xr:uid="{00000000-0005-0000-0000-0000DE090000}"/>
    <cellStyle name="Normal 29 2 4 3" xfId="2527" xr:uid="{00000000-0005-0000-0000-0000DF090000}"/>
    <cellStyle name="Normal 29 2 4 4" xfId="2528" xr:uid="{00000000-0005-0000-0000-0000E0090000}"/>
    <cellStyle name="Normal 29 2 5" xfId="2529" xr:uid="{00000000-0005-0000-0000-0000E1090000}"/>
    <cellStyle name="Normal 29 2 5 2" xfId="2530" xr:uid="{00000000-0005-0000-0000-0000E2090000}"/>
    <cellStyle name="Normal 29 2 5 2 2" xfId="2531" xr:uid="{00000000-0005-0000-0000-0000E3090000}"/>
    <cellStyle name="Normal 29 2 5 3" xfId="2532" xr:uid="{00000000-0005-0000-0000-0000E4090000}"/>
    <cellStyle name="Normal 29 2 5 4" xfId="2533" xr:uid="{00000000-0005-0000-0000-0000E5090000}"/>
    <cellStyle name="Normal 29 2 6" xfId="2534" xr:uid="{00000000-0005-0000-0000-0000E6090000}"/>
    <cellStyle name="Normal 29 2 6 2" xfId="2535" xr:uid="{00000000-0005-0000-0000-0000E7090000}"/>
    <cellStyle name="Normal 29 2 7" xfId="2536" xr:uid="{00000000-0005-0000-0000-0000E8090000}"/>
    <cellStyle name="Normal 29 2 7 2" xfId="2537" xr:uid="{00000000-0005-0000-0000-0000E9090000}"/>
    <cellStyle name="Normal 29 2 8" xfId="2538" xr:uid="{00000000-0005-0000-0000-0000EA090000}"/>
    <cellStyle name="Normal 29 2 9" xfId="2539" xr:uid="{00000000-0005-0000-0000-0000EB090000}"/>
    <cellStyle name="Normal 29 3" xfId="2540" xr:uid="{00000000-0005-0000-0000-0000EC090000}"/>
    <cellStyle name="Normal 29 3 2" xfId="2541" xr:uid="{00000000-0005-0000-0000-0000ED090000}"/>
    <cellStyle name="Normal 29 3 2 2" xfId="2542" xr:uid="{00000000-0005-0000-0000-0000EE090000}"/>
    <cellStyle name="Normal 29 3 2 2 2" xfId="2543" xr:uid="{00000000-0005-0000-0000-0000EF090000}"/>
    <cellStyle name="Normal 29 3 2 2 2 2" xfId="2544" xr:uid="{00000000-0005-0000-0000-0000F0090000}"/>
    <cellStyle name="Normal 29 3 2 2 3" xfId="2545" xr:uid="{00000000-0005-0000-0000-0000F1090000}"/>
    <cellStyle name="Normal 29 3 2 3" xfId="2546" xr:uid="{00000000-0005-0000-0000-0000F2090000}"/>
    <cellStyle name="Normal 29 3 2 3 2" xfId="2547" xr:uid="{00000000-0005-0000-0000-0000F3090000}"/>
    <cellStyle name="Normal 29 3 2 4" xfId="2548" xr:uid="{00000000-0005-0000-0000-0000F4090000}"/>
    <cellStyle name="Normal 29 3 3" xfId="2549" xr:uid="{00000000-0005-0000-0000-0000F5090000}"/>
    <cellStyle name="Normal 29 3 3 2" xfId="2550" xr:uid="{00000000-0005-0000-0000-0000F6090000}"/>
    <cellStyle name="Normal 29 3 3 2 2" xfId="2551" xr:uid="{00000000-0005-0000-0000-0000F7090000}"/>
    <cellStyle name="Normal 29 3 3 3" xfId="2552" xr:uid="{00000000-0005-0000-0000-0000F8090000}"/>
    <cellStyle name="Normal 29 3 4" xfId="2553" xr:uid="{00000000-0005-0000-0000-0000F9090000}"/>
    <cellStyle name="Normal 29 3 4 2" xfId="2554" xr:uid="{00000000-0005-0000-0000-0000FA090000}"/>
    <cellStyle name="Normal 29 3 5" xfId="2555" xr:uid="{00000000-0005-0000-0000-0000FB090000}"/>
    <cellStyle name="Normal 29 4" xfId="2556" xr:uid="{00000000-0005-0000-0000-0000FC090000}"/>
    <cellStyle name="Normal 29 4 2" xfId="2557" xr:uid="{00000000-0005-0000-0000-0000FD090000}"/>
    <cellStyle name="Normal 29 4 2 2" xfId="2558" xr:uid="{00000000-0005-0000-0000-0000FE090000}"/>
    <cellStyle name="Normal 29 4 2 2 2" xfId="2559" xr:uid="{00000000-0005-0000-0000-0000FF090000}"/>
    <cellStyle name="Normal 29 4 2 3" xfId="2560" xr:uid="{00000000-0005-0000-0000-0000000A0000}"/>
    <cellStyle name="Normal 29 4 3" xfId="2561" xr:uid="{00000000-0005-0000-0000-0000010A0000}"/>
    <cellStyle name="Normal 29 4 3 2" xfId="2562" xr:uid="{00000000-0005-0000-0000-0000020A0000}"/>
    <cellStyle name="Normal 29 4 4" xfId="2563" xr:uid="{00000000-0005-0000-0000-0000030A0000}"/>
    <cellStyle name="Normal 29 5" xfId="2564" xr:uid="{00000000-0005-0000-0000-0000040A0000}"/>
    <cellStyle name="Normal 29 5 2" xfId="2565" xr:uid="{00000000-0005-0000-0000-0000050A0000}"/>
    <cellStyle name="Normal 29 5 2 2" xfId="2566" xr:uid="{00000000-0005-0000-0000-0000060A0000}"/>
    <cellStyle name="Normal 29 5 3" xfId="2567" xr:uid="{00000000-0005-0000-0000-0000070A0000}"/>
    <cellStyle name="Normal 29 6" xfId="2568" xr:uid="{00000000-0005-0000-0000-0000080A0000}"/>
    <cellStyle name="Normal 29 6 2" xfId="2569" xr:uid="{00000000-0005-0000-0000-0000090A0000}"/>
    <cellStyle name="Normal 29 7" xfId="2570" xr:uid="{00000000-0005-0000-0000-00000A0A0000}"/>
    <cellStyle name="Normal 3" xfId="2571" xr:uid="{00000000-0005-0000-0000-00000B0A0000}"/>
    <cellStyle name="Normal 3 10" xfId="2572" xr:uid="{00000000-0005-0000-0000-00000C0A0000}"/>
    <cellStyle name="Normal 3 10 2" xfId="2573" xr:uid="{00000000-0005-0000-0000-00000D0A0000}"/>
    <cellStyle name="Normal 3 11" xfId="2574" xr:uid="{00000000-0005-0000-0000-00000E0A0000}"/>
    <cellStyle name="Normal 3 12" xfId="2575" xr:uid="{00000000-0005-0000-0000-00000F0A0000}"/>
    <cellStyle name="Normal 3 2" xfId="2576" xr:uid="{00000000-0005-0000-0000-0000100A0000}"/>
    <cellStyle name="Normal 3 2 2" xfId="2577" xr:uid="{00000000-0005-0000-0000-0000110A0000}"/>
    <cellStyle name="Normal 3 2 2 2" xfId="2578" xr:uid="{00000000-0005-0000-0000-0000120A0000}"/>
    <cellStyle name="Normal 3 2 2 2 2" xfId="2579" xr:uid="{00000000-0005-0000-0000-0000130A0000}"/>
    <cellStyle name="Normal 3 2 2 2 2 2" xfId="2580" xr:uid="{00000000-0005-0000-0000-0000140A0000}"/>
    <cellStyle name="Normal 3 2 2 2 2 2 2" xfId="2581" xr:uid="{00000000-0005-0000-0000-0000150A0000}"/>
    <cellStyle name="Normal 3 2 2 2 2 2 2 2" xfId="2582" xr:uid="{00000000-0005-0000-0000-0000160A0000}"/>
    <cellStyle name="Normal 3 2 2 2 2 2 3" xfId="2583" xr:uid="{00000000-0005-0000-0000-0000170A0000}"/>
    <cellStyle name="Normal 3 2 2 2 2 3" xfId="2584" xr:uid="{00000000-0005-0000-0000-0000180A0000}"/>
    <cellStyle name="Normal 3 2 2 2 2 3 2" xfId="2585" xr:uid="{00000000-0005-0000-0000-0000190A0000}"/>
    <cellStyle name="Normal 3 2 2 2 2 4" xfId="2586" xr:uid="{00000000-0005-0000-0000-00001A0A0000}"/>
    <cellStyle name="Normal 3 2 2 2 2 5" xfId="2587" xr:uid="{00000000-0005-0000-0000-00001B0A0000}"/>
    <cellStyle name="Normal 3 2 2 2 3" xfId="2588" xr:uid="{00000000-0005-0000-0000-00001C0A0000}"/>
    <cellStyle name="Normal 3 2 2 2 3 2" xfId="2589" xr:uid="{00000000-0005-0000-0000-00001D0A0000}"/>
    <cellStyle name="Normal 3 2 2 2 3 2 2" xfId="2590" xr:uid="{00000000-0005-0000-0000-00001E0A0000}"/>
    <cellStyle name="Normal 3 2 2 2 3 3" xfId="2591" xr:uid="{00000000-0005-0000-0000-00001F0A0000}"/>
    <cellStyle name="Normal 3 2 2 2 4" xfId="2592" xr:uid="{00000000-0005-0000-0000-0000200A0000}"/>
    <cellStyle name="Normal 3 2 2 2 4 2" xfId="2593" xr:uid="{00000000-0005-0000-0000-0000210A0000}"/>
    <cellStyle name="Normal 3 2 2 2 5" xfId="2594" xr:uid="{00000000-0005-0000-0000-0000220A0000}"/>
    <cellStyle name="Normal 3 2 2 2 5 2" xfId="2595" xr:uid="{00000000-0005-0000-0000-0000230A0000}"/>
    <cellStyle name="Normal 3 2 2 2 6" xfId="2596" xr:uid="{00000000-0005-0000-0000-0000240A0000}"/>
    <cellStyle name="Normal 3 2 2 2 7" xfId="2597" xr:uid="{00000000-0005-0000-0000-0000250A0000}"/>
    <cellStyle name="Normal 3 2 2 3" xfId="2598" xr:uid="{00000000-0005-0000-0000-0000260A0000}"/>
    <cellStyle name="Normal 3 2 2 3 2" xfId="2599" xr:uid="{00000000-0005-0000-0000-0000270A0000}"/>
    <cellStyle name="Normal 3 2 2 3 2 2" xfId="2600" xr:uid="{00000000-0005-0000-0000-0000280A0000}"/>
    <cellStyle name="Normal 3 2 2 3 2 2 2" xfId="2601" xr:uid="{00000000-0005-0000-0000-0000290A0000}"/>
    <cellStyle name="Normal 3 2 2 3 2 3" xfId="2602" xr:uid="{00000000-0005-0000-0000-00002A0A0000}"/>
    <cellStyle name="Normal 3 2 2 3 2 4" xfId="2603" xr:uid="{00000000-0005-0000-0000-00002B0A0000}"/>
    <cellStyle name="Normal 3 2 2 3 3" xfId="2604" xr:uid="{00000000-0005-0000-0000-00002C0A0000}"/>
    <cellStyle name="Normal 3 2 2 3 3 2" xfId="2605" xr:uid="{00000000-0005-0000-0000-00002D0A0000}"/>
    <cellStyle name="Normal 3 2 2 3 4" xfId="2606" xr:uid="{00000000-0005-0000-0000-00002E0A0000}"/>
    <cellStyle name="Normal 3 2 2 3 5" xfId="2607" xr:uid="{00000000-0005-0000-0000-00002F0A0000}"/>
    <cellStyle name="Normal 3 2 2 4" xfId="2608" xr:uid="{00000000-0005-0000-0000-0000300A0000}"/>
    <cellStyle name="Normal 3 2 2 4 2" xfId="2609" xr:uid="{00000000-0005-0000-0000-0000310A0000}"/>
    <cellStyle name="Normal 3 2 2 4 2 2" xfId="2610" xr:uid="{00000000-0005-0000-0000-0000320A0000}"/>
    <cellStyle name="Normal 3 2 2 4 2 2 2" xfId="2611" xr:uid="{00000000-0005-0000-0000-0000330A0000}"/>
    <cellStyle name="Normal 3 2 2 4 2 3" xfId="2612" xr:uid="{00000000-0005-0000-0000-0000340A0000}"/>
    <cellStyle name="Normal 3 2 2 4 3" xfId="2613" xr:uid="{00000000-0005-0000-0000-0000350A0000}"/>
    <cellStyle name="Normal 3 2 2 4 3 2" xfId="2614" xr:uid="{00000000-0005-0000-0000-0000360A0000}"/>
    <cellStyle name="Normal 3 2 2 4 4" xfId="2615" xr:uid="{00000000-0005-0000-0000-0000370A0000}"/>
    <cellStyle name="Normal 3 2 2 4 5" xfId="2616" xr:uid="{00000000-0005-0000-0000-0000380A0000}"/>
    <cellStyle name="Normal 3 2 2 5" xfId="2617" xr:uid="{00000000-0005-0000-0000-0000390A0000}"/>
    <cellStyle name="Normal 3 2 2 5 2" xfId="2618" xr:uid="{00000000-0005-0000-0000-00003A0A0000}"/>
    <cellStyle name="Normal 3 2 2 5 2 2" xfId="2619" xr:uid="{00000000-0005-0000-0000-00003B0A0000}"/>
    <cellStyle name="Normal 3 2 2 5 3" xfId="2620" xr:uid="{00000000-0005-0000-0000-00003C0A0000}"/>
    <cellStyle name="Normal 3 2 2 5 4" xfId="2621" xr:uid="{00000000-0005-0000-0000-00003D0A0000}"/>
    <cellStyle name="Normal 3 2 2 6" xfId="2622" xr:uid="{00000000-0005-0000-0000-00003E0A0000}"/>
    <cellStyle name="Normal 3 2 2 6 2" xfId="2623" xr:uid="{00000000-0005-0000-0000-00003F0A0000}"/>
    <cellStyle name="Normal 3 2 2 7" xfId="2624" xr:uid="{00000000-0005-0000-0000-0000400A0000}"/>
    <cellStyle name="Normal 3 2 2 7 2" xfId="2625" xr:uid="{00000000-0005-0000-0000-0000410A0000}"/>
    <cellStyle name="Normal 3 2 2 8" xfId="2626" xr:uid="{00000000-0005-0000-0000-0000420A0000}"/>
    <cellStyle name="Normal 3 2 2 9" xfId="2627" xr:uid="{00000000-0005-0000-0000-0000430A0000}"/>
    <cellStyle name="Normal 3 2 3" xfId="2628" xr:uid="{00000000-0005-0000-0000-0000440A0000}"/>
    <cellStyle name="Normal 3 2 3 2" xfId="2629" xr:uid="{00000000-0005-0000-0000-0000450A0000}"/>
    <cellStyle name="Normal 3 2 3 2 2" xfId="2630" xr:uid="{00000000-0005-0000-0000-0000460A0000}"/>
    <cellStyle name="Normal 3 2 3 2 2 2" xfId="2631" xr:uid="{00000000-0005-0000-0000-0000470A0000}"/>
    <cellStyle name="Normal 3 2 3 2 2 2 2" xfId="2632" xr:uid="{00000000-0005-0000-0000-0000480A0000}"/>
    <cellStyle name="Normal 3 2 3 2 2 3" xfId="2633" xr:uid="{00000000-0005-0000-0000-0000490A0000}"/>
    <cellStyle name="Normal 3 2 3 2 3" xfId="2634" xr:uid="{00000000-0005-0000-0000-00004A0A0000}"/>
    <cellStyle name="Normal 3 2 3 2 3 2" xfId="2635" xr:uid="{00000000-0005-0000-0000-00004B0A0000}"/>
    <cellStyle name="Normal 3 2 3 2 4" xfId="2636" xr:uid="{00000000-0005-0000-0000-00004C0A0000}"/>
    <cellStyle name="Normal 3 2 3 2 5" xfId="2637" xr:uid="{00000000-0005-0000-0000-00004D0A0000}"/>
    <cellStyle name="Normal 3 2 3 3" xfId="2638" xr:uid="{00000000-0005-0000-0000-00004E0A0000}"/>
    <cellStyle name="Normal 3 2 3 3 2" xfId="2639" xr:uid="{00000000-0005-0000-0000-00004F0A0000}"/>
    <cellStyle name="Normal 3 2 3 3 2 2" xfId="2640" xr:uid="{00000000-0005-0000-0000-0000500A0000}"/>
    <cellStyle name="Normal 3 2 3 3 2 2 2" xfId="2641" xr:uid="{00000000-0005-0000-0000-0000510A0000}"/>
    <cellStyle name="Normal 3 2 3 3 2 3" xfId="2642" xr:uid="{00000000-0005-0000-0000-0000520A0000}"/>
    <cellStyle name="Normal 3 2 3 3 3" xfId="2643" xr:uid="{00000000-0005-0000-0000-0000530A0000}"/>
    <cellStyle name="Normal 3 2 3 3 3 2" xfId="2644" xr:uid="{00000000-0005-0000-0000-0000540A0000}"/>
    <cellStyle name="Normal 3 2 3 3 4" xfId="2645" xr:uid="{00000000-0005-0000-0000-0000550A0000}"/>
    <cellStyle name="Normal 3 2 3 4" xfId="2646" xr:uid="{00000000-0005-0000-0000-0000560A0000}"/>
    <cellStyle name="Normal 3 2 3 4 2" xfId="2647" xr:uid="{00000000-0005-0000-0000-0000570A0000}"/>
    <cellStyle name="Normal 3 2 3 4 2 2" xfId="2648" xr:uid="{00000000-0005-0000-0000-0000580A0000}"/>
    <cellStyle name="Normal 3 2 3 4 3" xfId="2649" xr:uid="{00000000-0005-0000-0000-0000590A0000}"/>
    <cellStyle name="Normal 3 2 3 5" xfId="2650" xr:uid="{00000000-0005-0000-0000-00005A0A0000}"/>
    <cellStyle name="Normal 3 2 3 5 2" xfId="2651" xr:uid="{00000000-0005-0000-0000-00005B0A0000}"/>
    <cellStyle name="Normal 3 2 3 6" xfId="2652" xr:uid="{00000000-0005-0000-0000-00005C0A0000}"/>
    <cellStyle name="Normal 3 2 3 6 2" xfId="2653" xr:uid="{00000000-0005-0000-0000-00005D0A0000}"/>
    <cellStyle name="Normal 3 2 3 7" xfId="2654" xr:uid="{00000000-0005-0000-0000-00005E0A0000}"/>
    <cellStyle name="Normal 3 2 3 8" xfId="2655" xr:uid="{00000000-0005-0000-0000-00005F0A0000}"/>
    <cellStyle name="Normal 3 2 4" xfId="2656" xr:uid="{00000000-0005-0000-0000-0000600A0000}"/>
    <cellStyle name="Normal 3 2 4 2" xfId="2657" xr:uid="{00000000-0005-0000-0000-0000610A0000}"/>
    <cellStyle name="Normal 3 2 4 3" xfId="2658" xr:uid="{00000000-0005-0000-0000-0000620A0000}"/>
    <cellStyle name="Normal 3 2 5" xfId="2659" xr:uid="{00000000-0005-0000-0000-0000630A0000}"/>
    <cellStyle name="Normal 3 2 5 2" xfId="2660" xr:uid="{00000000-0005-0000-0000-0000640A0000}"/>
    <cellStyle name="Normal 3 2 5 2 2" xfId="2661" xr:uid="{00000000-0005-0000-0000-0000650A0000}"/>
    <cellStyle name="Normal 3 2 5 2 2 2" xfId="2662" xr:uid="{00000000-0005-0000-0000-0000660A0000}"/>
    <cellStyle name="Normal 3 2 5 2 3" xfId="2663" xr:uid="{00000000-0005-0000-0000-0000670A0000}"/>
    <cellStyle name="Normal 3 2 5 3" xfId="2664" xr:uid="{00000000-0005-0000-0000-0000680A0000}"/>
    <cellStyle name="Normal 3 2 5 3 2" xfId="2665" xr:uid="{00000000-0005-0000-0000-0000690A0000}"/>
    <cellStyle name="Normal 3 2 5 4" xfId="2666" xr:uid="{00000000-0005-0000-0000-00006A0A0000}"/>
    <cellStyle name="Normal 3 2 5 5" xfId="2667" xr:uid="{00000000-0005-0000-0000-00006B0A0000}"/>
    <cellStyle name="Normal 3 2 6" xfId="2668" xr:uid="{00000000-0005-0000-0000-00006C0A0000}"/>
    <cellStyle name="Normal 3 2 6 2" xfId="2669" xr:uid="{00000000-0005-0000-0000-00006D0A0000}"/>
    <cellStyle name="Normal 3 2 6 2 2" xfId="2670" xr:uid="{00000000-0005-0000-0000-00006E0A0000}"/>
    <cellStyle name="Normal 3 2 6 2 2 2" xfId="2671" xr:uid="{00000000-0005-0000-0000-00006F0A0000}"/>
    <cellStyle name="Normal 3 2 6 2 3" xfId="2672" xr:uid="{00000000-0005-0000-0000-0000700A0000}"/>
    <cellStyle name="Normal 3 2 6 3" xfId="2673" xr:uid="{00000000-0005-0000-0000-0000710A0000}"/>
    <cellStyle name="Normal 3 2 6 3 2" xfId="2674" xr:uid="{00000000-0005-0000-0000-0000720A0000}"/>
    <cellStyle name="Normal 3 2 6 4" xfId="2675" xr:uid="{00000000-0005-0000-0000-0000730A0000}"/>
    <cellStyle name="Normal 3 2 6 5" xfId="2676" xr:uid="{00000000-0005-0000-0000-0000740A0000}"/>
    <cellStyle name="Normal 3 2 7" xfId="2677" xr:uid="{00000000-0005-0000-0000-0000750A0000}"/>
    <cellStyle name="Normal 3 2 7 2" xfId="2678" xr:uid="{00000000-0005-0000-0000-0000760A0000}"/>
    <cellStyle name="Normal 3 2 8" xfId="2679" xr:uid="{00000000-0005-0000-0000-0000770A0000}"/>
    <cellStyle name="Normal 3 3" xfId="2680" xr:uid="{00000000-0005-0000-0000-0000780A0000}"/>
    <cellStyle name="Normal 3 3 2" xfId="2681" xr:uid="{00000000-0005-0000-0000-0000790A0000}"/>
    <cellStyle name="Normal 3 3 2 2" xfId="2682" xr:uid="{00000000-0005-0000-0000-00007A0A0000}"/>
    <cellStyle name="Normal 3 3 2 2 2" xfId="2683" xr:uid="{00000000-0005-0000-0000-00007B0A0000}"/>
    <cellStyle name="Normal 3 3 2 2 2 2" xfId="2684" xr:uid="{00000000-0005-0000-0000-00007C0A0000}"/>
    <cellStyle name="Normal 3 3 2 2 2 2 2" xfId="2685" xr:uid="{00000000-0005-0000-0000-00007D0A0000}"/>
    <cellStyle name="Normal 3 3 2 2 2 3" xfId="2686" xr:uid="{00000000-0005-0000-0000-00007E0A0000}"/>
    <cellStyle name="Normal 3 3 2 2 3" xfId="2687" xr:uid="{00000000-0005-0000-0000-00007F0A0000}"/>
    <cellStyle name="Normal 3 3 2 2 3 2" xfId="2688" xr:uid="{00000000-0005-0000-0000-0000800A0000}"/>
    <cellStyle name="Normal 3 3 2 2 4" xfId="2689" xr:uid="{00000000-0005-0000-0000-0000810A0000}"/>
    <cellStyle name="Normal 3 3 2 2 5" xfId="2690" xr:uid="{00000000-0005-0000-0000-0000820A0000}"/>
    <cellStyle name="Normal 3 3 2 3" xfId="2691" xr:uid="{00000000-0005-0000-0000-0000830A0000}"/>
    <cellStyle name="Normal 3 3 2 3 2" xfId="2692" xr:uid="{00000000-0005-0000-0000-0000840A0000}"/>
    <cellStyle name="Normal 3 3 2 3 2 2" xfId="2693" xr:uid="{00000000-0005-0000-0000-0000850A0000}"/>
    <cellStyle name="Normal 3 3 2 3 2 2 2" xfId="2694" xr:uid="{00000000-0005-0000-0000-0000860A0000}"/>
    <cellStyle name="Normal 3 3 2 3 2 3" xfId="2695" xr:uid="{00000000-0005-0000-0000-0000870A0000}"/>
    <cellStyle name="Normal 3 3 2 3 3" xfId="2696" xr:uid="{00000000-0005-0000-0000-0000880A0000}"/>
    <cellStyle name="Normal 3 3 2 3 3 2" xfId="2697" xr:uid="{00000000-0005-0000-0000-0000890A0000}"/>
    <cellStyle name="Normal 3 3 2 3 4" xfId="2698" xr:uid="{00000000-0005-0000-0000-00008A0A0000}"/>
    <cellStyle name="Normal 3 3 2 4" xfId="2699" xr:uid="{00000000-0005-0000-0000-00008B0A0000}"/>
    <cellStyle name="Normal 3 3 2 4 2" xfId="2700" xr:uid="{00000000-0005-0000-0000-00008C0A0000}"/>
    <cellStyle name="Normal 3 3 2 4 2 2" xfId="2701" xr:uid="{00000000-0005-0000-0000-00008D0A0000}"/>
    <cellStyle name="Normal 3 3 2 4 3" xfId="2702" xr:uid="{00000000-0005-0000-0000-00008E0A0000}"/>
    <cellStyle name="Normal 3 3 2 5" xfId="2703" xr:uid="{00000000-0005-0000-0000-00008F0A0000}"/>
    <cellStyle name="Normal 3 3 2 5 2" xfId="2704" xr:uid="{00000000-0005-0000-0000-0000900A0000}"/>
    <cellStyle name="Normal 3 3 2 6" xfId="2705" xr:uid="{00000000-0005-0000-0000-0000910A0000}"/>
    <cellStyle name="Normal 3 3 2 6 2" xfId="2706" xr:uid="{00000000-0005-0000-0000-0000920A0000}"/>
    <cellStyle name="Normal 3 3 2 7" xfId="2707" xr:uid="{00000000-0005-0000-0000-0000930A0000}"/>
    <cellStyle name="Normal 3 3 2 8" xfId="2708" xr:uid="{00000000-0005-0000-0000-0000940A0000}"/>
    <cellStyle name="Normal 3 3 3" xfId="2709" xr:uid="{00000000-0005-0000-0000-0000950A0000}"/>
    <cellStyle name="Normal 3 3 3 2" xfId="2710" xr:uid="{00000000-0005-0000-0000-0000960A0000}"/>
    <cellStyle name="Normal 3 3 3 3" xfId="2711" xr:uid="{00000000-0005-0000-0000-0000970A0000}"/>
    <cellStyle name="Normal 3 3 4" xfId="2712" xr:uid="{00000000-0005-0000-0000-0000980A0000}"/>
    <cellStyle name="Normal 3 3 4 2" xfId="2713" xr:uid="{00000000-0005-0000-0000-0000990A0000}"/>
    <cellStyle name="Normal 3 3 4 2 2" xfId="2714" xr:uid="{00000000-0005-0000-0000-00009A0A0000}"/>
    <cellStyle name="Normal 3 3 4 2 2 2" xfId="2715" xr:uid="{00000000-0005-0000-0000-00009B0A0000}"/>
    <cellStyle name="Normal 3 3 4 2 3" xfId="2716" xr:uid="{00000000-0005-0000-0000-00009C0A0000}"/>
    <cellStyle name="Normal 3 3 4 3" xfId="2717" xr:uid="{00000000-0005-0000-0000-00009D0A0000}"/>
    <cellStyle name="Normal 3 3 4 3 2" xfId="2718" xr:uid="{00000000-0005-0000-0000-00009E0A0000}"/>
    <cellStyle name="Normal 3 3 4 4" xfId="2719" xr:uid="{00000000-0005-0000-0000-00009F0A0000}"/>
    <cellStyle name="Normal 3 3 4 5" xfId="2720" xr:uid="{00000000-0005-0000-0000-0000A00A0000}"/>
    <cellStyle name="Normal 3 3 5" xfId="2721" xr:uid="{00000000-0005-0000-0000-0000A10A0000}"/>
    <cellStyle name="Normal 3 3 5 2" xfId="2722" xr:uid="{00000000-0005-0000-0000-0000A20A0000}"/>
    <cellStyle name="Normal 3 3 5 2 2" xfId="2723" xr:uid="{00000000-0005-0000-0000-0000A30A0000}"/>
    <cellStyle name="Normal 3 3 5 2 2 2" xfId="2724" xr:uid="{00000000-0005-0000-0000-0000A40A0000}"/>
    <cellStyle name="Normal 3 3 5 2 3" xfId="2725" xr:uid="{00000000-0005-0000-0000-0000A50A0000}"/>
    <cellStyle name="Normal 3 3 5 3" xfId="2726" xr:uid="{00000000-0005-0000-0000-0000A60A0000}"/>
    <cellStyle name="Normal 3 3 5 3 2" xfId="2727" xr:uid="{00000000-0005-0000-0000-0000A70A0000}"/>
    <cellStyle name="Normal 3 3 5 4" xfId="2728" xr:uid="{00000000-0005-0000-0000-0000A80A0000}"/>
    <cellStyle name="Normal 3 3 5 5" xfId="2729" xr:uid="{00000000-0005-0000-0000-0000A90A0000}"/>
    <cellStyle name="Normal 3 3 6" xfId="2730" xr:uid="{00000000-0005-0000-0000-0000AA0A0000}"/>
    <cellStyle name="Normal 3 3 6 2" xfId="2731" xr:uid="{00000000-0005-0000-0000-0000AB0A0000}"/>
    <cellStyle name="Normal 3 3 7" xfId="2732" xr:uid="{00000000-0005-0000-0000-0000AC0A0000}"/>
    <cellStyle name="Normal 3 4" xfId="2733" xr:uid="{00000000-0005-0000-0000-0000AD0A0000}"/>
    <cellStyle name="Normal 3 4 2" xfId="2734" xr:uid="{00000000-0005-0000-0000-0000AE0A0000}"/>
    <cellStyle name="Normal 3 4 2 2" xfId="2735" xr:uid="{00000000-0005-0000-0000-0000AF0A0000}"/>
    <cellStyle name="Normal 3 4 2 2 2" xfId="2736" xr:uid="{00000000-0005-0000-0000-0000B00A0000}"/>
    <cellStyle name="Normal 3 4 2 2 2 2" xfId="2737" xr:uid="{00000000-0005-0000-0000-0000B10A0000}"/>
    <cellStyle name="Normal 3 4 2 2 2 2 2" xfId="2738" xr:uid="{00000000-0005-0000-0000-0000B20A0000}"/>
    <cellStyle name="Normal 3 4 2 2 2 3" xfId="2739" xr:uid="{00000000-0005-0000-0000-0000B30A0000}"/>
    <cellStyle name="Normal 3 4 2 2 3" xfId="2740" xr:uid="{00000000-0005-0000-0000-0000B40A0000}"/>
    <cellStyle name="Normal 3 4 2 2 3 2" xfId="2741" xr:uid="{00000000-0005-0000-0000-0000B50A0000}"/>
    <cellStyle name="Normal 3 4 2 2 4" xfId="2742" xr:uid="{00000000-0005-0000-0000-0000B60A0000}"/>
    <cellStyle name="Normal 3 4 2 2 5" xfId="2743" xr:uid="{00000000-0005-0000-0000-0000B70A0000}"/>
    <cellStyle name="Normal 3 4 2 3" xfId="2744" xr:uid="{00000000-0005-0000-0000-0000B80A0000}"/>
    <cellStyle name="Normal 3 4 2 3 2" xfId="2745" xr:uid="{00000000-0005-0000-0000-0000B90A0000}"/>
    <cellStyle name="Normal 3 4 2 3 2 2" xfId="2746" xr:uid="{00000000-0005-0000-0000-0000BA0A0000}"/>
    <cellStyle name="Normal 3 4 2 3 3" xfId="2747" xr:uid="{00000000-0005-0000-0000-0000BB0A0000}"/>
    <cellStyle name="Normal 3 4 2 4" xfId="2748" xr:uid="{00000000-0005-0000-0000-0000BC0A0000}"/>
    <cellStyle name="Normal 3 4 2 4 2" xfId="2749" xr:uid="{00000000-0005-0000-0000-0000BD0A0000}"/>
    <cellStyle name="Normal 3 4 2 5" xfId="2750" xr:uid="{00000000-0005-0000-0000-0000BE0A0000}"/>
    <cellStyle name="Normal 3 4 2 5 2" xfId="2751" xr:uid="{00000000-0005-0000-0000-0000BF0A0000}"/>
    <cellStyle name="Normal 3 4 2 6" xfId="2752" xr:uid="{00000000-0005-0000-0000-0000C00A0000}"/>
    <cellStyle name="Normal 3 4 2 7" xfId="2753" xr:uid="{00000000-0005-0000-0000-0000C10A0000}"/>
    <cellStyle name="Normal 3 4 3" xfId="2754" xr:uid="{00000000-0005-0000-0000-0000C20A0000}"/>
    <cellStyle name="Normal 3 4 3 2" xfId="2755" xr:uid="{00000000-0005-0000-0000-0000C30A0000}"/>
    <cellStyle name="Normal 3 4 3 2 2" xfId="2756" xr:uid="{00000000-0005-0000-0000-0000C40A0000}"/>
    <cellStyle name="Normal 3 4 3 2 2 2" xfId="2757" xr:uid="{00000000-0005-0000-0000-0000C50A0000}"/>
    <cellStyle name="Normal 3 4 3 2 3" xfId="2758" xr:uid="{00000000-0005-0000-0000-0000C60A0000}"/>
    <cellStyle name="Normal 3 4 3 2 4" xfId="2759" xr:uid="{00000000-0005-0000-0000-0000C70A0000}"/>
    <cellStyle name="Normal 3 4 3 3" xfId="2760" xr:uid="{00000000-0005-0000-0000-0000C80A0000}"/>
    <cellStyle name="Normal 3 4 3 3 2" xfId="2761" xr:uid="{00000000-0005-0000-0000-0000C90A0000}"/>
    <cellStyle name="Normal 3 4 3 4" xfId="2762" xr:uid="{00000000-0005-0000-0000-0000CA0A0000}"/>
    <cellStyle name="Normal 3 4 3 5" xfId="2763" xr:uid="{00000000-0005-0000-0000-0000CB0A0000}"/>
    <cellStyle name="Normal 3 4 4" xfId="2764" xr:uid="{00000000-0005-0000-0000-0000CC0A0000}"/>
    <cellStyle name="Normal 3 4 4 2" xfId="2765" xr:uid="{00000000-0005-0000-0000-0000CD0A0000}"/>
    <cellStyle name="Normal 3 4 4 2 2" xfId="2766" xr:uid="{00000000-0005-0000-0000-0000CE0A0000}"/>
    <cellStyle name="Normal 3 4 4 2 2 2" xfId="2767" xr:uid="{00000000-0005-0000-0000-0000CF0A0000}"/>
    <cellStyle name="Normal 3 4 4 2 3" xfId="2768" xr:uid="{00000000-0005-0000-0000-0000D00A0000}"/>
    <cellStyle name="Normal 3 4 4 3" xfId="2769" xr:uid="{00000000-0005-0000-0000-0000D10A0000}"/>
    <cellStyle name="Normal 3 4 4 3 2" xfId="2770" xr:uid="{00000000-0005-0000-0000-0000D20A0000}"/>
    <cellStyle name="Normal 3 4 4 4" xfId="2771" xr:uid="{00000000-0005-0000-0000-0000D30A0000}"/>
    <cellStyle name="Normal 3 4 4 5" xfId="2772" xr:uid="{00000000-0005-0000-0000-0000D40A0000}"/>
    <cellStyle name="Normal 3 4 5" xfId="2773" xr:uid="{00000000-0005-0000-0000-0000D50A0000}"/>
    <cellStyle name="Normal 3 4 5 2" xfId="2774" xr:uid="{00000000-0005-0000-0000-0000D60A0000}"/>
    <cellStyle name="Normal 3 4 5 2 2" xfId="2775" xr:uid="{00000000-0005-0000-0000-0000D70A0000}"/>
    <cellStyle name="Normal 3 4 5 3" xfId="2776" xr:uid="{00000000-0005-0000-0000-0000D80A0000}"/>
    <cellStyle name="Normal 3 4 5 4" xfId="2777" xr:uid="{00000000-0005-0000-0000-0000D90A0000}"/>
    <cellStyle name="Normal 3 4 6" xfId="2778" xr:uid="{00000000-0005-0000-0000-0000DA0A0000}"/>
    <cellStyle name="Normal 3 4 6 2" xfId="2779" xr:uid="{00000000-0005-0000-0000-0000DB0A0000}"/>
    <cellStyle name="Normal 3 4 7" xfId="2780" xr:uid="{00000000-0005-0000-0000-0000DC0A0000}"/>
    <cellStyle name="Normal 3 4 7 2" xfId="2781" xr:uid="{00000000-0005-0000-0000-0000DD0A0000}"/>
    <cellStyle name="Normal 3 4 8" xfId="2782" xr:uid="{00000000-0005-0000-0000-0000DE0A0000}"/>
    <cellStyle name="Normal 3 4 9" xfId="2783" xr:uid="{00000000-0005-0000-0000-0000DF0A0000}"/>
    <cellStyle name="Normal 3 5" xfId="2784" xr:uid="{00000000-0005-0000-0000-0000E00A0000}"/>
    <cellStyle name="Normal 3 5 2" xfId="2785" xr:uid="{00000000-0005-0000-0000-0000E10A0000}"/>
    <cellStyle name="Normal 3 5 2 2" xfId="2786" xr:uid="{00000000-0005-0000-0000-0000E20A0000}"/>
    <cellStyle name="Normal 3 5 2 2 2" xfId="2787" xr:uid="{00000000-0005-0000-0000-0000E30A0000}"/>
    <cellStyle name="Normal 3 5 2 2 2 2" xfId="2788" xr:uid="{00000000-0005-0000-0000-0000E40A0000}"/>
    <cellStyle name="Normal 3 5 2 2 3" xfId="2789" xr:uid="{00000000-0005-0000-0000-0000E50A0000}"/>
    <cellStyle name="Normal 3 5 2 2 4" xfId="2790" xr:uid="{00000000-0005-0000-0000-0000E60A0000}"/>
    <cellStyle name="Normal 3 5 2 3" xfId="2791" xr:uid="{00000000-0005-0000-0000-0000E70A0000}"/>
    <cellStyle name="Normal 3 5 2 3 2" xfId="2792" xr:uid="{00000000-0005-0000-0000-0000E80A0000}"/>
    <cellStyle name="Normal 3 5 2 4" xfId="2793" xr:uid="{00000000-0005-0000-0000-0000E90A0000}"/>
    <cellStyle name="Normal 3 5 2 4 2" xfId="2794" xr:uid="{00000000-0005-0000-0000-0000EA0A0000}"/>
    <cellStyle name="Normal 3 5 2 5" xfId="2795" xr:uid="{00000000-0005-0000-0000-0000EB0A0000}"/>
    <cellStyle name="Normal 3 5 2 6" xfId="2796" xr:uid="{00000000-0005-0000-0000-0000EC0A0000}"/>
    <cellStyle name="Normal 3 5 3" xfId="2797" xr:uid="{00000000-0005-0000-0000-0000ED0A0000}"/>
    <cellStyle name="Normal 3 5 3 2" xfId="2798" xr:uid="{00000000-0005-0000-0000-0000EE0A0000}"/>
    <cellStyle name="Normal 3 5 3 2 2" xfId="2799" xr:uid="{00000000-0005-0000-0000-0000EF0A0000}"/>
    <cellStyle name="Normal 3 5 3 2 2 2" xfId="2800" xr:uid="{00000000-0005-0000-0000-0000F00A0000}"/>
    <cellStyle name="Normal 3 5 3 2 3" xfId="2801" xr:uid="{00000000-0005-0000-0000-0000F10A0000}"/>
    <cellStyle name="Normal 3 5 3 2 4" xfId="2802" xr:uid="{00000000-0005-0000-0000-0000F20A0000}"/>
    <cellStyle name="Normal 3 5 3 3" xfId="2803" xr:uid="{00000000-0005-0000-0000-0000F30A0000}"/>
    <cellStyle name="Normal 3 5 3 3 2" xfId="2804" xr:uid="{00000000-0005-0000-0000-0000F40A0000}"/>
    <cellStyle name="Normal 3 5 3 4" xfId="2805" xr:uid="{00000000-0005-0000-0000-0000F50A0000}"/>
    <cellStyle name="Normal 3 5 3 5" xfId="2806" xr:uid="{00000000-0005-0000-0000-0000F60A0000}"/>
    <cellStyle name="Normal 3 5 4" xfId="2807" xr:uid="{00000000-0005-0000-0000-0000F70A0000}"/>
    <cellStyle name="Normal 3 5 4 2" xfId="2808" xr:uid="{00000000-0005-0000-0000-0000F80A0000}"/>
    <cellStyle name="Normal 3 5 4 2 2" xfId="2809" xr:uid="{00000000-0005-0000-0000-0000F90A0000}"/>
    <cellStyle name="Normal 3 5 4 3" xfId="2810" xr:uid="{00000000-0005-0000-0000-0000FA0A0000}"/>
    <cellStyle name="Normal 3 5 4 4" xfId="2811" xr:uid="{00000000-0005-0000-0000-0000FB0A0000}"/>
    <cellStyle name="Normal 3 5 5" xfId="2812" xr:uid="{00000000-0005-0000-0000-0000FC0A0000}"/>
    <cellStyle name="Normal 3 5 5 2" xfId="2813" xr:uid="{00000000-0005-0000-0000-0000FD0A0000}"/>
    <cellStyle name="Normal 3 5 5 2 2" xfId="2814" xr:uid="{00000000-0005-0000-0000-0000FE0A0000}"/>
    <cellStyle name="Normal 3 5 5 3" xfId="2815" xr:uid="{00000000-0005-0000-0000-0000FF0A0000}"/>
    <cellStyle name="Normal 3 5 5 4" xfId="2816" xr:uid="{00000000-0005-0000-0000-0000000B0000}"/>
    <cellStyle name="Normal 3 5 6" xfId="2817" xr:uid="{00000000-0005-0000-0000-0000010B0000}"/>
    <cellStyle name="Normal 3 5 6 2" xfId="2818" xr:uid="{00000000-0005-0000-0000-0000020B0000}"/>
    <cellStyle name="Normal 3 5 7" xfId="2819" xr:uid="{00000000-0005-0000-0000-0000030B0000}"/>
    <cellStyle name="Normal 3 5 7 2" xfId="2820" xr:uid="{00000000-0005-0000-0000-0000040B0000}"/>
    <cellStyle name="Normal 3 5 8" xfId="2821" xr:uid="{00000000-0005-0000-0000-0000050B0000}"/>
    <cellStyle name="Normal 3 5 9" xfId="2822" xr:uid="{00000000-0005-0000-0000-0000060B0000}"/>
    <cellStyle name="Normal 3 6" xfId="2823" xr:uid="{00000000-0005-0000-0000-0000070B0000}"/>
    <cellStyle name="Normal 3 6 2" xfId="2824" xr:uid="{00000000-0005-0000-0000-0000080B0000}"/>
    <cellStyle name="Normal 3 6 2 2" xfId="2825" xr:uid="{00000000-0005-0000-0000-0000090B0000}"/>
    <cellStyle name="Normal 3 6 2 2 2" xfId="2826" xr:uid="{00000000-0005-0000-0000-00000A0B0000}"/>
    <cellStyle name="Normal 3 6 2 2 2 2" xfId="2827" xr:uid="{00000000-0005-0000-0000-00000B0B0000}"/>
    <cellStyle name="Normal 3 6 2 2 3" xfId="2828" xr:uid="{00000000-0005-0000-0000-00000C0B0000}"/>
    <cellStyle name="Normal 3 6 2 3" xfId="2829" xr:uid="{00000000-0005-0000-0000-00000D0B0000}"/>
    <cellStyle name="Normal 3 6 2 3 2" xfId="2830" xr:uid="{00000000-0005-0000-0000-00000E0B0000}"/>
    <cellStyle name="Normal 3 6 2 4" xfId="2831" xr:uid="{00000000-0005-0000-0000-00000F0B0000}"/>
    <cellStyle name="Normal 3 6 2 5" xfId="2832" xr:uid="{00000000-0005-0000-0000-0000100B0000}"/>
    <cellStyle name="Normal 3 6 3" xfId="2833" xr:uid="{00000000-0005-0000-0000-0000110B0000}"/>
    <cellStyle name="Normal 3 6 3 2" xfId="2834" xr:uid="{00000000-0005-0000-0000-0000120B0000}"/>
    <cellStyle name="Normal 3 6 3 2 2" xfId="2835" xr:uid="{00000000-0005-0000-0000-0000130B0000}"/>
    <cellStyle name="Normal 3 6 3 3" xfId="2836" xr:uid="{00000000-0005-0000-0000-0000140B0000}"/>
    <cellStyle name="Normal 3 6 4" xfId="2837" xr:uid="{00000000-0005-0000-0000-0000150B0000}"/>
    <cellStyle name="Normal 3 6 4 2" xfId="2838" xr:uid="{00000000-0005-0000-0000-0000160B0000}"/>
    <cellStyle name="Normal 3 6 5" xfId="2839" xr:uid="{00000000-0005-0000-0000-0000170B0000}"/>
    <cellStyle name="Normal 3 6 5 2" xfId="2840" xr:uid="{00000000-0005-0000-0000-0000180B0000}"/>
    <cellStyle name="Normal 3 6 6" xfId="2841" xr:uid="{00000000-0005-0000-0000-0000190B0000}"/>
    <cellStyle name="Normal 3 6 7" xfId="2842" xr:uid="{00000000-0005-0000-0000-00001A0B0000}"/>
    <cellStyle name="Normal 3 7" xfId="2843" xr:uid="{00000000-0005-0000-0000-00001B0B0000}"/>
    <cellStyle name="Normal 3 7 2" xfId="2844" xr:uid="{00000000-0005-0000-0000-00001C0B0000}"/>
    <cellStyle name="Normal 3 7 2 2" xfId="2845" xr:uid="{00000000-0005-0000-0000-00001D0B0000}"/>
    <cellStyle name="Normal 3 7 2 2 2" xfId="2846" xr:uid="{00000000-0005-0000-0000-00001E0B0000}"/>
    <cellStyle name="Normal 3 7 2 3" xfId="2847" xr:uid="{00000000-0005-0000-0000-00001F0B0000}"/>
    <cellStyle name="Normal 3 7 2 4" xfId="2848" xr:uid="{00000000-0005-0000-0000-0000200B0000}"/>
    <cellStyle name="Normal 3 7 3" xfId="2849" xr:uid="{00000000-0005-0000-0000-0000210B0000}"/>
    <cellStyle name="Normal 3 7 3 2" xfId="2850" xr:uid="{00000000-0005-0000-0000-0000220B0000}"/>
    <cellStyle name="Normal 3 7 4" xfId="2851" xr:uid="{00000000-0005-0000-0000-0000230B0000}"/>
    <cellStyle name="Normal 3 7 5" xfId="2852" xr:uid="{00000000-0005-0000-0000-0000240B0000}"/>
    <cellStyle name="Normal 3 8" xfId="2853" xr:uid="{00000000-0005-0000-0000-0000250B0000}"/>
    <cellStyle name="Normal 3 8 2" xfId="2854" xr:uid="{00000000-0005-0000-0000-0000260B0000}"/>
    <cellStyle name="Normal 3 8 2 2" xfId="2855" xr:uid="{00000000-0005-0000-0000-0000270B0000}"/>
    <cellStyle name="Normal 3 8 3" xfId="2856" xr:uid="{00000000-0005-0000-0000-0000280B0000}"/>
    <cellStyle name="Normal 3 8 4" xfId="2857" xr:uid="{00000000-0005-0000-0000-0000290B0000}"/>
    <cellStyle name="Normal 3 9" xfId="2858" xr:uid="{00000000-0005-0000-0000-00002A0B0000}"/>
    <cellStyle name="Normal 3 9 2" xfId="2859" xr:uid="{00000000-0005-0000-0000-00002B0B0000}"/>
    <cellStyle name="Normal 3 9 3" xfId="2860" xr:uid="{00000000-0005-0000-0000-00002C0B0000}"/>
    <cellStyle name="Normal 3_Dual_Mode_Time" xfId="2861" xr:uid="{00000000-0005-0000-0000-00002D0B0000}"/>
    <cellStyle name="Normal 30" xfId="2862" xr:uid="{00000000-0005-0000-0000-00002E0B0000}"/>
    <cellStyle name="Normal 30 2" xfId="2863" xr:uid="{00000000-0005-0000-0000-00002F0B0000}"/>
    <cellStyle name="Normal 30 2 2" xfId="2864" xr:uid="{00000000-0005-0000-0000-0000300B0000}"/>
    <cellStyle name="Normal 30 2 2 2" xfId="2865" xr:uid="{00000000-0005-0000-0000-0000310B0000}"/>
    <cellStyle name="Normal 30 2 2 2 2" xfId="2866" xr:uid="{00000000-0005-0000-0000-0000320B0000}"/>
    <cellStyle name="Normal 30 2 2 2 2 2" xfId="2867" xr:uid="{00000000-0005-0000-0000-0000330B0000}"/>
    <cellStyle name="Normal 30 2 2 2 3" xfId="2868" xr:uid="{00000000-0005-0000-0000-0000340B0000}"/>
    <cellStyle name="Normal 30 2 2 2 4" xfId="2869" xr:uid="{00000000-0005-0000-0000-0000350B0000}"/>
    <cellStyle name="Normal 30 2 2 3" xfId="2870" xr:uid="{00000000-0005-0000-0000-0000360B0000}"/>
    <cellStyle name="Normal 30 2 2 3 2" xfId="2871" xr:uid="{00000000-0005-0000-0000-0000370B0000}"/>
    <cellStyle name="Normal 30 2 2 4" xfId="2872" xr:uid="{00000000-0005-0000-0000-0000380B0000}"/>
    <cellStyle name="Normal 30 2 2 4 2" xfId="2873" xr:uid="{00000000-0005-0000-0000-0000390B0000}"/>
    <cellStyle name="Normal 30 2 2 5" xfId="2874" xr:uid="{00000000-0005-0000-0000-00003A0B0000}"/>
    <cellStyle name="Normal 30 2 2 6" xfId="2875" xr:uid="{00000000-0005-0000-0000-00003B0B0000}"/>
    <cellStyle name="Normal 30 2 3" xfId="2876" xr:uid="{00000000-0005-0000-0000-00003C0B0000}"/>
    <cellStyle name="Normal 30 2 3 2" xfId="2877" xr:uid="{00000000-0005-0000-0000-00003D0B0000}"/>
    <cellStyle name="Normal 30 2 3 2 2" xfId="2878" xr:uid="{00000000-0005-0000-0000-00003E0B0000}"/>
    <cellStyle name="Normal 30 2 3 2 2 2" xfId="2879" xr:uid="{00000000-0005-0000-0000-00003F0B0000}"/>
    <cellStyle name="Normal 30 2 3 2 3" xfId="2880" xr:uid="{00000000-0005-0000-0000-0000400B0000}"/>
    <cellStyle name="Normal 30 2 3 2 4" xfId="2881" xr:uid="{00000000-0005-0000-0000-0000410B0000}"/>
    <cellStyle name="Normal 30 2 3 3" xfId="2882" xr:uid="{00000000-0005-0000-0000-0000420B0000}"/>
    <cellStyle name="Normal 30 2 3 3 2" xfId="2883" xr:uid="{00000000-0005-0000-0000-0000430B0000}"/>
    <cellStyle name="Normal 30 2 3 4" xfId="2884" xr:uid="{00000000-0005-0000-0000-0000440B0000}"/>
    <cellStyle name="Normal 30 2 3 5" xfId="2885" xr:uid="{00000000-0005-0000-0000-0000450B0000}"/>
    <cellStyle name="Normal 30 2 4" xfId="2886" xr:uid="{00000000-0005-0000-0000-0000460B0000}"/>
    <cellStyle name="Normal 30 2 4 2" xfId="2887" xr:uid="{00000000-0005-0000-0000-0000470B0000}"/>
    <cellStyle name="Normal 30 2 4 2 2" xfId="2888" xr:uid="{00000000-0005-0000-0000-0000480B0000}"/>
    <cellStyle name="Normal 30 2 4 3" xfId="2889" xr:uid="{00000000-0005-0000-0000-0000490B0000}"/>
    <cellStyle name="Normal 30 2 4 4" xfId="2890" xr:uid="{00000000-0005-0000-0000-00004A0B0000}"/>
    <cellStyle name="Normal 30 2 5" xfId="2891" xr:uid="{00000000-0005-0000-0000-00004B0B0000}"/>
    <cellStyle name="Normal 30 2 5 2" xfId="2892" xr:uid="{00000000-0005-0000-0000-00004C0B0000}"/>
    <cellStyle name="Normal 30 2 5 2 2" xfId="2893" xr:uid="{00000000-0005-0000-0000-00004D0B0000}"/>
    <cellStyle name="Normal 30 2 5 3" xfId="2894" xr:uid="{00000000-0005-0000-0000-00004E0B0000}"/>
    <cellStyle name="Normal 30 2 5 4" xfId="2895" xr:uid="{00000000-0005-0000-0000-00004F0B0000}"/>
    <cellStyle name="Normal 30 2 6" xfId="2896" xr:uid="{00000000-0005-0000-0000-0000500B0000}"/>
    <cellStyle name="Normal 30 2 6 2" xfId="2897" xr:uid="{00000000-0005-0000-0000-0000510B0000}"/>
    <cellStyle name="Normal 30 2 7" xfId="2898" xr:uid="{00000000-0005-0000-0000-0000520B0000}"/>
    <cellStyle name="Normal 30 2 7 2" xfId="2899" xr:uid="{00000000-0005-0000-0000-0000530B0000}"/>
    <cellStyle name="Normal 30 2 8" xfId="2900" xr:uid="{00000000-0005-0000-0000-0000540B0000}"/>
    <cellStyle name="Normal 30 2 9" xfId="2901" xr:uid="{00000000-0005-0000-0000-0000550B0000}"/>
    <cellStyle name="Normal 30 3" xfId="2902" xr:uid="{00000000-0005-0000-0000-0000560B0000}"/>
    <cellStyle name="Normal 30 3 2" xfId="2903" xr:uid="{00000000-0005-0000-0000-0000570B0000}"/>
    <cellStyle name="Normal 30 3 2 2" xfId="2904" xr:uid="{00000000-0005-0000-0000-0000580B0000}"/>
    <cellStyle name="Normal 30 3 2 2 2" xfId="2905" xr:uid="{00000000-0005-0000-0000-0000590B0000}"/>
    <cellStyle name="Normal 30 3 2 2 2 2" xfId="2906" xr:uid="{00000000-0005-0000-0000-00005A0B0000}"/>
    <cellStyle name="Normal 30 3 2 2 3" xfId="2907" xr:uid="{00000000-0005-0000-0000-00005B0B0000}"/>
    <cellStyle name="Normal 30 3 2 3" xfId="2908" xr:uid="{00000000-0005-0000-0000-00005C0B0000}"/>
    <cellStyle name="Normal 30 3 2 3 2" xfId="2909" xr:uid="{00000000-0005-0000-0000-00005D0B0000}"/>
    <cellStyle name="Normal 30 3 2 4" xfId="2910" xr:uid="{00000000-0005-0000-0000-00005E0B0000}"/>
    <cellStyle name="Normal 30 3 3" xfId="2911" xr:uid="{00000000-0005-0000-0000-00005F0B0000}"/>
    <cellStyle name="Normal 30 3 3 2" xfId="2912" xr:uid="{00000000-0005-0000-0000-0000600B0000}"/>
    <cellStyle name="Normal 30 3 3 2 2" xfId="2913" xr:uid="{00000000-0005-0000-0000-0000610B0000}"/>
    <cellStyle name="Normal 30 3 3 3" xfId="2914" xr:uid="{00000000-0005-0000-0000-0000620B0000}"/>
    <cellStyle name="Normal 30 3 4" xfId="2915" xr:uid="{00000000-0005-0000-0000-0000630B0000}"/>
    <cellStyle name="Normal 30 3 4 2" xfId="2916" xr:uid="{00000000-0005-0000-0000-0000640B0000}"/>
    <cellStyle name="Normal 30 3 5" xfId="2917" xr:uid="{00000000-0005-0000-0000-0000650B0000}"/>
    <cellStyle name="Normal 30 4" xfId="2918" xr:uid="{00000000-0005-0000-0000-0000660B0000}"/>
    <cellStyle name="Normal 30 4 2" xfId="2919" xr:uid="{00000000-0005-0000-0000-0000670B0000}"/>
    <cellStyle name="Normal 30 4 2 2" xfId="2920" xr:uid="{00000000-0005-0000-0000-0000680B0000}"/>
    <cellStyle name="Normal 30 4 2 2 2" xfId="2921" xr:uid="{00000000-0005-0000-0000-0000690B0000}"/>
    <cellStyle name="Normal 30 4 2 3" xfId="2922" xr:uid="{00000000-0005-0000-0000-00006A0B0000}"/>
    <cellStyle name="Normal 30 4 3" xfId="2923" xr:uid="{00000000-0005-0000-0000-00006B0B0000}"/>
    <cellStyle name="Normal 30 4 3 2" xfId="2924" xr:uid="{00000000-0005-0000-0000-00006C0B0000}"/>
    <cellStyle name="Normal 30 4 4" xfId="2925" xr:uid="{00000000-0005-0000-0000-00006D0B0000}"/>
    <cellStyle name="Normal 30 5" xfId="2926" xr:uid="{00000000-0005-0000-0000-00006E0B0000}"/>
    <cellStyle name="Normal 30 5 2" xfId="2927" xr:uid="{00000000-0005-0000-0000-00006F0B0000}"/>
    <cellStyle name="Normal 30 5 2 2" xfId="2928" xr:uid="{00000000-0005-0000-0000-0000700B0000}"/>
    <cellStyle name="Normal 30 5 2 2 2" xfId="2929" xr:uid="{00000000-0005-0000-0000-0000710B0000}"/>
    <cellStyle name="Normal 30 5 2 3" xfId="2930" xr:uid="{00000000-0005-0000-0000-0000720B0000}"/>
    <cellStyle name="Normal 30 5 3" xfId="2931" xr:uid="{00000000-0005-0000-0000-0000730B0000}"/>
    <cellStyle name="Normal 30 5 3 2" xfId="2932" xr:uid="{00000000-0005-0000-0000-0000740B0000}"/>
    <cellStyle name="Normal 30 5 4" xfId="2933" xr:uid="{00000000-0005-0000-0000-0000750B0000}"/>
    <cellStyle name="Normal 30 6" xfId="2934" xr:uid="{00000000-0005-0000-0000-0000760B0000}"/>
    <cellStyle name="Normal 30 6 2" xfId="2935" xr:uid="{00000000-0005-0000-0000-0000770B0000}"/>
    <cellStyle name="Normal 30 6 2 2" xfId="2936" xr:uid="{00000000-0005-0000-0000-0000780B0000}"/>
    <cellStyle name="Normal 30 6 3" xfId="2937" xr:uid="{00000000-0005-0000-0000-0000790B0000}"/>
    <cellStyle name="Normal 30 7" xfId="2938" xr:uid="{00000000-0005-0000-0000-00007A0B0000}"/>
    <cellStyle name="Normal 30 7 2" xfId="2939" xr:uid="{00000000-0005-0000-0000-00007B0B0000}"/>
    <cellStyle name="Normal 30 8" xfId="2940" xr:uid="{00000000-0005-0000-0000-00007C0B0000}"/>
    <cellStyle name="Normal 31" xfId="2941" xr:uid="{00000000-0005-0000-0000-00007D0B0000}"/>
    <cellStyle name="Normal 31 2" xfId="2942" xr:uid="{00000000-0005-0000-0000-00007E0B0000}"/>
    <cellStyle name="Normal 31 2 2" xfId="2943" xr:uid="{00000000-0005-0000-0000-00007F0B0000}"/>
    <cellStyle name="Normal 31 2 2 2" xfId="2944" xr:uid="{00000000-0005-0000-0000-0000800B0000}"/>
    <cellStyle name="Normal 31 2 2 2 2" xfId="2945" xr:uid="{00000000-0005-0000-0000-0000810B0000}"/>
    <cellStyle name="Normal 31 2 2 2 2 2" xfId="2946" xr:uid="{00000000-0005-0000-0000-0000820B0000}"/>
    <cellStyle name="Normal 31 2 2 2 3" xfId="2947" xr:uid="{00000000-0005-0000-0000-0000830B0000}"/>
    <cellStyle name="Normal 31 2 2 2 4" xfId="2948" xr:uid="{00000000-0005-0000-0000-0000840B0000}"/>
    <cellStyle name="Normal 31 2 2 3" xfId="2949" xr:uid="{00000000-0005-0000-0000-0000850B0000}"/>
    <cellStyle name="Normal 31 2 2 3 2" xfId="2950" xr:uid="{00000000-0005-0000-0000-0000860B0000}"/>
    <cellStyle name="Normal 31 2 2 4" xfId="2951" xr:uid="{00000000-0005-0000-0000-0000870B0000}"/>
    <cellStyle name="Normal 31 2 2 4 2" xfId="2952" xr:uid="{00000000-0005-0000-0000-0000880B0000}"/>
    <cellStyle name="Normal 31 2 2 5" xfId="2953" xr:uid="{00000000-0005-0000-0000-0000890B0000}"/>
    <cellStyle name="Normal 31 2 2 6" xfId="2954" xr:uid="{00000000-0005-0000-0000-00008A0B0000}"/>
    <cellStyle name="Normal 31 2 3" xfId="2955" xr:uid="{00000000-0005-0000-0000-00008B0B0000}"/>
    <cellStyle name="Normal 31 2 3 2" xfId="2956" xr:uid="{00000000-0005-0000-0000-00008C0B0000}"/>
    <cellStyle name="Normal 31 2 3 2 2" xfId="2957" xr:uid="{00000000-0005-0000-0000-00008D0B0000}"/>
    <cellStyle name="Normal 31 2 3 2 2 2" xfId="2958" xr:uid="{00000000-0005-0000-0000-00008E0B0000}"/>
    <cellStyle name="Normal 31 2 3 2 3" xfId="2959" xr:uid="{00000000-0005-0000-0000-00008F0B0000}"/>
    <cellStyle name="Normal 31 2 3 2 4" xfId="2960" xr:uid="{00000000-0005-0000-0000-0000900B0000}"/>
    <cellStyle name="Normal 31 2 3 3" xfId="2961" xr:uid="{00000000-0005-0000-0000-0000910B0000}"/>
    <cellStyle name="Normal 31 2 3 3 2" xfId="2962" xr:uid="{00000000-0005-0000-0000-0000920B0000}"/>
    <cellStyle name="Normal 31 2 3 4" xfId="2963" xr:uid="{00000000-0005-0000-0000-0000930B0000}"/>
    <cellStyle name="Normal 31 2 3 5" xfId="2964" xr:uid="{00000000-0005-0000-0000-0000940B0000}"/>
    <cellStyle name="Normal 31 2 4" xfId="2965" xr:uid="{00000000-0005-0000-0000-0000950B0000}"/>
    <cellStyle name="Normal 31 2 4 2" xfId="2966" xr:uid="{00000000-0005-0000-0000-0000960B0000}"/>
    <cellStyle name="Normal 31 2 4 2 2" xfId="2967" xr:uid="{00000000-0005-0000-0000-0000970B0000}"/>
    <cellStyle name="Normal 31 2 4 3" xfId="2968" xr:uid="{00000000-0005-0000-0000-0000980B0000}"/>
    <cellStyle name="Normal 31 2 4 4" xfId="2969" xr:uid="{00000000-0005-0000-0000-0000990B0000}"/>
    <cellStyle name="Normal 31 2 5" xfId="2970" xr:uid="{00000000-0005-0000-0000-00009A0B0000}"/>
    <cellStyle name="Normal 31 2 5 2" xfId="2971" xr:uid="{00000000-0005-0000-0000-00009B0B0000}"/>
    <cellStyle name="Normal 31 2 5 2 2" xfId="2972" xr:uid="{00000000-0005-0000-0000-00009C0B0000}"/>
    <cellStyle name="Normal 31 2 5 3" xfId="2973" xr:uid="{00000000-0005-0000-0000-00009D0B0000}"/>
    <cellStyle name="Normal 31 2 5 4" xfId="2974" xr:uid="{00000000-0005-0000-0000-00009E0B0000}"/>
    <cellStyle name="Normal 31 2 6" xfId="2975" xr:uid="{00000000-0005-0000-0000-00009F0B0000}"/>
    <cellStyle name="Normal 31 2 6 2" xfId="2976" xr:uid="{00000000-0005-0000-0000-0000A00B0000}"/>
    <cellStyle name="Normal 31 2 7" xfId="2977" xr:uid="{00000000-0005-0000-0000-0000A10B0000}"/>
    <cellStyle name="Normal 31 2 7 2" xfId="2978" xr:uid="{00000000-0005-0000-0000-0000A20B0000}"/>
    <cellStyle name="Normal 31 2 8" xfId="2979" xr:uid="{00000000-0005-0000-0000-0000A30B0000}"/>
    <cellStyle name="Normal 31 2 9" xfId="2980" xr:uid="{00000000-0005-0000-0000-0000A40B0000}"/>
    <cellStyle name="Normal 31 3" xfId="2981" xr:uid="{00000000-0005-0000-0000-0000A50B0000}"/>
    <cellStyle name="Normal 31 3 2" xfId="2982" xr:uid="{00000000-0005-0000-0000-0000A60B0000}"/>
    <cellStyle name="Normal 31 3 2 2" xfId="2983" xr:uid="{00000000-0005-0000-0000-0000A70B0000}"/>
    <cellStyle name="Normal 31 3 2 2 2" xfId="2984" xr:uid="{00000000-0005-0000-0000-0000A80B0000}"/>
    <cellStyle name="Normal 31 3 2 2 2 2" xfId="2985" xr:uid="{00000000-0005-0000-0000-0000A90B0000}"/>
    <cellStyle name="Normal 31 3 2 2 3" xfId="2986" xr:uid="{00000000-0005-0000-0000-0000AA0B0000}"/>
    <cellStyle name="Normal 31 3 2 3" xfId="2987" xr:uid="{00000000-0005-0000-0000-0000AB0B0000}"/>
    <cellStyle name="Normal 31 3 2 3 2" xfId="2988" xr:uid="{00000000-0005-0000-0000-0000AC0B0000}"/>
    <cellStyle name="Normal 31 3 2 4" xfId="2989" xr:uid="{00000000-0005-0000-0000-0000AD0B0000}"/>
    <cellStyle name="Normal 31 3 3" xfId="2990" xr:uid="{00000000-0005-0000-0000-0000AE0B0000}"/>
    <cellStyle name="Normal 31 3 3 2" xfId="2991" xr:uid="{00000000-0005-0000-0000-0000AF0B0000}"/>
    <cellStyle name="Normal 31 3 3 2 2" xfId="2992" xr:uid="{00000000-0005-0000-0000-0000B00B0000}"/>
    <cellStyle name="Normal 31 3 3 3" xfId="2993" xr:uid="{00000000-0005-0000-0000-0000B10B0000}"/>
    <cellStyle name="Normal 31 3 4" xfId="2994" xr:uid="{00000000-0005-0000-0000-0000B20B0000}"/>
    <cellStyle name="Normal 31 3 4 2" xfId="2995" xr:uid="{00000000-0005-0000-0000-0000B30B0000}"/>
    <cellStyle name="Normal 31 3 5" xfId="2996" xr:uid="{00000000-0005-0000-0000-0000B40B0000}"/>
    <cellStyle name="Normal 31 4" xfId="2997" xr:uid="{00000000-0005-0000-0000-0000B50B0000}"/>
    <cellStyle name="Normal 31 4 2" xfId="2998" xr:uid="{00000000-0005-0000-0000-0000B60B0000}"/>
    <cellStyle name="Normal 31 4 2 2" xfId="2999" xr:uid="{00000000-0005-0000-0000-0000B70B0000}"/>
    <cellStyle name="Normal 31 4 2 2 2" xfId="3000" xr:uid="{00000000-0005-0000-0000-0000B80B0000}"/>
    <cellStyle name="Normal 31 4 2 3" xfId="3001" xr:uid="{00000000-0005-0000-0000-0000B90B0000}"/>
    <cellStyle name="Normal 31 4 3" xfId="3002" xr:uid="{00000000-0005-0000-0000-0000BA0B0000}"/>
    <cellStyle name="Normal 31 4 3 2" xfId="3003" xr:uid="{00000000-0005-0000-0000-0000BB0B0000}"/>
    <cellStyle name="Normal 31 4 4" xfId="3004" xr:uid="{00000000-0005-0000-0000-0000BC0B0000}"/>
    <cellStyle name="Normal 31 5" xfId="3005" xr:uid="{00000000-0005-0000-0000-0000BD0B0000}"/>
    <cellStyle name="Normal 31 5 2" xfId="3006" xr:uid="{00000000-0005-0000-0000-0000BE0B0000}"/>
    <cellStyle name="Normal 31 5 2 2" xfId="3007" xr:uid="{00000000-0005-0000-0000-0000BF0B0000}"/>
    <cellStyle name="Normal 31 5 3" xfId="3008" xr:uid="{00000000-0005-0000-0000-0000C00B0000}"/>
    <cellStyle name="Normal 31 6" xfId="3009" xr:uid="{00000000-0005-0000-0000-0000C10B0000}"/>
    <cellStyle name="Normal 31 6 2" xfId="3010" xr:uid="{00000000-0005-0000-0000-0000C20B0000}"/>
    <cellStyle name="Normal 31 7" xfId="3011" xr:uid="{00000000-0005-0000-0000-0000C30B0000}"/>
    <cellStyle name="Normal 32" xfId="3012" xr:uid="{00000000-0005-0000-0000-0000C40B0000}"/>
    <cellStyle name="Normal 32 2" xfId="3013" xr:uid="{00000000-0005-0000-0000-0000C50B0000}"/>
    <cellStyle name="Normal 32 2 2" xfId="3014" xr:uid="{00000000-0005-0000-0000-0000C60B0000}"/>
    <cellStyle name="Normal 32 2 2 2" xfId="3015" xr:uid="{00000000-0005-0000-0000-0000C70B0000}"/>
    <cellStyle name="Normal 32 2 2 2 2" xfId="3016" xr:uid="{00000000-0005-0000-0000-0000C80B0000}"/>
    <cellStyle name="Normal 32 2 2 2 2 2" xfId="3017" xr:uid="{00000000-0005-0000-0000-0000C90B0000}"/>
    <cellStyle name="Normal 32 2 2 2 3" xfId="3018" xr:uid="{00000000-0005-0000-0000-0000CA0B0000}"/>
    <cellStyle name="Normal 32 2 2 2 4" xfId="3019" xr:uid="{00000000-0005-0000-0000-0000CB0B0000}"/>
    <cellStyle name="Normal 32 2 2 3" xfId="3020" xr:uid="{00000000-0005-0000-0000-0000CC0B0000}"/>
    <cellStyle name="Normal 32 2 2 3 2" xfId="3021" xr:uid="{00000000-0005-0000-0000-0000CD0B0000}"/>
    <cellStyle name="Normal 32 2 2 4" xfId="3022" xr:uid="{00000000-0005-0000-0000-0000CE0B0000}"/>
    <cellStyle name="Normal 32 2 2 4 2" xfId="3023" xr:uid="{00000000-0005-0000-0000-0000CF0B0000}"/>
    <cellStyle name="Normal 32 2 2 5" xfId="3024" xr:uid="{00000000-0005-0000-0000-0000D00B0000}"/>
    <cellStyle name="Normal 32 2 2 6" xfId="3025" xr:uid="{00000000-0005-0000-0000-0000D10B0000}"/>
    <cellStyle name="Normal 32 2 3" xfId="3026" xr:uid="{00000000-0005-0000-0000-0000D20B0000}"/>
    <cellStyle name="Normal 32 2 3 2" xfId="3027" xr:uid="{00000000-0005-0000-0000-0000D30B0000}"/>
    <cellStyle name="Normal 32 2 3 2 2" xfId="3028" xr:uid="{00000000-0005-0000-0000-0000D40B0000}"/>
    <cellStyle name="Normal 32 2 3 2 2 2" xfId="3029" xr:uid="{00000000-0005-0000-0000-0000D50B0000}"/>
    <cellStyle name="Normal 32 2 3 2 3" xfId="3030" xr:uid="{00000000-0005-0000-0000-0000D60B0000}"/>
    <cellStyle name="Normal 32 2 3 2 4" xfId="3031" xr:uid="{00000000-0005-0000-0000-0000D70B0000}"/>
    <cellStyle name="Normal 32 2 3 3" xfId="3032" xr:uid="{00000000-0005-0000-0000-0000D80B0000}"/>
    <cellStyle name="Normal 32 2 3 3 2" xfId="3033" xr:uid="{00000000-0005-0000-0000-0000D90B0000}"/>
    <cellStyle name="Normal 32 2 3 4" xfId="3034" xr:uid="{00000000-0005-0000-0000-0000DA0B0000}"/>
    <cellStyle name="Normal 32 2 3 5" xfId="3035" xr:uid="{00000000-0005-0000-0000-0000DB0B0000}"/>
    <cellStyle name="Normal 32 2 4" xfId="3036" xr:uid="{00000000-0005-0000-0000-0000DC0B0000}"/>
    <cellStyle name="Normal 32 2 4 2" xfId="3037" xr:uid="{00000000-0005-0000-0000-0000DD0B0000}"/>
    <cellStyle name="Normal 32 2 4 2 2" xfId="3038" xr:uid="{00000000-0005-0000-0000-0000DE0B0000}"/>
    <cellStyle name="Normal 32 2 4 3" xfId="3039" xr:uid="{00000000-0005-0000-0000-0000DF0B0000}"/>
    <cellStyle name="Normal 32 2 4 4" xfId="3040" xr:uid="{00000000-0005-0000-0000-0000E00B0000}"/>
    <cellStyle name="Normal 32 2 5" xfId="3041" xr:uid="{00000000-0005-0000-0000-0000E10B0000}"/>
    <cellStyle name="Normal 32 2 5 2" xfId="3042" xr:uid="{00000000-0005-0000-0000-0000E20B0000}"/>
    <cellStyle name="Normal 32 2 5 2 2" xfId="3043" xr:uid="{00000000-0005-0000-0000-0000E30B0000}"/>
    <cellStyle name="Normal 32 2 5 3" xfId="3044" xr:uid="{00000000-0005-0000-0000-0000E40B0000}"/>
    <cellStyle name="Normal 32 2 5 4" xfId="3045" xr:uid="{00000000-0005-0000-0000-0000E50B0000}"/>
    <cellStyle name="Normal 32 2 6" xfId="3046" xr:uid="{00000000-0005-0000-0000-0000E60B0000}"/>
    <cellStyle name="Normal 32 2 6 2" xfId="3047" xr:uid="{00000000-0005-0000-0000-0000E70B0000}"/>
    <cellStyle name="Normal 32 2 7" xfId="3048" xr:uid="{00000000-0005-0000-0000-0000E80B0000}"/>
    <cellStyle name="Normal 32 2 7 2" xfId="3049" xr:uid="{00000000-0005-0000-0000-0000E90B0000}"/>
    <cellStyle name="Normal 32 2 8" xfId="3050" xr:uid="{00000000-0005-0000-0000-0000EA0B0000}"/>
    <cellStyle name="Normal 32 2 9" xfId="3051" xr:uid="{00000000-0005-0000-0000-0000EB0B0000}"/>
    <cellStyle name="Normal 32 3" xfId="3052" xr:uid="{00000000-0005-0000-0000-0000EC0B0000}"/>
    <cellStyle name="Normal 32 3 2" xfId="3053" xr:uid="{00000000-0005-0000-0000-0000ED0B0000}"/>
    <cellStyle name="Normal 32 3 2 2" xfId="3054" xr:uid="{00000000-0005-0000-0000-0000EE0B0000}"/>
    <cellStyle name="Normal 32 3 2 2 2" xfId="3055" xr:uid="{00000000-0005-0000-0000-0000EF0B0000}"/>
    <cellStyle name="Normal 32 3 2 2 2 2" xfId="3056" xr:uid="{00000000-0005-0000-0000-0000F00B0000}"/>
    <cellStyle name="Normal 32 3 2 2 3" xfId="3057" xr:uid="{00000000-0005-0000-0000-0000F10B0000}"/>
    <cellStyle name="Normal 32 3 2 3" xfId="3058" xr:uid="{00000000-0005-0000-0000-0000F20B0000}"/>
    <cellStyle name="Normal 32 3 2 3 2" xfId="3059" xr:uid="{00000000-0005-0000-0000-0000F30B0000}"/>
    <cellStyle name="Normal 32 3 2 4" xfId="3060" xr:uid="{00000000-0005-0000-0000-0000F40B0000}"/>
    <cellStyle name="Normal 32 3 3" xfId="3061" xr:uid="{00000000-0005-0000-0000-0000F50B0000}"/>
    <cellStyle name="Normal 32 3 3 2" xfId="3062" xr:uid="{00000000-0005-0000-0000-0000F60B0000}"/>
    <cellStyle name="Normal 32 3 3 2 2" xfId="3063" xr:uid="{00000000-0005-0000-0000-0000F70B0000}"/>
    <cellStyle name="Normal 32 3 3 3" xfId="3064" xr:uid="{00000000-0005-0000-0000-0000F80B0000}"/>
    <cellStyle name="Normal 32 3 4" xfId="3065" xr:uid="{00000000-0005-0000-0000-0000F90B0000}"/>
    <cellStyle name="Normal 32 3 4 2" xfId="3066" xr:uid="{00000000-0005-0000-0000-0000FA0B0000}"/>
    <cellStyle name="Normal 32 3 5" xfId="3067" xr:uid="{00000000-0005-0000-0000-0000FB0B0000}"/>
    <cellStyle name="Normal 32 4" xfId="3068" xr:uid="{00000000-0005-0000-0000-0000FC0B0000}"/>
    <cellStyle name="Normal 32 4 2" xfId="3069" xr:uid="{00000000-0005-0000-0000-0000FD0B0000}"/>
    <cellStyle name="Normal 32 4 2 2" xfId="3070" xr:uid="{00000000-0005-0000-0000-0000FE0B0000}"/>
    <cellStyle name="Normal 32 4 2 2 2" xfId="3071" xr:uid="{00000000-0005-0000-0000-0000FF0B0000}"/>
    <cellStyle name="Normal 32 4 2 3" xfId="3072" xr:uid="{00000000-0005-0000-0000-0000000C0000}"/>
    <cellStyle name="Normal 32 4 3" xfId="3073" xr:uid="{00000000-0005-0000-0000-0000010C0000}"/>
    <cellStyle name="Normal 32 4 3 2" xfId="3074" xr:uid="{00000000-0005-0000-0000-0000020C0000}"/>
    <cellStyle name="Normal 32 4 4" xfId="3075" xr:uid="{00000000-0005-0000-0000-0000030C0000}"/>
    <cellStyle name="Normal 32 5" xfId="3076" xr:uid="{00000000-0005-0000-0000-0000040C0000}"/>
    <cellStyle name="Normal 32 5 2" xfId="3077" xr:uid="{00000000-0005-0000-0000-0000050C0000}"/>
    <cellStyle name="Normal 32 5 2 2" xfId="3078" xr:uid="{00000000-0005-0000-0000-0000060C0000}"/>
    <cellStyle name="Normal 32 5 2 2 2" xfId="3079" xr:uid="{00000000-0005-0000-0000-0000070C0000}"/>
    <cellStyle name="Normal 32 5 2 3" xfId="3080" xr:uid="{00000000-0005-0000-0000-0000080C0000}"/>
    <cellStyle name="Normal 32 5 3" xfId="3081" xr:uid="{00000000-0005-0000-0000-0000090C0000}"/>
    <cellStyle name="Normal 32 5 3 2" xfId="3082" xr:uid="{00000000-0005-0000-0000-00000A0C0000}"/>
    <cellStyle name="Normal 32 5 4" xfId="3083" xr:uid="{00000000-0005-0000-0000-00000B0C0000}"/>
    <cellStyle name="Normal 32 6" xfId="3084" xr:uid="{00000000-0005-0000-0000-00000C0C0000}"/>
    <cellStyle name="Normal 32 6 2" xfId="3085" xr:uid="{00000000-0005-0000-0000-00000D0C0000}"/>
    <cellStyle name="Normal 32 6 2 2" xfId="3086" xr:uid="{00000000-0005-0000-0000-00000E0C0000}"/>
    <cellStyle name="Normal 32 6 3" xfId="3087" xr:uid="{00000000-0005-0000-0000-00000F0C0000}"/>
    <cellStyle name="Normal 32 7" xfId="3088" xr:uid="{00000000-0005-0000-0000-0000100C0000}"/>
    <cellStyle name="Normal 32 7 2" xfId="3089" xr:uid="{00000000-0005-0000-0000-0000110C0000}"/>
    <cellStyle name="Normal 32 8" xfId="3090" xr:uid="{00000000-0005-0000-0000-0000120C0000}"/>
    <cellStyle name="Normal 33" xfId="3091" xr:uid="{00000000-0005-0000-0000-0000130C0000}"/>
    <cellStyle name="Normal 33 2" xfId="3092" xr:uid="{00000000-0005-0000-0000-0000140C0000}"/>
    <cellStyle name="Normal 33 2 2" xfId="3093" xr:uid="{00000000-0005-0000-0000-0000150C0000}"/>
    <cellStyle name="Normal 33 2 2 2" xfId="3094" xr:uid="{00000000-0005-0000-0000-0000160C0000}"/>
    <cellStyle name="Normal 33 2 2 2 2" xfId="3095" xr:uid="{00000000-0005-0000-0000-0000170C0000}"/>
    <cellStyle name="Normal 33 2 2 2 2 2" xfId="3096" xr:uid="{00000000-0005-0000-0000-0000180C0000}"/>
    <cellStyle name="Normal 33 2 2 2 3" xfId="3097" xr:uid="{00000000-0005-0000-0000-0000190C0000}"/>
    <cellStyle name="Normal 33 2 2 2 4" xfId="3098" xr:uid="{00000000-0005-0000-0000-00001A0C0000}"/>
    <cellStyle name="Normal 33 2 2 3" xfId="3099" xr:uid="{00000000-0005-0000-0000-00001B0C0000}"/>
    <cellStyle name="Normal 33 2 2 3 2" xfId="3100" xr:uid="{00000000-0005-0000-0000-00001C0C0000}"/>
    <cellStyle name="Normal 33 2 2 4" xfId="3101" xr:uid="{00000000-0005-0000-0000-00001D0C0000}"/>
    <cellStyle name="Normal 33 2 2 4 2" xfId="3102" xr:uid="{00000000-0005-0000-0000-00001E0C0000}"/>
    <cellStyle name="Normal 33 2 2 5" xfId="3103" xr:uid="{00000000-0005-0000-0000-00001F0C0000}"/>
    <cellStyle name="Normal 33 2 2 6" xfId="3104" xr:uid="{00000000-0005-0000-0000-0000200C0000}"/>
    <cellStyle name="Normal 33 2 3" xfId="3105" xr:uid="{00000000-0005-0000-0000-0000210C0000}"/>
    <cellStyle name="Normal 33 2 3 2" xfId="3106" xr:uid="{00000000-0005-0000-0000-0000220C0000}"/>
    <cellStyle name="Normal 33 2 3 2 2" xfId="3107" xr:uid="{00000000-0005-0000-0000-0000230C0000}"/>
    <cellStyle name="Normal 33 2 3 2 2 2" xfId="3108" xr:uid="{00000000-0005-0000-0000-0000240C0000}"/>
    <cellStyle name="Normal 33 2 3 2 3" xfId="3109" xr:uid="{00000000-0005-0000-0000-0000250C0000}"/>
    <cellStyle name="Normal 33 2 3 2 4" xfId="3110" xr:uid="{00000000-0005-0000-0000-0000260C0000}"/>
    <cellStyle name="Normal 33 2 3 3" xfId="3111" xr:uid="{00000000-0005-0000-0000-0000270C0000}"/>
    <cellStyle name="Normal 33 2 3 3 2" xfId="3112" xr:uid="{00000000-0005-0000-0000-0000280C0000}"/>
    <cellStyle name="Normal 33 2 3 4" xfId="3113" xr:uid="{00000000-0005-0000-0000-0000290C0000}"/>
    <cellStyle name="Normal 33 2 3 5" xfId="3114" xr:uid="{00000000-0005-0000-0000-00002A0C0000}"/>
    <cellStyle name="Normal 33 2 4" xfId="3115" xr:uid="{00000000-0005-0000-0000-00002B0C0000}"/>
    <cellStyle name="Normal 33 2 4 2" xfId="3116" xr:uid="{00000000-0005-0000-0000-00002C0C0000}"/>
    <cellStyle name="Normal 33 2 4 2 2" xfId="3117" xr:uid="{00000000-0005-0000-0000-00002D0C0000}"/>
    <cellStyle name="Normal 33 2 4 3" xfId="3118" xr:uid="{00000000-0005-0000-0000-00002E0C0000}"/>
    <cellStyle name="Normal 33 2 4 4" xfId="3119" xr:uid="{00000000-0005-0000-0000-00002F0C0000}"/>
    <cellStyle name="Normal 33 2 5" xfId="3120" xr:uid="{00000000-0005-0000-0000-0000300C0000}"/>
    <cellStyle name="Normal 33 2 5 2" xfId="3121" xr:uid="{00000000-0005-0000-0000-0000310C0000}"/>
    <cellStyle name="Normal 33 2 5 2 2" xfId="3122" xr:uid="{00000000-0005-0000-0000-0000320C0000}"/>
    <cellStyle name="Normal 33 2 5 3" xfId="3123" xr:uid="{00000000-0005-0000-0000-0000330C0000}"/>
    <cellStyle name="Normal 33 2 5 4" xfId="3124" xr:uid="{00000000-0005-0000-0000-0000340C0000}"/>
    <cellStyle name="Normal 33 2 6" xfId="3125" xr:uid="{00000000-0005-0000-0000-0000350C0000}"/>
    <cellStyle name="Normal 33 2 6 2" xfId="3126" xr:uid="{00000000-0005-0000-0000-0000360C0000}"/>
    <cellStyle name="Normal 33 2 7" xfId="3127" xr:uid="{00000000-0005-0000-0000-0000370C0000}"/>
    <cellStyle name="Normal 33 2 7 2" xfId="3128" xr:uid="{00000000-0005-0000-0000-0000380C0000}"/>
    <cellStyle name="Normal 33 2 8" xfId="3129" xr:uid="{00000000-0005-0000-0000-0000390C0000}"/>
    <cellStyle name="Normal 33 2 9" xfId="3130" xr:uid="{00000000-0005-0000-0000-00003A0C0000}"/>
    <cellStyle name="Normal 33 3" xfId="3131" xr:uid="{00000000-0005-0000-0000-00003B0C0000}"/>
    <cellStyle name="Normal 33 3 2" xfId="3132" xr:uid="{00000000-0005-0000-0000-00003C0C0000}"/>
    <cellStyle name="Normal 33 3 2 2" xfId="3133" xr:uid="{00000000-0005-0000-0000-00003D0C0000}"/>
    <cellStyle name="Normal 33 3 2 2 2" xfId="3134" xr:uid="{00000000-0005-0000-0000-00003E0C0000}"/>
    <cellStyle name="Normal 33 3 2 2 2 2" xfId="3135" xr:uid="{00000000-0005-0000-0000-00003F0C0000}"/>
    <cellStyle name="Normal 33 3 2 2 3" xfId="3136" xr:uid="{00000000-0005-0000-0000-0000400C0000}"/>
    <cellStyle name="Normal 33 3 2 3" xfId="3137" xr:uid="{00000000-0005-0000-0000-0000410C0000}"/>
    <cellStyle name="Normal 33 3 2 3 2" xfId="3138" xr:uid="{00000000-0005-0000-0000-0000420C0000}"/>
    <cellStyle name="Normal 33 3 2 4" xfId="3139" xr:uid="{00000000-0005-0000-0000-0000430C0000}"/>
    <cellStyle name="Normal 33 3 3" xfId="3140" xr:uid="{00000000-0005-0000-0000-0000440C0000}"/>
    <cellStyle name="Normal 33 3 3 2" xfId="3141" xr:uid="{00000000-0005-0000-0000-0000450C0000}"/>
    <cellStyle name="Normal 33 3 3 2 2" xfId="3142" xr:uid="{00000000-0005-0000-0000-0000460C0000}"/>
    <cellStyle name="Normal 33 3 3 3" xfId="3143" xr:uid="{00000000-0005-0000-0000-0000470C0000}"/>
    <cellStyle name="Normal 33 3 4" xfId="3144" xr:uid="{00000000-0005-0000-0000-0000480C0000}"/>
    <cellStyle name="Normal 33 3 4 2" xfId="3145" xr:uid="{00000000-0005-0000-0000-0000490C0000}"/>
    <cellStyle name="Normal 33 3 5" xfId="3146" xr:uid="{00000000-0005-0000-0000-00004A0C0000}"/>
    <cellStyle name="Normal 33 4" xfId="3147" xr:uid="{00000000-0005-0000-0000-00004B0C0000}"/>
    <cellStyle name="Normal 33 4 2" xfId="3148" xr:uid="{00000000-0005-0000-0000-00004C0C0000}"/>
    <cellStyle name="Normal 33 4 2 2" xfId="3149" xr:uid="{00000000-0005-0000-0000-00004D0C0000}"/>
    <cellStyle name="Normal 33 4 2 2 2" xfId="3150" xr:uid="{00000000-0005-0000-0000-00004E0C0000}"/>
    <cellStyle name="Normal 33 4 2 3" xfId="3151" xr:uid="{00000000-0005-0000-0000-00004F0C0000}"/>
    <cellStyle name="Normal 33 4 3" xfId="3152" xr:uid="{00000000-0005-0000-0000-0000500C0000}"/>
    <cellStyle name="Normal 33 4 3 2" xfId="3153" xr:uid="{00000000-0005-0000-0000-0000510C0000}"/>
    <cellStyle name="Normal 33 4 4" xfId="3154" xr:uid="{00000000-0005-0000-0000-0000520C0000}"/>
    <cellStyle name="Normal 33 5" xfId="3155" xr:uid="{00000000-0005-0000-0000-0000530C0000}"/>
    <cellStyle name="Normal 33 5 2" xfId="3156" xr:uid="{00000000-0005-0000-0000-0000540C0000}"/>
    <cellStyle name="Normal 33 5 2 2" xfId="3157" xr:uid="{00000000-0005-0000-0000-0000550C0000}"/>
    <cellStyle name="Normal 33 5 2 2 2" xfId="3158" xr:uid="{00000000-0005-0000-0000-0000560C0000}"/>
    <cellStyle name="Normal 33 5 2 3" xfId="3159" xr:uid="{00000000-0005-0000-0000-0000570C0000}"/>
    <cellStyle name="Normal 33 5 3" xfId="3160" xr:uid="{00000000-0005-0000-0000-0000580C0000}"/>
    <cellStyle name="Normal 33 5 3 2" xfId="3161" xr:uid="{00000000-0005-0000-0000-0000590C0000}"/>
    <cellStyle name="Normal 33 5 4" xfId="3162" xr:uid="{00000000-0005-0000-0000-00005A0C0000}"/>
    <cellStyle name="Normal 33 6" xfId="3163" xr:uid="{00000000-0005-0000-0000-00005B0C0000}"/>
    <cellStyle name="Normal 33 6 2" xfId="3164" xr:uid="{00000000-0005-0000-0000-00005C0C0000}"/>
    <cellStyle name="Normal 33 6 2 2" xfId="3165" xr:uid="{00000000-0005-0000-0000-00005D0C0000}"/>
    <cellStyle name="Normal 33 6 3" xfId="3166" xr:uid="{00000000-0005-0000-0000-00005E0C0000}"/>
    <cellStyle name="Normal 33 7" xfId="3167" xr:uid="{00000000-0005-0000-0000-00005F0C0000}"/>
    <cellStyle name="Normal 33 7 2" xfId="3168" xr:uid="{00000000-0005-0000-0000-0000600C0000}"/>
    <cellStyle name="Normal 33 8" xfId="3169" xr:uid="{00000000-0005-0000-0000-0000610C0000}"/>
    <cellStyle name="Normal 34" xfId="3170" xr:uid="{00000000-0005-0000-0000-0000620C0000}"/>
    <cellStyle name="Normal 34 2" xfId="3171" xr:uid="{00000000-0005-0000-0000-0000630C0000}"/>
    <cellStyle name="Normal 34 2 2" xfId="3172" xr:uid="{00000000-0005-0000-0000-0000640C0000}"/>
    <cellStyle name="Normal 34 2 2 2" xfId="3173" xr:uid="{00000000-0005-0000-0000-0000650C0000}"/>
    <cellStyle name="Normal 34 2 2 2 2" xfId="3174" xr:uid="{00000000-0005-0000-0000-0000660C0000}"/>
    <cellStyle name="Normal 34 2 2 2 2 2" xfId="3175" xr:uid="{00000000-0005-0000-0000-0000670C0000}"/>
    <cellStyle name="Normal 34 2 2 2 3" xfId="3176" xr:uid="{00000000-0005-0000-0000-0000680C0000}"/>
    <cellStyle name="Normal 34 2 2 2 4" xfId="3177" xr:uid="{00000000-0005-0000-0000-0000690C0000}"/>
    <cellStyle name="Normal 34 2 2 3" xfId="3178" xr:uid="{00000000-0005-0000-0000-00006A0C0000}"/>
    <cellStyle name="Normal 34 2 2 3 2" xfId="3179" xr:uid="{00000000-0005-0000-0000-00006B0C0000}"/>
    <cellStyle name="Normal 34 2 2 4" xfId="3180" xr:uid="{00000000-0005-0000-0000-00006C0C0000}"/>
    <cellStyle name="Normal 34 2 2 4 2" xfId="3181" xr:uid="{00000000-0005-0000-0000-00006D0C0000}"/>
    <cellStyle name="Normal 34 2 2 5" xfId="3182" xr:uid="{00000000-0005-0000-0000-00006E0C0000}"/>
    <cellStyle name="Normal 34 2 2 6" xfId="3183" xr:uid="{00000000-0005-0000-0000-00006F0C0000}"/>
    <cellStyle name="Normal 34 2 3" xfId="3184" xr:uid="{00000000-0005-0000-0000-0000700C0000}"/>
    <cellStyle name="Normal 34 2 3 2" xfId="3185" xr:uid="{00000000-0005-0000-0000-0000710C0000}"/>
    <cellStyle name="Normal 34 2 3 2 2" xfId="3186" xr:uid="{00000000-0005-0000-0000-0000720C0000}"/>
    <cellStyle name="Normal 34 2 3 2 2 2" xfId="3187" xr:uid="{00000000-0005-0000-0000-0000730C0000}"/>
    <cellStyle name="Normal 34 2 3 2 3" xfId="3188" xr:uid="{00000000-0005-0000-0000-0000740C0000}"/>
    <cellStyle name="Normal 34 2 3 2 4" xfId="3189" xr:uid="{00000000-0005-0000-0000-0000750C0000}"/>
    <cellStyle name="Normal 34 2 3 3" xfId="3190" xr:uid="{00000000-0005-0000-0000-0000760C0000}"/>
    <cellStyle name="Normal 34 2 3 3 2" xfId="3191" xr:uid="{00000000-0005-0000-0000-0000770C0000}"/>
    <cellStyle name="Normal 34 2 3 4" xfId="3192" xr:uid="{00000000-0005-0000-0000-0000780C0000}"/>
    <cellStyle name="Normal 34 2 3 5" xfId="3193" xr:uid="{00000000-0005-0000-0000-0000790C0000}"/>
    <cellStyle name="Normal 34 2 4" xfId="3194" xr:uid="{00000000-0005-0000-0000-00007A0C0000}"/>
    <cellStyle name="Normal 34 2 4 2" xfId="3195" xr:uid="{00000000-0005-0000-0000-00007B0C0000}"/>
    <cellStyle name="Normal 34 2 4 2 2" xfId="3196" xr:uid="{00000000-0005-0000-0000-00007C0C0000}"/>
    <cellStyle name="Normal 34 2 4 3" xfId="3197" xr:uid="{00000000-0005-0000-0000-00007D0C0000}"/>
    <cellStyle name="Normal 34 2 4 4" xfId="3198" xr:uid="{00000000-0005-0000-0000-00007E0C0000}"/>
    <cellStyle name="Normal 34 2 5" xfId="3199" xr:uid="{00000000-0005-0000-0000-00007F0C0000}"/>
    <cellStyle name="Normal 34 2 5 2" xfId="3200" xr:uid="{00000000-0005-0000-0000-0000800C0000}"/>
    <cellStyle name="Normal 34 2 5 2 2" xfId="3201" xr:uid="{00000000-0005-0000-0000-0000810C0000}"/>
    <cellStyle name="Normal 34 2 5 3" xfId="3202" xr:uid="{00000000-0005-0000-0000-0000820C0000}"/>
    <cellStyle name="Normal 34 2 5 4" xfId="3203" xr:uid="{00000000-0005-0000-0000-0000830C0000}"/>
    <cellStyle name="Normal 34 2 6" xfId="3204" xr:uid="{00000000-0005-0000-0000-0000840C0000}"/>
    <cellStyle name="Normal 34 2 6 2" xfId="3205" xr:uid="{00000000-0005-0000-0000-0000850C0000}"/>
    <cellStyle name="Normal 34 2 7" xfId="3206" xr:uid="{00000000-0005-0000-0000-0000860C0000}"/>
    <cellStyle name="Normal 34 2 7 2" xfId="3207" xr:uid="{00000000-0005-0000-0000-0000870C0000}"/>
    <cellStyle name="Normal 34 2 8" xfId="3208" xr:uid="{00000000-0005-0000-0000-0000880C0000}"/>
    <cellStyle name="Normal 34 2 9" xfId="3209" xr:uid="{00000000-0005-0000-0000-0000890C0000}"/>
    <cellStyle name="Normal 34 3" xfId="3210" xr:uid="{00000000-0005-0000-0000-00008A0C0000}"/>
    <cellStyle name="Normal 34 3 2" xfId="3211" xr:uid="{00000000-0005-0000-0000-00008B0C0000}"/>
    <cellStyle name="Normal 34 3 2 2" xfId="3212" xr:uid="{00000000-0005-0000-0000-00008C0C0000}"/>
    <cellStyle name="Normal 34 3 2 2 2" xfId="3213" xr:uid="{00000000-0005-0000-0000-00008D0C0000}"/>
    <cellStyle name="Normal 34 3 2 2 2 2" xfId="3214" xr:uid="{00000000-0005-0000-0000-00008E0C0000}"/>
    <cellStyle name="Normal 34 3 2 2 3" xfId="3215" xr:uid="{00000000-0005-0000-0000-00008F0C0000}"/>
    <cellStyle name="Normal 34 3 2 3" xfId="3216" xr:uid="{00000000-0005-0000-0000-0000900C0000}"/>
    <cellStyle name="Normal 34 3 2 3 2" xfId="3217" xr:uid="{00000000-0005-0000-0000-0000910C0000}"/>
    <cellStyle name="Normal 34 3 2 4" xfId="3218" xr:uid="{00000000-0005-0000-0000-0000920C0000}"/>
    <cellStyle name="Normal 34 3 3" xfId="3219" xr:uid="{00000000-0005-0000-0000-0000930C0000}"/>
    <cellStyle name="Normal 34 3 3 2" xfId="3220" xr:uid="{00000000-0005-0000-0000-0000940C0000}"/>
    <cellStyle name="Normal 34 3 3 2 2" xfId="3221" xr:uid="{00000000-0005-0000-0000-0000950C0000}"/>
    <cellStyle name="Normal 34 3 3 3" xfId="3222" xr:uid="{00000000-0005-0000-0000-0000960C0000}"/>
    <cellStyle name="Normal 34 3 4" xfId="3223" xr:uid="{00000000-0005-0000-0000-0000970C0000}"/>
    <cellStyle name="Normal 34 3 4 2" xfId="3224" xr:uid="{00000000-0005-0000-0000-0000980C0000}"/>
    <cellStyle name="Normal 34 3 5" xfId="3225" xr:uid="{00000000-0005-0000-0000-0000990C0000}"/>
    <cellStyle name="Normal 34 4" xfId="3226" xr:uid="{00000000-0005-0000-0000-00009A0C0000}"/>
    <cellStyle name="Normal 34 4 2" xfId="3227" xr:uid="{00000000-0005-0000-0000-00009B0C0000}"/>
    <cellStyle name="Normal 34 4 2 2" xfId="3228" xr:uid="{00000000-0005-0000-0000-00009C0C0000}"/>
    <cellStyle name="Normal 34 4 2 2 2" xfId="3229" xr:uid="{00000000-0005-0000-0000-00009D0C0000}"/>
    <cellStyle name="Normal 34 4 2 3" xfId="3230" xr:uid="{00000000-0005-0000-0000-00009E0C0000}"/>
    <cellStyle name="Normal 34 4 3" xfId="3231" xr:uid="{00000000-0005-0000-0000-00009F0C0000}"/>
    <cellStyle name="Normal 34 4 3 2" xfId="3232" xr:uid="{00000000-0005-0000-0000-0000A00C0000}"/>
    <cellStyle name="Normal 34 4 4" xfId="3233" xr:uid="{00000000-0005-0000-0000-0000A10C0000}"/>
    <cellStyle name="Normal 34 5" xfId="3234" xr:uid="{00000000-0005-0000-0000-0000A20C0000}"/>
    <cellStyle name="Normal 34 5 2" xfId="3235" xr:uid="{00000000-0005-0000-0000-0000A30C0000}"/>
    <cellStyle name="Normal 34 5 2 2" xfId="3236" xr:uid="{00000000-0005-0000-0000-0000A40C0000}"/>
    <cellStyle name="Normal 34 5 3" xfId="3237" xr:uid="{00000000-0005-0000-0000-0000A50C0000}"/>
    <cellStyle name="Normal 34 6" xfId="3238" xr:uid="{00000000-0005-0000-0000-0000A60C0000}"/>
    <cellStyle name="Normal 34 6 2" xfId="3239" xr:uid="{00000000-0005-0000-0000-0000A70C0000}"/>
    <cellStyle name="Normal 34 7" xfId="3240" xr:uid="{00000000-0005-0000-0000-0000A80C0000}"/>
    <cellStyle name="Normal 35" xfId="3241" xr:uid="{00000000-0005-0000-0000-0000A90C0000}"/>
    <cellStyle name="Normal 35 2" xfId="3242" xr:uid="{00000000-0005-0000-0000-0000AA0C0000}"/>
    <cellStyle name="Normal 35 2 2" xfId="3243" xr:uid="{00000000-0005-0000-0000-0000AB0C0000}"/>
    <cellStyle name="Normal 35 2 2 2" xfId="3244" xr:uid="{00000000-0005-0000-0000-0000AC0C0000}"/>
    <cellStyle name="Normal 35 2 2 2 2" xfId="3245" xr:uid="{00000000-0005-0000-0000-0000AD0C0000}"/>
    <cellStyle name="Normal 35 2 2 2 2 2" xfId="3246" xr:uid="{00000000-0005-0000-0000-0000AE0C0000}"/>
    <cellStyle name="Normal 35 2 2 2 3" xfId="3247" xr:uid="{00000000-0005-0000-0000-0000AF0C0000}"/>
    <cellStyle name="Normal 35 2 2 2 4" xfId="3248" xr:uid="{00000000-0005-0000-0000-0000B00C0000}"/>
    <cellStyle name="Normal 35 2 2 3" xfId="3249" xr:uid="{00000000-0005-0000-0000-0000B10C0000}"/>
    <cellStyle name="Normal 35 2 2 3 2" xfId="3250" xr:uid="{00000000-0005-0000-0000-0000B20C0000}"/>
    <cellStyle name="Normal 35 2 2 4" xfId="3251" xr:uid="{00000000-0005-0000-0000-0000B30C0000}"/>
    <cellStyle name="Normal 35 2 2 4 2" xfId="3252" xr:uid="{00000000-0005-0000-0000-0000B40C0000}"/>
    <cellStyle name="Normal 35 2 2 5" xfId="3253" xr:uid="{00000000-0005-0000-0000-0000B50C0000}"/>
    <cellStyle name="Normal 35 2 2 6" xfId="3254" xr:uid="{00000000-0005-0000-0000-0000B60C0000}"/>
    <cellStyle name="Normal 35 2 3" xfId="3255" xr:uid="{00000000-0005-0000-0000-0000B70C0000}"/>
    <cellStyle name="Normal 35 2 3 2" xfId="3256" xr:uid="{00000000-0005-0000-0000-0000B80C0000}"/>
    <cellStyle name="Normal 35 2 3 2 2" xfId="3257" xr:uid="{00000000-0005-0000-0000-0000B90C0000}"/>
    <cellStyle name="Normal 35 2 3 2 2 2" xfId="3258" xr:uid="{00000000-0005-0000-0000-0000BA0C0000}"/>
    <cellStyle name="Normal 35 2 3 2 3" xfId="3259" xr:uid="{00000000-0005-0000-0000-0000BB0C0000}"/>
    <cellStyle name="Normal 35 2 3 2 4" xfId="3260" xr:uid="{00000000-0005-0000-0000-0000BC0C0000}"/>
    <cellStyle name="Normal 35 2 3 3" xfId="3261" xr:uid="{00000000-0005-0000-0000-0000BD0C0000}"/>
    <cellStyle name="Normal 35 2 3 3 2" xfId="3262" xr:uid="{00000000-0005-0000-0000-0000BE0C0000}"/>
    <cellStyle name="Normal 35 2 3 4" xfId="3263" xr:uid="{00000000-0005-0000-0000-0000BF0C0000}"/>
    <cellStyle name="Normal 35 2 3 5" xfId="3264" xr:uid="{00000000-0005-0000-0000-0000C00C0000}"/>
    <cellStyle name="Normal 35 2 4" xfId="3265" xr:uid="{00000000-0005-0000-0000-0000C10C0000}"/>
    <cellStyle name="Normal 35 2 4 2" xfId="3266" xr:uid="{00000000-0005-0000-0000-0000C20C0000}"/>
    <cellStyle name="Normal 35 2 4 2 2" xfId="3267" xr:uid="{00000000-0005-0000-0000-0000C30C0000}"/>
    <cellStyle name="Normal 35 2 4 3" xfId="3268" xr:uid="{00000000-0005-0000-0000-0000C40C0000}"/>
    <cellStyle name="Normal 35 2 4 4" xfId="3269" xr:uid="{00000000-0005-0000-0000-0000C50C0000}"/>
    <cellStyle name="Normal 35 2 5" xfId="3270" xr:uid="{00000000-0005-0000-0000-0000C60C0000}"/>
    <cellStyle name="Normal 35 2 5 2" xfId="3271" xr:uid="{00000000-0005-0000-0000-0000C70C0000}"/>
    <cellStyle name="Normal 35 2 5 2 2" xfId="3272" xr:uid="{00000000-0005-0000-0000-0000C80C0000}"/>
    <cellStyle name="Normal 35 2 5 3" xfId="3273" xr:uid="{00000000-0005-0000-0000-0000C90C0000}"/>
    <cellStyle name="Normal 35 2 5 4" xfId="3274" xr:uid="{00000000-0005-0000-0000-0000CA0C0000}"/>
    <cellStyle name="Normal 35 2 6" xfId="3275" xr:uid="{00000000-0005-0000-0000-0000CB0C0000}"/>
    <cellStyle name="Normal 35 2 6 2" xfId="3276" xr:uid="{00000000-0005-0000-0000-0000CC0C0000}"/>
    <cellStyle name="Normal 35 2 7" xfId="3277" xr:uid="{00000000-0005-0000-0000-0000CD0C0000}"/>
    <cellStyle name="Normal 35 2 7 2" xfId="3278" xr:uid="{00000000-0005-0000-0000-0000CE0C0000}"/>
    <cellStyle name="Normal 35 2 8" xfId="3279" xr:uid="{00000000-0005-0000-0000-0000CF0C0000}"/>
    <cellStyle name="Normal 35 2 9" xfId="3280" xr:uid="{00000000-0005-0000-0000-0000D00C0000}"/>
    <cellStyle name="Normal 35 3" xfId="3281" xr:uid="{00000000-0005-0000-0000-0000D10C0000}"/>
    <cellStyle name="Normal 35 3 2" xfId="3282" xr:uid="{00000000-0005-0000-0000-0000D20C0000}"/>
    <cellStyle name="Normal 35 3 2 2" xfId="3283" xr:uid="{00000000-0005-0000-0000-0000D30C0000}"/>
    <cellStyle name="Normal 35 3 2 2 2" xfId="3284" xr:uid="{00000000-0005-0000-0000-0000D40C0000}"/>
    <cellStyle name="Normal 35 3 2 2 2 2" xfId="3285" xr:uid="{00000000-0005-0000-0000-0000D50C0000}"/>
    <cellStyle name="Normal 35 3 2 2 3" xfId="3286" xr:uid="{00000000-0005-0000-0000-0000D60C0000}"/>
    <cellStyle name="Normal 35 3 2 3" xfId="3287" xr:uid="{00000000-0005-0000-0000-0000D70C0000}"/>
    <cellStyle name="Normal 35 3 2 3 2" xfId="3288" xr:uid="{00000000-0005-0000-0000-0000D80C0000}"/>
    <cellStyle name="Normal 35 3 2 4" xfId="3289" xr:uid="{00000000-0005-0000-0000-0000D90C0000}"/>
    <cellStyle name="Normal 35 3 3" xfId="3290" xr:uid="{00000000-0005-0000-0000-0000DA0C0000}"/>
    <cellStyle name="Normal 35 3 3 2" xfId="3291" xr:uid="{00000000-0005-0000-0000-0000DB0C0000}"/>
    <cellStyle name="Normal 35 3 3 2 2" xfId="3292" xr:uid="{00000000-0005-0000-0000-0000DC0C0000}"/>
    <cellStyle name="Normal 35 3 3 3" xfId="3293" xr:uid="{00000000-0005-0000-0000-0000DD0C0000}"/>
    <cellStyle name="Normal 35 3 4" xfId="3294" xr:uid="{00000000-0005-0000-0000-0000DE0C0000}"/>
    <cellStyle name="Normal 35 3 4 2" xfId="3295" xr:uid="{00000000-0005-0000-0000-0000DF0C0000}"/>
    <cellStyle name="Normal 35 3 5" xfId="3296" xr:uid="{00000000-0005-0000-0000-0000E00C0000}"/>
    <cellStyle name="Normal 35 4" xfId="3297" xr:uid="{00000000-0005-0000-0000-0000E10C0000}"/>
    <cellStyle name="Normal 35 4 2" xfId="3298" xr:uid="{00000000-0005-0000-0000-0000E20C0000}"/>
    <cellStyle name="Normal 35 4 2 2" xfId="3299" xr:uid="{00000000-0005-0000-0000-0000E30C0000}"/>
    <cellStyle name="Normal 35 4 2 2 2" xfId="3300" xr:uid="{00000000-0005-0000-0000-0000E40C0000}"/>
    <cellStyle name="Normal 35 4 2 3" xfId="3301" xr:uid="{00000000-0005-0000-0000-0000E50C0000}"/>
    <cellStyle name="Normal 35 4 3" xfId="3302" xr:uid="{00000000-0005-0000-0000-0000E60C0000}"/>
    <cellStyle name="Normal 35 4 3 2" xfId="3303" xr:uid="{00000000-0005-0000-0000-0000E70C0000}"/>
    <cellStyle name="Normal 35 4 4" xfId="3304" xr:uid="{00000000-0005-0000-0000-0000E80C0000}"/>
    <cellStyle name="Normal 35 5" xfId="3305" xr:uid="{00000000-0005-0000-0000-0000E90C0000}"/>
    <cellStyle name="Normal 35 5 2" xfId="3306" xr:uid="{00000000-0005-0000-0000-0000EA0C0000}"/>
    <cellStyle name="Normal 35 5 2 2" xfId="3307" xr:uid="{00000000-0005-0000-0000-0000EB0C0000}"/>
    <cellStyle name="Normal 35 5 2 2 2" xfId="3308" xr:uid="{00000000-0005-0000-0000-0000EC0C0000}"/>
    <cellStyle name="Normal 35 5 2 3" xfId="3309" xr:uid="{00000000-0005-0000-0000-0000ED0C0000}"/>
    <cellStyle name="Normal 35 5 3" xfId="3310" xr:uid="{00000000-0005-0000-0000-0000EE0C0000}"/>
    <cellStyle name="Normal 35 5 3 2" xfId="3311" xr:uid="{00000000-0005-0000-0000-0000EF0C0000}"/>
    <cellStyle name="Normal 35 5 4" xfId="3312" xr:uid="{00000000-0005-0000-0000-0000F00C0000}"/>
    <cellStyle name="Normal 35 6" xfId="3313" xr:uid="{00000000-0005-0000-0000-0000F10C0000}"/>
    <cellStyle name="Normal 35 6 2" xfId="3314" xr:uid="{00000000-0005-0000-0000-0000F20C0000}"/>
    <cellStyle name="Normal 35 6 2 2" xfId="3315" xr:uid="{00000000-0005-0000-0000-0000F30C0000}"/>
    <cellStyle name="Normal 35 6 3" xfId="3316" xr:uid="{00000000-0005-0000-0000-0000F40C0000}"/>
    <cellStyle name="Normal 35 7" xfId="3317" xr:uid="{00000000-0005-0000-0000-0000F50C0000}"/>
    <cellStyle name="Normal 35 7 2" xfId="3318" xr:uid="{00000000-0005-0000-0000-0000F60C0000}"/>
    <cellStyle name="Normal 35 8" xfId="3319" xr:uid="{00000000-0005-0000-0000-0000F70C0000}"/>
    <cellStyle name="Normal 36" xfId="3320" xr:uid="{00000000-0005-0000-0000-0000F80C0000}"/>
    <cellStyle name="Normal 36 2" xfId="3321" xr:uid="{00000000-0005-0000-0000-0000F90C0000}"/>
    <cellStyle name="Normal 36 2 2" xfId="3322" xr:uid="{00000000-0005-0000-0000-0000FA0C0000}"/>
    <cellStyle name="Normal 36 2 2 2" xfId="3323" xr:uid="{00000000-0005-0000-0000-0000FB0C0000}"/>
    <cellStyle name="Normal 36 2 2 2 2" xfId="3324" xr:uid="{00000000-0005-0000-0000-0000FC0C0000}"/>
    <cellStyle name="Normal 36 2 2 2 2 2" xfId="3325" xr:uid="{00000000-0005-0000-0000-0000FD0C0000}"/>
    <cellStyle name="Normal 36 2 2 2 3" xfId="3326" xr:uid="{00000000-0005-0000-0000-0000FE0C0000}"/>
    <cellStyle name="Normal 36 2 2 2 4" xfId="3327" xr:uid="{00000000-0005-0000-0000-0000FF0C0000}"/>
    <cellStyle name="Normal 36 2 2 3" xfId="3328" xr:uid="{00000000-0005-0000-0000-0000000D0000}"/>
    <cellStyle name="Normal 36 2 2 3 2" xfId="3329" xr:uid="{00000000-0005-0000-0000-0000010D0000}"/>
    <cellStyle name="Normal 36 2 2 4" xfId="3330" xr:uid="{00000000-0005-0000-0000-0000020D0000}"/>
    <cellStyle name="Normal 36 2 2 4 2" xfId="3331" xr:uid="{00000000-0005-0000-0000-0000030D0000}"/>
    <cellStyle name="Normal 36 2 2 5" xfId="3332" xr:uid="{00000000-0005-0000-0000-0000040D0000}"/>
    <cellStyle name="Normal 36 2 2 6" xfId="3333" xr:uid="{00000000-0005-0000-0000-0000050D0000}"/>
    <cellStyle name="Normal 36 2 3" xfId="3334" xr:uid="{00000000-0005-0000-0000-0000060D0000}"/>
    <cellStyle name="Normal 36 2 3 2" xfId="3335" xr:uid="{00000000-0005-0000-0000-0000070D0000}"/>
    <cellStyle name="Normal 36 2 3 2 2" xfId="3336" xr:uid="{00000000-0005-0000-0000-0000080D0000}"/>
    <cellStyle name="Normal 36 2 3 2 2 2" xfId="3337" xr:uid="{00000000-0005-0000-0000-0000090D0000}"/>
    <cellStyle name="Normal 36 2 3 2 3" xfId="3338" xr:uid="{00000000-0005-0000-0000-00000A0D0000}"/>
    <cellStyle name="Normal 36 2 3 2 4" xfId="3339" xr:uid="{00000000-0005-0000-0000-00000B0D0000}"/>
    <cellStyle name="Normal 36 2 3 3" xfId="3340" xr:uid="{00000000-0005-0000-0000-00000C0D0000}"/>
    <cellStyle name="Normal 36 2 3 3 2" xfId="3341" xr:uid="{00000000-0005-0000-0000-00000D0D0000}"/>
    <cellStyle name="Normal 36 2 3 4" xfId="3342" xr:uid="{00000000-0005-0000-0000-00000E0D0000}"/>
    <cellStyle name="Normal 36 2 3 5" xfId="3343" xr:uid="{00000000-0005-0000-0000-00000F0D0000}"/>
    <cellStyle name="Normal 36 2 4" xfId="3344" xr:uid="{00000000-0005-0000-0000-0000100D0000}"/>
    <cellStyle name="Normal 36 2 4 2" xfId="3345" xr:uid="{00000000-0005-0000-0000-0000110D0000}"/>
    <cellStyle name="Normal 36 2 4 2 2" xfId="3346" xr:uid="{00000000-0005-0000-0000-0000120D0000}"/>
    <cellStyle name="Normal 36 2 4 3" xfId="3347" xr:uid="{00000000-0005-0000-0000-0000130D0000}"/>
    <cellStyle name="Normal 36 2 4 4" xfId="3348" xr:uid="{00000000-0005-0000-0000-0000140D0000}"/>
    <cellStyle name="Normal 36 2 5" xfId="3349" xr:uid="{00000000-0005-0000-0000-0000150D0000}"/>
    <cellStyle name="Normal 36 2 5 2" xfId="3350" xr:uid="{00000000-0005-0000-0000-0000160D0000}"/>
    <cellStyle name="Normal 36 2 5 2 2" xfId="3351" xr:uid="{00000000-0005-0000-0000-0000170D0000}"/>
    <cellStyle name="Normal 36 2 5 3" xfId="3352" xr:uid="{00000000-0005-0000-0000-0000180D0000}"/>
    <cellStyle name="Normal 36 2 5 4" xfId="3353" xr:uid="{00000000-0005-0000-0000-0000190D0000}"/>
    <cellStyle name="Normal 36 2 6" xfId="3354" xr:uid="{00000000-0005-0000-0000-00001A0D0000}"/>
    <cellStyle name="Normal 36 2 6 2" xfId="3355" xr:uid="{00000000-0005-0000-0000-00001B0D0000}"/>
    <cellStyle name="Normal 36 2 7" xfId="3356" xr:uid="{00000000-0005-0000-0000-00001C0D0000}"/>
    <cellStyle name="Normal 36 2 7 2" xfId="3357" xr:uid="{00000000-0005-0000-0000-00001D0D0000}"/>
    <cellStyle name="Normal 36 2 8" xfId="3358" xr:uid="{00000000-0005-0000-0000-00001E0D0000}"/>
    <cellStyle name="Normal 36 2 9" xfId="3359" xr:uid="{00000000-0005-0000-0000-00001F0D0000}"/>
    <cellStyle name="Normal 36 3" xfId="3360" xr:uid="{00000000-0005-0000-0000-0000200D0000}"/>
    <cellStyle name="Normal 36 3 2" xfId="3361" xr:uid="{00000000-0005-0000-0000-0000210D0000}"/>
    <cellStyle name="Normal 36 3 2 2" xfId="3362" xr:uid="{00000000-0005-0000-0000-0000220D0000}"/>
    <cellStyle name="Normal 36 3 2 2 2" xfId="3363" xr:uid="{00000000-0005-0000-0000-0000230D0000}"/>
    <cellStyle name="Normal 36 3 2 2 2 2" xfId="3364" xr:uid="{00000000-0005-0000-0000-0000240D0000}"/>
    <cellStyle name="Normal 36 3 2 2 3" xfId="3365" xr:uid="{00000000-0005-0000-0000-0000250D0000}"/>
    <cellStyle name="Normal 36 3 2 3" xfId="3366" xr:uid="{00000000-0005-0000-0000-0000260D0000}"/>
    <cellStyle name="Normal 36 3 2 3 2" xfId="3367" xr:uid="{00000000-0005-0000-0000-0000270D0000}"/>
    <cellStyle name="Normal 36 3 2 4" xfId="3368" xr:uid="{00000000-0005-0000-0000-0000280D0000}"/>
    <cellStyle name="Normal 36 3 3" xfId="3369" xr:uid="{00000000-0005-0000-0000-0000290D0000}"/>
    <cellStyle name="Normal 36 3 3 2" xfId="3370" xr:uid="{00000000-0005-0000-0000-00002A0D0000}"/>
    <cellStyle name="Normal 36 3 3 2 2" xfId="3371" xr:uid="{00000000-0005-0000-0000-00002B0D0000}"/>
    <cellStyle name="Normal 36 3 3 3" xfId="3372" xr:uid="{00000000-0005-0000-0000-00002C0D0000}"/>
    <cellStyle name="Normal 36 3 4" xfId="3373" xr:uid="{00000000-0005-0000-0000-00002D0D0000}"/>
    <cellStyle name="Normal 36 3 4 2" xfId="3374" xr:uid="{00000000-0005-0000-0000-00002E0D0000}"/>
    <cellStyle name="Normal 36 3 5" xfId="3375" xr:uid="{00000000-0005-0000-0000-00002F0D0000}"/>
    <cellStyle name="Normal 36 4" xfId="3376" xr:uid="{00000000-0005-0000-0000-0000300D0000}"/>
    <cellStyle name="Normal 36 4 2" xfId="3377" xr:uid="{00000000-0005-0000-0000-0000310D0000}"/>
    <cellStyle name="Normal 36 4 2 2" xfId="3378" xr:uid="{00000000-0005-0000-0000-0000320D0000}"/>
    <cellStyle name="Normal 36 4 2 2 2" xfId="3379" xr:uid="{00000000-0005-0000-0000-0000330D0000}"/>
    <cellStyle name="Normal 36 4 2 3" xfId="3380" xr:uid="{00000000-0005-0000-0000-0000340D0000}"/>
    <cellStyle name="Normal 36 4 3" xfId="3381" xr:uid="{00000000-0005-0000-0000-0000350D0000}"/>
    <cellStyle name="Normal 36 4 3 2" xfId="3382" xr:uid="{00000000-0005-0000-0000-0000360D0000}"/>
    <cellStyle name="Normal 36 4 4" xfId="3383" xr:uid="{00000000-0005-0000-0000-0000370D0000}"/>
    <cellStyle name="Normal 36 5" xfId="3384" xr:uid="{00000000-0005-0000-0000-0000380D0000}"/>
    <cellStyle name="Normal 36 5 2" xfId="3385" xr:uid="{00000000-0005-0000-0000-0000390D0000}"/>
    <cellStyle name="Normal 36 5 2 2" xfId="3386" xr:uid="{00000000-0005-0000-0000-00003A0D0000}"/>
    <cellStyle name="Normal 36 5 2 2 2" xfId="3387" xr:uid="{00000000-0005-0000-0000-00003B0D0000}"/>
    <cellStyle name="Normal 36 5 2 3" xfId="3388" xr:uid="{00000000-0005-0000-0000-00003C0D0000}"/>
    <cellStyle name="Normal 36 5 3" xfId="3389" xr:uid="{00000000-0005-0000-0000-00003D0D0000}"/>
    <cellStyle name="Normal 36 5 3 2" xfId="3390" xr:uid="{00000000-0005-0000-0000-00003E0D0000}"/>
    <cellStyle name="Normal 36 5 4" xfId="3391" xr:uid="{00000000-0005-0000-0000-00003F0D0000}"/>
    <cellStyle name="Normal 36 6" xfId="3392" xr:uid="{00000000-0005-0000-0000-0000400D0000}"/>
    <cellStyle name="Normal 36 6 2" xfId="3393" xr:uid="{00000000-0005-0000-0000-0000410D0000}"/>
    <cellStyle name="Normal 36 6 2 2" xfId="3394" xr:uid="{00000000-0005-0000-0000-0000420D0000}"/>
    <cellStyle name="Normal 36 6 3" xfId="3395" xr:uid="{00000000-0005-0000-0000-0000430D0000}"/>
    <cellStyle name="Normal 36 7" xfId="3396" xr:uid="{00000000-0005-0000-0000-0000440D0000}"/>
    <cellStyle name="Normal 36 7 2" xfId="3397" xr:uid="{00000000-0005-0000-0000-0000450D0000}"/>
    <cellStyle name="Normal 36 8" xfId="3398" xr:uid="{00000000-0005-0000-0000-0000460D0000}"/>
    <cellStyle name="Normal 37" xfId="3399" xr:uid="{00000000-0005-0000-0000-0000470D0000}"/>
    <cellStyle name="Normal 37 2" xfId="3400" xr:uid="{00000000-0005-0000-0000-0000480D0000}"/>
    <cellStyle name="Normal 37 2 2" xfId="3401" xr:uid="{00000000-0005-0000-0000-0000490D0000}"/>
    <cellStyle name="Normal 37 2 2 2" xfId="3402" xr:uid="{00000000-0005-0000-0000-00004A0D0000}"/>
    <cellStyle name="Normal 37 2 2 2 2" xfId="3403" xr:uid="{00000000-0005-0000-0000-00004B0D0000}"/>
    <cellStyle name="Normal 37 2 2 2 2 2" xfId="3404" xr:uid="{00000000-0005-0000-0000-00004C0D0000}"/>
    <cellStyle name="Normal 37 2 2 2 3" xfId="3405" xr:uid="{00000000-0005-0000-0000-00004D0D0000}"/>
    <cellStyle name="Normal 37 2 2 2 4" xfId="3406" xr:uid="{00000000-0005-0000-0000-00004E0D0000}"/>
    <cellStyle name="Normal 37 2 2 3" xfId="3407" xr:uid="{00000000-0005-0000-0000-00004F0D0000}"/>
    <cellStyle name="Normal 37 2 2 3 2" xfId="3408" xr:uid="{00000000-0005-0000-0000-0000500D0000}"/>
    <cellStyle name="Normal 37 2 2 4" xfId="3409" xr:uid="{00000000-0005-0000-0000-0000510D0000}"/>
    <cellStyle name="Normal 37 2 2 4 2" xfId="3410" xr:uid="{00000000-0005-0000-0000-0000520D0000}"/>
    <cellStyle name="Normal 37 2 2 5" xfId="3411" xr:uid="{00000000-0005-0000-0000-0000530D0000}"/>
    <cellStyle name="Normal 37 2 2 6" xfId="3412" xr:uid="{00000000-0005-0000-0000-0000540D0000}"/>
    <cellStyle name="Normal 37 2 3" xfId="3413" xr:uid="{00000000-0005-0000-0000-0000550D0000}"/>
    <cellStyle name="Normal 37 2 3 2" xfId="3414" xr:uid="{00000000-0005-0000-0000-0000560D0000}"/>
    <cellStyle name="Normal 37 2 3 2 2" xfId="3415" xr:uid="{00000000-0005-0000-0000-0000570D0000}"/>
    <cellStyle name="Normal 37 2 3 2 2 2" xfId="3416" xr:uid="{00000000-0005-0000-0000-0000580D0000}"/>
    <cellStyle name="Normal 37 2 3 2 3" xfId="3417" xr:uid="{00000000-0005-0000-0000-0000590D0000}"/>
    <cellStyle name="Normal 37 2 3 2 4" xfId="3418" xr:uid="{00000000-0005-0000-0000-00005A0D0000}"/>
    <cellStyle name="Normal 37 2 3 3" xfId="3419" xr:uid="{00000000-0005-0000-0000-00005B0D0000}"/>
    <cellStyle name="Normal 37 2 3 3 2" xfId="3420" xr:uid="{00000000-0005-0000-0000-00005C0D0000}"/>
    <cellStyle name="Normal 37 2 3 4" xfId="3421" xr:uid="{00000000-0005-0000-0000-00005D0D0000}"/>
    <cellStyle name="Normal 37 2 3 5" xfId="3422" xr:uid="{00000000-0005-0000-0000-00005E0D0000}"/>
    <cellStyle name="Normal 37 2 4" xfId="3423" xr:uid="{00000000-0005-0000-0000-00005F0D0000}"/>
    <cellStyle name="Normal 37 2 4 2" xfId="3424" xr:uid="{00000000-0005-0000-0000-0000600D0000}"/>
    <cellStyle name="Normal 37 2 4 2 2" xfId="3425" xr:uid="{00000000-0005-0000-0000-0000610D0000}"/>
    <cellStyle name="Normal 37 2 4 3" xfId="3426" xr:uid="{00000000-0005-0000-0000-0000620D0000}"/>
    <cellStyle name="Normal 37 2 4 4" xfId="3427" xr:uid="{00000000-0005-0000-0000-0000630D0000}"/>
    <cellStyle name="Normal 37 2 5" xfId="3428" xr:uid="{00000000-0005-0000-0000-0000640D0000}"/>
    <cellStyle name="Normal 37 2 5 2" xfId="3429" xr:uid="{00000000-0005-0000-0000-0000650D0000}"/>
    <cellStyle name="Normal 37 2 5 2 2" xfId="3430" xr:uid="{00000000-0005-0000-0000-0000660D0000}"/>
    <cellStyle name="Normal 37 2 5 3" xfId="3431" xr:uid="{00000000-0005-0000-0000-0000670D0000}"/>
    <cellStyle name="Normal 37 2 5 4" xfId="3432" xr:uid="{00000000-0005-0000-0000-0000680D0000}"/>
    <cellStyle name="Normal 37 2 6" xfId="3433" xr:uid="{00000000-0005-0000-0000-0000690D0000}"/>
    <cellStyle name="Normal 37 2 6 2" xfId="3434" xr:uid="{00000000-0005-0000-0000-00006A0D0000}"/>
    <cellStyle name="Normal 37 2 7" xfId="3435" xr:uid="{00000000-0005-0000-0000-00006B0D0000}"/>
    <cellStyle name="Normal 37 2 7 2" xfId="3436" xr:uid="{00000000-0005-0000-0000-00006C0D0000}"/>
    <cellStyle name="Normal 37 2 8" xfId="3437" xr:uid="{00000000-0005-0000-0000-00006D0D0000}"/>
    <cellStyle name="Normal 37 2 9" xfId="3438" xr:uid="{00000000-0005-0000-0000-00006E0D0000}"/>
    <cellStyle name="Normal 37 3" xfId="3439" xr:uid="{00000000-0005-0000-0000-00006F0D0000}"/>
    <cellStyle name="Normal 37 3 2" xfId="3440" xr:uid="{00000000-0005-0000-0000-0000700D0000}"/>
    <cellStyle name="Normal 37 3 2 2" xfId="3441" xr:uid="{00000000-0005-0000-0000-0000710D0000}"/>
    <cellStyle name="Normal 37 3 2 2 2" xfId="3442" xr:uid="{00000000-0005-0000-0000-0000720D0000}"/>
    <cellStyle name="Normal 37 3 2 2 2 2" xfId="3443" xr:uid="{00000000-0005-0000-0000-0000730D0000}"/>
    <cellStyle name="Normal 37 3 2 2 3" xfId="3444" xr:uid="{00000000-0005-0000-0000-0000740D0000}"/>
    <cellStyle name="Normal 37 3 2 3" xfId="3445" xr:uid="{00000000-0005-0000-0000-0000750D0000}"/>
    <cellStyle name="Normal 37 3 2 3 2" xfId="3446" xr:uid="{00000000-0005-0000-0000-0000760D0000}"/>
    <cellStyle name="Normal 37 3 2 4" xfId="3447" xr:uid="{00000000-0005-0000-0000-0000770D0000}"/>
    <cellStyle name="Normal 37 3 3" xfId="3448" xr:uid="{00000000-0005-0000-0000-0000780D0000}"/>
    <cellStyle name="Normal 37 3 3 2" xfId="3449" xr:uid="{00000000-0005-0000-0000-0000790D0000}"/>
    <cellStyle name="Normal 37 3 3 2 2" xfId="3450" xr:uid="{00000000-0005-0000-0000-00007A0D0000}"/>
    <cellStyle name="Normal 37 3 3 3" xfId="3451" xr:uid="{00000000-0005-0000-0000-00007B0D0000}"/>
    <cellStyle name="Normal 37 3 4" xfId="3452" xr:uid="{00000000-0005-0000-0000-00007C0D0000}"/>
    <cellStyle name="Normal 37 3 4 2" xfId="3453" xr:uid="{00000000-0005-0000-0000-00007D0D0000}"/>
    <cellStyle name="Normal 37 3 5" xfId="3454" xr:uid="{00000000-0005-0000-0000-00007E0D0000}"/>
    <cellStyle name="Normal 37 4" xfId="3455" xr:uid="{00000000-0005-0000-0000-00007F0D0000}"/>
    <cellStyle name="Normal 37 4 2" xfId="3456" xr:uid="{00000000-0005-0000-0000-0000800D0000}"/>
    <cellStyle name="Normal 37 4 2 2" xfId="3457" xr:uid="{00000000-0005-0000-0000-0000810D0000}"/>
    <cellStyle name="Normal 37 4 2 2 2" xfId="3458" xr:uid="{00000000-0005-0000-0000-0000820D0000}"/>
    <cellStyle name="Normal 37 4 2 3" xfId="3459" xr:uid="{00000000-0005-0000-0000-0000830D0000}"/>
    <cellStyle name="Normal 37 4 3" xfId="3460" xr:uid="{00000000-0005-0000-0000-0000840D0000}"/>
    <cellStyle name="Normal 37 4 3 2" xfId="3461" xr:uid="{00000000-0005-0000-0000-0000850D0000}"/>
    <cellStyle name="Normal 37 4 4" xfId="3462" xr:uid="{00000000-0005-0000-0000-0000860D0000}"/>
    <cellStyle name="Normal 37 5" xfId="3463" xr:uid="{00000000-0005-0000-0000-0000870D0000}"/>
    <cellStyle name="Normal 37 5 2" xfId="3464" xr:uid="{00000000-0005-0000-0000-0000880D0000}"/>
    <cellStyle name="Normal 37 5 2 2" xfId="3465" xr:uid="{00000000-0005-0000-0000-0000890D0000}"/>
    <cellStyle name="Normal 37 5 3" xfId="3466" xr:uid="{00000000-0005-0000-0000-00008A0D0000}"/>
    <cellStyle name="Normal 37 6" xfId="3467" xr:uid="{00000000-0005-0000-0000-00008B0D0000}"/>
    <cellStyle name="Normal 37 6 2" xfId="3468" xr:uid="{00000000-0005-0000-0000-00008C0D0000}"/>
    <cellStyle name="Normal 37 7" xfId="3469" xr:uid="{00000000-0005-0000-0000-00008D0D0000}"/>
    <cellStyle name="Normal 38" xfId="3470" xr:uid="{00000000-0005-0000-0000-00008E0D0000}"/>
    <cellStyle name="Normal 38 2" xfId="3471" xr:uid="{00000000-0005-0000-0000-00008F0D0000}"/>
    <cellStyle name="Normal 38 2 2" xfId="3472" xr:uid="{00000000-0005-0000-0000-0000900D0000}"/>
    <cellStyle name="Normal 38 2 2 2" xfId="3473" xr:uid="{00000000-0005-0000-0000-0000910D0000}"/>
    <cellStyle name="Normal 38 2 2 2 2" xfId="3474" xr:uid="{00000000-0005-0000-0000-0000920D0000}"/>
    <cellStyle name="Normal 38 2 2 2 2 2" xfId="3475" xr:uid="{00000000-0005-0000-0000-0000930D0000}"/>
    <cellStyle name="Normal 38 2 2 2 3" xfId="3476" xr:uid="{00000000-0005-0000-0000-0000940D0000}"/>
    <cellStyle name="Normal 38 2 2 2 4" xfId="3477" xr:uid="{00000000-0005-0000-0000-0000950D0000}"/>
    <cellStyle name="Normal 38 2 2 3" xfId="3478" xr:uid="{00000000-0005-0000-0000-0000960D0000}"/>
    <cellStyle name="Normal 38 2 2 3 2" xfId="3479" xr:uid="{00000000-0005-0000-0000-0000970D0000}"/>
    <cellStyle name="Normal 38 2 2 4" xfId="3480" xr:uid="{00000000-0005-0000-0000-0000980D0000}"/>
    <cellStyle name="Normal 38 2 2 4 2" xfId="3481" xr:uid="{00000000-0005-0000-0000-0000990D0000}"/>
    <cellStyle name="Normal 38 2 2 5" xfId="3482" xr:uid="{00000000-0005-0000-0000-00009A0D0000}"/>
    <cellStyle name="Normal 38 2 2 6" xfId="3483" xr:uid="{00000000-0005-0000-0000-00009B0D0000}"/>
    <cellStyle name="Normal 38 2 3" xfId="3484" xr:uid="{00000000-0005-0000-0000-00009C0D0000}"/>
    <cellStyle name="Normal 38 2 3 2" xfId="3485" xr:uid="{00000000-0005-0000-0000-00009D0D0000}"/>
    <cellStyle name="Normal 38 2 3 2 2" xfId="3486" xr:uid="{00000000-0005-0000-0000-00009E0D0000}"/>
    <cellStyle name="Normal 38 2 3 2 2 2" xfId="3487" xr:uid="{00000000-0005-0000-0000-00009F0D0000}"/>
    <cellStyle name="Normal 38 2 3 2 3" xfId="3488" xr:uid="{00000000-0005-0000-0000-0000A00D0000}"/>
    <cellStyle name="Normal 38 2 3 2 4" xfId="3489" xr:uid="{00000000-0005-0000-0000-0000A10D0000}"/>
    <cellStyle name="Normal 38 2 3 3" xfId="3490" xr:uid="{00000000-0005-0000-0000-0000A20D0000}"/>
    <cellStyle name="Normal 38 2 3 3 2" xfId="3491" xr:uid="{00000000-0005-0000-0000-0000A30D0000}"/>
    <cellStyle name="Normal 38 2 3 4" xfId="3492" xr:uid="{00000000-0005-0000-0000-0000A40D0000}"/>
    <cellStyle name="Normal 38 2 3 5" xfId="3493" xr:uid="{00000000-0005-0000-0000-0000A50D0000}"/>
    <cellStyle name="Normal 38 2 4" xfId="3494" xr:uid="{00000000-0005-0000-0000-0000A60D0000}"/>
    <cellStyle name="Normal 38 2 4 2" xfId="3495" xr:uid="{00000000-0005-0000-0000-0000A70D0000}"/>
    <cellStyle name="Normal 38 2 4 2 2" xfId="3496" xr:uid="{00000000-0005-0000-0000-0000A80D0000}"/>
    <cellStyle name="Normal 38 2 4 3" xfId="3497" xr:uid="{00000000-0005-0000-0000-0000A90D0000}"/>
    <cellStyle name="Normal 38 2 4 4" xfId="3498" xr:uid="{00000000-0005-0000-0000-0000AA0D0000}"/>
    <cellStyle name="Normal 38 2 5" xfId="3499" xr:uid="{00000000-0005-0000-0000-0000AB0D0000}"/>
    <cellStyle name="Normal 38 2 5 2" xfId="3500" xr:uid="{00000000-0005-0000-0000-0000AC0D0000}"/>
    <cellStyle name="Normal 38 2 5 2 2" xfId="3501" xr:uid="{00000000-0005-0000-0000-0000AD0D0000}"/>
    <cellStyle name="Normal 38 2 5 3" xfId="3502" xr:uid="{00000000-0005-0000-0000-0000AE0D0000}"/>
    <cellStyle name="Normal 38 2 5 4" xfId="3503" xr:uid="{00000000-0005-0000-0000-0000AF0D0000}"/>
    <cellStyle name="Normal 38 2 6" xfId="3504" xr:uid="{00000000-0005-0000-0000-0000B00D0000}"/>
    <cellStyle name="Normal 38 2 6 2" xfId="3505" xr:uid="{00000000-0005-0000-0000-0000B10D0000}"/>
    <cellStyle name="Normal 38 2 7" xfId="3506" xr:uid="{00000000-0005-0000-0000-0000B20D0000}"/>
    <cellStyle name="Normal 38 2 7 2" xfId="3507" xr:uid="{00000000-0005-0000-0000-0000B30D0000}"/>
    <cellStyle name="Normal 38 2 8" xfId="3508" xr:uid="{00000000-0005-0000-0000-0000B40D0000}"/>
    <cellStyle name="Normal 38 2 9" xfId="3509" xr:uid="{00000000-0005-0000-0000-0000B50D0000}"/>
    <cellStyle name="Normal 38 3" xfId="3510" xr:uid="{00000000-0005-0000-0000-0000B60D0000}"/>
    <cellStyle name="Normal 38 3 2" xfId="3511" xr:uid="{00000000-0005-0000-0000-0000B70D0000}"/>
    <cellStyle name="Normal 38 3 2 2" xfId="3512" xr:uid="{00000000-0005-0000-0000-0000B80D0000}"/>
    <cellStyle name="Normal 38 3 2 2 2" xfId="3513" xr:uid="{00000000-0005-0000-0000-0000B90D0000}"/>
    <cellStyle name="Normal 38 3 2 2 2 2" xfId="3514" xr:uid="{00000000-0005-0000-0000-0000BA0D0000}"/>
    <cellStyle name="Normal 38 3 2 2 3" xfId="3515" xr:uid="{00000000-0005-0000-0000-0000BB0D0000}"/>
    <cellStyle name="Normal 38 3 2 3" xfId="3516" xr:uid="{00000000-0005-0000-0000-0000BC0D0000}"/>
    <cellStyle name="Normal 38 3 2 3 2" xfId="3517" xr:uid="{00000000-0005-0000-0000-0000BD0D0000}"/>
    <cellStyle name="Normal 38 3 2 4" xfId="3518" xr:uid="{00000000-0005-0000-0000-0000BE0D0000}"/>
    <cellStyle name="Normal 38 3 3" xfId="3519" xr:uid="{00000000-0005-0000-0000-0000BF0D0000}"/>
    <cellStyle name="Normal 38 3 3 2" xfId="3520" xr:uid="{00000000-0005-0000-0000-0000C00D0000}"/>
    <cellStyle name="Normal 38 3 3 2 2" xfId="3521" xr:uid="{00000000-0005-0000-0000-0000C10D0000}"/>
    <cellStyle name="Normal 38 3 3 3" xfId="3522" xr:uid="{00000000-0005-0000-0000-0000C20D0000}"/>
    <cellStyle name="Normal 38 3 4" xfId="3523" xr:uid="{00000000-0005-0000-0000-0000C30D0000}"/>
    <cellStyle name="Normal 38 3 4 2" xfId="3524" xr:uid="{00000000-0005-0000-0000-0000C40D0000}"/>
    <cellStyle name="Normal 38 3 5" xfId="3525" xr:uid="{00000000-0005-0000-0000-0000C50D0000}"/>
    <cellStyle name="Normal 38 4" xfId="3526" xr:uid="{00000000-0005-0000-0000-0000C60D0000}"/>
    <cellStyle name="Normal 38 4 2" xfId="3527" xr:uid="{00000000-0005-0000-0000-0000C70D0000}"/>
    <cellStyle name="Normal 38 4 2 2" xfId="3528" xr:uid="{00000000-0005-0000-0000-0000C80D0000}"/>
    <cellStyle name="Normal 38 4 2 2 2" xfId="3529" xr:uid="{00000000-0005-0000-0000-0000C90D0000}"/>
    <cellStyle name="Normal 38 4 2 3" xfId="3530" xr:uid="{00000000-0005-0000-0000-0000CA0D0000}"/>
    <cellStyle name="Normal 38 4 3" xfId="3531" xr:uid="{00000000-0005-0000-0000-0000CB0D0000}"/>
    <cellStyle name="Normal 38 4 3 2" xfId="3532" xr:uid="{00000000-0005-0000-0000-0000CC0D0000}"/>
    <cellStyle name="Normal 38 4 4" xfId="3533" xr:uid="{00000000-0005-0000-0000-0000CD0D0000}"/>
    <cellStyle name="Normal 38 5" xfId="3534" xr:uid="{00000000-0005-0000-0000-0000CE0D0000}"/>
    <cellStyle name="Normal 38 5 2" xfId="3535" xr:uid="{00000000-0005-0000-0000-0000CF0D0000}"/>
    <cellStyle name="Normal 38 5 2 2" xfId="3536" xr:uid="{00000000-0005-0000-0000-0000D00D0000}"/>
    <cellStyle name="Normal 38 5 3" xfId="3537" xr:uid="{00000000-0005-0000-0000-0000D10D0000}"/>
    <cellStyle name="Normal 38 6" xfId="3538" xr:uid="{00000000-0005-0000-0000-0000D20D0000}"/>
    <cellStyle name="Normal 38 6 2" xfId="3539" xr:uid="{00000000-0005-0000-0000-0000D30D0000}"/>
    <cellStyle name="Normal 38 7" xfId="3540" xr:uid="{00000000-0005-0000-0000-0000D40D0000}"/>
    <cellStyle name="Normal 39" xfId="3541" xr:uid="{00000000-0005-0000-0000-0000D50D0000}"/>
    <cellStyle name="Normal 39 2" xfId="3542" xr:uid="{00000000-0005-0000-0000-0000D60D0000}"/>
    <cellStyle name="Normal 39 2 2" xfId="3543" xr:uid="{00000000-0005-0000-0000-0000D70D0000}"/>
    <cellStyle name="Normal 39 2 2 2" xfId="3544" xr:uid="{00000000-0005-0000-0000-0000D80D0000}"/>
    <cellStyle name="Normal 39 2 2 2 2" xfId="3545" xr:uid="{00000000-0005-0000-0000-0000D90D0000}"/>
    <cellStyle name="Normal 39 2 2 2 2 2" xfId="3546" xr:uid="{00000000-0005-0000-0000-0000DA0D0000}"/>
    <cellStyle name="Normal 39 2 2 2 3" xfId="3547" xr:uid="{00000000-0005-0000-0000-0000DB0D0000}"/>
    <cellStyle name="Normal 39 2 2 2 4" xfId="3548" xr:uid="{00000000-0005-0000-0000-0000DC0D0000}"/>
    <cellStyle name="Normal 39 2 2 3" xfId="3549" xr:uid="{00000000-0005-0000-0000-0000DD0D0000}"/>
    <cellStyle name="Normal 39 2 2 3 2" xfId="3550" xr:uid="{00000000-0005-0000-0000-0000DE0D0000}"/>
    <cellStyle name="Normal 39 2 2 4" xfId="3551" xr:uid="{00000000-0005-0000-0000-0000DF0D0000}"/>
    <cellStyle name="Normal 39 2 2 4 2" xfId="3552" xr:uid="{00000000-0005-0000-0000-0000E00D0000}"/>
    <cellStyle name="Normal 39 2 2 5" xfId="3553" xr:uid="{00000000-0005-0000-0000-0000E10D0000}"/>
    <cellStyle name="Normal 39 2 2 6" xfId="3554" xr:uid="{00000000-0005-0000-0000-0000E20D0000}"/>
    <cellStyle name="Normal 39 2 3" xfId="3555" xr:uid="{00000000-0005-0000-0000-0000E30D0000}"/>
    <cellStyle name="Normal 39 2 3 2" xfId="3556" xr:uid="{00000000-0005-0000-0000-0000E40D0000}"/>
    <cellStyle name="Normal 39 2 3 2 2" xfId="3557" xr:uid="{00000000-0005-0000-0000-0000E50D0000}"/>
    <cellStyle name="Normal 39 2 3 2 2 2" xfId="3558" xr:uid="{00000000-0005-0000-0000-0000E60D0000}"/>
    <cellStyle name="Normal 39 2 3 2 3" xfId="3559" xr:uid="{00000000-0005-0000-0000-0000E70D0000}"/>
    <cellStyle name="Normal 39 2 3 2 4" xfId="3560" xr:uid="{00000000-0005-0000-0000-0000E80D0000}"/>
    <cellStyle name="Normal 39 2 3 3" xfId="3561" xr:uid="{00000000-0005-0000-0000-0000E90D0000}"/>
    <cellStyle name="Normal 39 2 3 3 2" xfId="3562" xr:uid="{00000000-0005-0000-0000-0000EA0D0000}"/>
    <cellStyle name="Normal 39 2 3 4" xfId="3563" xr:uid="{00000000-0005-0000-0000-0000EB0D0000}"/>
    <cellStyle name="Normal 39 2 3 5" xfId="3564" xr:uid="{00000000-0005-0000-0000-0000EC0D0000}"/>
    <cellStyle name="Normal 39 2 4" xfId="3565" xr:uid="{00000000-0005-0000-0000-0000ED0D0000}"/>
    <cellStyle name="Normal 39 2 4 2" xfId="3566" xr:uid="{00000000-0005-0000-0000-0000EE0D0000}"/>
    <cellStyle name="Normal 39 2 4 2 2" xfId="3567" xr:uid="{00000000-0005-0000-0000-0000EF0D0000}"/>
    <cellStyle name="Normal 39 2 4 3" xfId="3568" xr:uid="{00000000-0005-0000-0000-0000F00D0000}"/>
    <cellStyle name="Normal 39 2 4 4" xfId="3569" xr:uid="{00000000-0005-0000-0000-0000F10D0000}"/>
    <cellStyle name="Normal 39 2 5" xfId="3570" xr:uid="{00000000-0005-0000-0000-0000F20D0000}"/>
    <cellStyle name="Normal 39 2 5 2" xfId="3571" xr:uid="{00000000-0005-0000-0000-0000F30D0000}"/>
    <cellStyle name="Normal 39 2 5 2 2" xfId="3572" xr:uid="{00000000-0005-0000-0000-0000F40D0000}"/>
    <cellStyle name="Normal 39 2 5 3" xfId="3573" xr:uid="{00000000-0005-0000-0000-0000F50D0000}"/>
    <cellStyle name="Normal 39 2 5 4" xfId="3574" xr:uid="{00000000-0005-0000-0000-0000F60D0000}"/>
    <cellStyle name="Normal 39 2 6" xfId="3575" xr:uid="{00000000-0005-0000-0000-0000F70D0000}"/>
    <cellStyle name="Normal 39 2 6 2" xfId="3576" xr:uid="{00000000-0005-0000-0000-0000F80D0000}"/>
    <cellStyle name="Normal 39 2 7" xfId="3577" xr:uid="{00000000-0005-0000-0000-0000F90D0000}"/>
    <cellStyle name="Normal 39 2 7 2" xfId="3578" xr:uid="{00000000-0005-0000-0000-0000FA0D0000}"/>
    <cellStyle name="Normal 39 2 8" xfId="3579" xr:uid="{00000000-0005-0000-0000-0000FB0D0000}"/>
    <cellStyle name="Normal 39 2 9" xfId="3580" xr:uid="{00000000-0005-0000-0000-0000FC0D0000}"/>
    <cellStyle name="Normal 39 3" xfId="3581" xr:uid="{00000000-0005-0000-0000-0000FD0D0000}"/>
    <cellStyle name="Normal 39 3 2" xfId="3582" xr:uid="{00000000-0005-0000-0000-0000FE0D0000}"/>
    <cellStyle name="Normal 39 3 2 2" xfId="3583" xr:uid="{00000000-0005-0000-0000-0000FF0D0000}"/>
    <cellStyle name="Normal 39 3 2 2 2" xfId="3584" xr:uid="{00000000-0005-0000-0000-0000000E0000}"/>
    <cellStyle name="Normal 39 3 2 2 2 2" xfId="3585" xr:uid="{00000000-0005-0000-0000-0000010E0000}"/>
    <cellStyle name="Normal 39 3 2 2 3" xfId="3586" xr:uid="{00000000-0005-0000-0000-0000020E0000}"/>
    <cellStyle name="Normal 39 3 2 3" xfId="3587" xr:uid="{00000000-0005-0000-0000-0000030E0000}"/>
    <cellStyle name="Normal 39 3 2 3 2" xfId="3588" xr:uid="{00000000-0005-0000-0000-0000040E0000}"/>
    <cellStyle name="Normal 39 3 2 4" xfId="3589" xr:uid="{00000000-0005-0000-0000-0000050E0000}"/>
    <cellStyle name="Normal 39 3 3" xfId="3590" xr:uid="{00000000-0005-0000-0000-0000060E0000}"/>
    <cellStyle name="Normal 39 3 3 2" xfId="3591" xr:uid="{00000000-0005-0000-0000-0000070E0000}"/>
    <cellStyle name="Normal 39 3 3 2 2" xfId="3592" xr:uid="{00000000-0005-0000-0000-0000080E0000}"/>
    <cellStyle name="Normal 39 3 3 3" xfId="3593" xr:uid="{00000000-0005-0000-0000-0000090E0000}"/>
    <cellStyle name="Normal 39 3 4" xfId="3594" xr:uid="{00000000-0005-0000-0000-00000A0E0000}"/>
    <cellStyle name="Normal 39 3 4 2" xfId="3595" xr:uid="{00000000-0005-0000-0000-00000B0E0000}"/>
    <cellStyle name="Normal 39 3 5" xfId="3596" xr:uid="{00000000-0005-0000-0000-00000C0E0000}"/>
    <cellStyle name="Normal 39 4" xfId="3597" xr:uid="{00000000-0005-0000-0000-00000D0E0000}"/>
    <cellStyle name="Normal 39 4 2" xfId="3598" xr:uid="{00000000-0005-0000-0000-00000E0E0000}"/>
    <cellStyle name="Normal 39 4 2 2" xfId="3599" xr:uid="{00000000-0005-0000-0000-00000F0E0000}"/>
    <cellStyle name="Normal 39 4 2 2 2" xfId="3600" xr:uid="{00000000-0005-0000-0000-0000100E0000}"/>
    <cellStyle name="Normal 39 4 2 3" xfId="3601" xr:uid="{00000000-0005-0000-0000-0000110E0000}"/>
    <cellStyle name="Normal 39 4 3" xfId="3602" xr:uid="{00000000-0005-0000-0000-0000120E0000}"/>
    <cellStyle name="Normal 39 4 3 2" xfId="3603" xr:uid="{00000000-0005-0000-0000-0000130E0000}"/>
    <cellStyle name="Normal 39 4 4" xfId="3604" xr:uid="{00000000-0005-0000-0000-0000140E0000}"/>
    <cellStyle name="Normal 39 5" xfId="3605" xr:uid="{00000000-0005-0000-0000-0000150E0000}"/>
    <cellStyle name="Normal 39 5 2" xfId="3606" xr:uid="{00000000-0005-0000-0000-0000160E0000}"/>
    <cellStyle name="Normal 39 5 2 2" xfId="3607" xr:uid="{00000000-0005-0000-0000-0000170E0000}"/>
    <cellStyle name="Normal 39 5 3" xfId="3608" xr:uid="{00000000-0005-0000-0000-0000180E0000}"/>
    <cellStyle name="Normal 39 6" xfId="3609" xr:uid="{00000000-0005-0000-0000-0000190E0000}"/>
    <cellStyle name="Normal 39 6 2" xfId="3610" xr:uid="{00000000-0005-0000-0000-00001A0E0000}"/>
    <cellStyle name="Normal 39 7" xfId="3611" xr:uid="{00000000-0005-0000-0000-00001B0E0000}"/>
    <cellStyle name="Normal 4" xfId="3612" xr:uid="{00000000-0005-0000-0000-00001C0E0000}"/>
    <cellStyle name="Normal 4 2" xfId="3613" xr:uid="{00000000-0005-0000-0000-00001D0E0000}"/>
    <cellStyle name="Normal 4 2 2" xfId="3614" xr:uid="{00000000-0005-0000-0000-00001E0E0000}"/>
    <cellStyle name="Normal 4 2 2 2" xfId="3615" xr:uid="{00000000-0005-0000-0000-00001F0E0000}"/>
    <cellStyle name="Normal 4 2 2 2 2" xfId="3616" xr:uid="{00000000-0005-0000-0000-0000200E0000}"/>
    <cellStyle name="Normal 4 2 2 2 2 2" xfId="3617" xr:uid="{00000000-0005-0000-0000-0000210E0000}"/>
    <cellStyle name="Normal 4 2 2 2 2 2 2" xfId="3618" xr:uid="{00000000-0005-0000-0000-0000220E0000}"/>
    <cellStyle name="Normal 4 2 2 2 2 3" xfId="3619" xr:uid="{00000000-0005-0000-0000-0000230E0000}"/>
    <cellStyle name="Normal 4 2 2 2 3" xfId="3620" xr:uid="{00000000-0005-0000-0000-0000240E0000}"/>
    <cellStyle name="Normal 4 2 2 2 3 2" xfId="3621" xr:uid="{00000000-0005-0000-0000-0000250E0000}"/>
    <cellStyle name="Normal 4 2 2 2 4" xfId="3622" xr:uid="{00000000-0005-0000-0000-0000260E0000}"/>
    <cellStyle name="Normal 4 2 2 2 5" xfId="3623" xr:uid="{00000000-0005-0000-0000-0000270E0000}"/>
    <cellStyle name="Normal 4 2 2 3" xfId="3624" xr:uid="{00000000-0005-0000-0000-0000280E0000}"/>
    <cellStyle name="Normal 4 2 2 3 2" xfId="3625" xr:uid="{00000000-0005-0000-0000-0000290E0000}"/>
    <cellStyle name="Normal 4 2 2 3 2 2" xfId="3626" xr:uid="{00000000-0005-0000-0000-00002A0E0000}"/>
    <cellStyle name="Normal 4 2 2 3 2 2 2" xfId="3627" xr:uid="{00000000-0005-0000-0000-00002B0E0000}"/>
    <cellStyle name="Normal 4 2 2 3 2 3" xfId="3628" xr:uid="{00000000-0005-0000-0000-00002C0E0000}"/>
    <cellStyle name="Normal 4 2 2 3 3" xfId="3629" xr:uid="{00000000-0005-0000-0000-00002D0E0000}"/>
    <cellStyle name="Normal 4 2 2 3 3 2" xfId="3630" xr:uid="{00000000-0005-0000-0000-00002E0E0000}"/>
    <cellStyle name="Normal 4 2 2 3 4" xfId="3631" xr:uid="{00000000-0005-0000-0000-00002F0E0000}"/>
    <cellStyle name="Normal 4 2 2 4" xfId="3632" xr:uid="{00000000-0005-0000-0000-0000300E0000}"/>
    <cellStyle name="Normal 4 2 2 4 2" xfId="3633" xr:uid="{00000000-0005-0000-0000-0000310E0000}"/>
    <cellStyle name="Normal 4 2 2 4 2 2" xfId="3634" xr:uid="{00000000-0005-0000-0000-0000320E0000}"/>
    <cellStyle name="Normal 4 2 2 4 3" xfId="3635" xr:uid="{00000000-0005-0000-0000-0000330E0000}"/>
    <cellStyle name="Normal 4 2 2 5" xfId="3636" xr:uid="{00000000-0005-0000-0000-0000340E0000}"/>
    <cellStyle name="Normal 4 2 2 5 2" xfId="3637" xr:uid="{00000000-0005-0000-0000-0000350E0000}"/>
    <cellStyle name="Normal 4 2 2 6" xfId="3638" xr:uid="{00000000-0005-0000-0000-0000360E0000}"/>
    <cellStyle name="Normal 4 2 2 6 2" xfId="3639" xr:uid="{00000000-0005-0000-0000-0000370E0000}"/>
    <cellStyle name="Normal 4 2 2 7" xfId="3640" xr:uid="{00000000-0005-0000-0000-0000380E0000}"/>
    <cellStyle name="Normal 4 2 2 8" xfId="3641" xr:uid="{00000000-0005-0000-0000-0000390E0000}"/>
    <cellStyle name="Normal 4 2 3" xfId="3642" xr:uid="{00000000-0005-0000-0000-00003A0E0000}"/>
    <cellStyle name="Normal 4 2 3 2" xfId="3643" xr:uid="{00000000-0005-0000-0000-00003B0E0000}"/>
    <cellStyle name="Normal 4 2 3 3" xfId="3644" xr:uid="{00000000-0005-0000-0000-00003C0E0000}"/>
    <cellStyle name="Normal 4 2 4" xfId="3645" xr:uid="{00000000-0005-0000-0000-00003D0E0000}"/>
    <cellStyle name="Normal 4 2 4 2" xfId="3646" xr:uid="{00000000-0005-0000-0000-00003E0E0000}"/>
    <cellStyle name="Normal 4 2 4 2 2" xfId="3647" xr:uid="{00000000-0005-0000-0000-00003F0E0000}"/>
    <cellStyle name="Normal 4 2 4 2 2 2" xfId="3648" xr:uid="{00000000-0005-0000-0000-0000400E0000}"/>
    <cellStyle name="Normal 4 2 4 2 3" xfId="3649" xr:uid="{00000000-0005-0000-0000-0000410E0000}"/>
    <cellStyle name="Normal 4 2 4 3" xfId="3650" xr:uid="{00000000-0005-0000-0000-0000420E0000}"/>
    <cellStyle name="Normal 4 2 4 3 2" xfId="3651" xr:uid="{00000000-0005-0000-0000-0000430E0000}"/>
    <cellStyle name="Normal 4 2 4 4" xfId="3652" xr:uid="{00000000-0005-0000-0000-0000440E0000}"/>
    <cellStyle name="Normal 4 2 4 5" xfId="3653" xr:uid="{00000000-0005-0000-0000-0000450E0000}"/>
    <cellStyle name="Normal 4 2 5" xfId="3654" xr:uid="{00000000-0005-0000-0000-0000460E0000}"/>
    <cellStyle name="Normal 4 2 5 2" xfId="3655" xr:uid="{00000000-0005-0000-0000-0000470E0000}"/>
    <cellStyle name="Normal 4 2 5 2 2" xfId="3656" xr:uid="{00000000-0005-0000-0000-0000480E0000}"/>
    <cellStyle name="Normal 4 2 5 2 2 2" xfId="3657" xr:uid="{00000000-0005-0000-0000-0000490E0000}"/>
    <cellStyle name="Normal 4 2 5 2 3" xfId="3658" xr:uid="{00000000-0005-0000-0000-00004A0E0000}"/>
    <cellStyle name="Normal 4 2 5 3" xfId="3659" xr:uid="{00000000-0005-0000-0000-00004B0E0000}"/>
    <cellStyle name="Normal 4 2 5 3 2" xfId="3660" xr:uid="{00000000-0005-0000-0000-00004C0E0000}"/>
    <cellStyle name="Normal 4 2 5 4" xfId="3661" xr:uid="{00000000-0005-0000-0000-00004D0E0000}"/>
    <cellStyle name="Normal 4 2 5 5" xfId="3662" xr:uid="{00000000-0005-0000-0000-00004E0E0000}"/>
    <cellStyle name="Normal 4 2 6" xfId="3663" xr:uid="{00000000-0005-0000-0000-00004F0E0000}"/>
    <cellStyle name="Normal 4 2 6 2" xfId="3664" xr:uid="{00000000-0005-0000-0000-0000500E0000}"/>
    <cellStyle name="Normal 4 2 7" xfId="3665" xr:uid="{00000000-0005-0000-0000-0000510E0000}"/>
    <cellStyle name="Normal 4 3" xfId="3666" xr:uid="{00000000-0005-0000-0000-0000520E0000}"/>
    <cellStyle name="Normal 4_Dual_Mode_Time" xfId="3667" xr:uid="{00000000-0005-0000-0000-0000530E0000}"/>
    <cellStyle name="Normal 40" xfId="3668" xr:uid="{00000000-0005-0000-0000-0000540E0000}"/>
    <cellStyle name="Normal 40 2" xfId="3669" xr:uid="{00000000-0005-0000-0000-0000550E0000}"/>
    <cellStyle name="Normal 40 2 2" xfId="3670" xr:uid="{00000000-0005-0000-0000-0000560E0000}"/>
    <cellStyle name="Normal 40 2 2 2" xfId="3671" xr:uid="{00000000-0005-0000-0000-0000570E0000}"/>
    <cellStyle name="Normal 40 2 2 2 2" xfId="3672" xr:uid="{00000000-0005-0000-0000-0000580E0000}"/>
    <cellStyle name="Normal 40 2 2 2 2 2" xfId="3673" xr:uid="{00000000-0005-0000-0000-0000590E0000}"/>
    <cellStyle name="Normal 40 2 2 2 3" xfId="3674" xr:uid="{00000000-0005-0000-0000-00005A0E0000}"/>
    <cellStyle name="Normal 40 2 2 3" xfId="3675" xr:uid="{00000000-0005-0000-0000-00005B0E0000}"/>
    <cellStyle name="Normal 40 2 2 3 2" xfId="3676" xr:uid="{00000000-0005-0000-0000-00005C0E0000}"/>
    <cellStyle name="Normal 40 2 2 4" xfId="3677" xr:uid="{00000000-0005-0000-0000-00005D0E0000}"/>
    <cellStyle name="Normal 40 2 3" xfId="3678" xr:uid="{00000000-0005-0000-0000-00005E0E0000}"/>
    <cellStyle name="Normal 40 2 3 2" xfId="3679" xr:uid="{00000000-0005-0000-0000-00005F0E0000}"/>
    <cellStyle name="Normal 40 2 3 2 2" xfId="3680" xr:uid="{00000000-0005-0000-0000-0000600E0000}"/>
    <cellStyle name="Normal 40 2 3 2 2 2" xfId="3681" xr:uid="{00000000-0005-0000-0000-0000610E0000}"/>
    <cellStyle name="Normal 40 2 3 2 3" xfId="3682" xr:uid="{00000000-0005-0000-0000-0000620E0000}"/>
    <cellStyle name="Normal 40 2 3 3" xfId="3683" xr:uid="{00000000-0005-0000-0000-0000630E0000}"/>
    <cellStyle name="Normal 40 2 3 3 2" xfId="3684" xr:uid="{00000000-0005-0000-0000-0000640E0000}"/>
    <cellStyle name="Normal 40 2 3 4" xfId="3685" xr:uid="{00000000-0005-0000-0000-0000650E0000}"/>
    <cellStyle name="Normal 40 2 4" xfId="3686" xr:uid="{00000000-0005-0000-0000-0000660E0000}"/>
    <cellStyle name="Normal 40 2 4 2" xfId="3687" xr:uid="{00000000-0005-0000-0000-0000670E0000}"/>
    <cellStyle name="Normal 40 2 4 2 2" xfId="3688" xr:uid="{00000000-0005-0000-0000-0000680E0000}"/>
    <cellStyle name="Normal 40 2 4 3" xfId="3689" xr:uid="{00000000-0005-0000-0000-0000690E0000}"/>
    <cellStyle name="Normal 40 2 5" xfId="3690" xr:uid="{00000000-0005-0000-0000-00006A0E0000}"/>
    <cellStyle name="Normal 40 2 5 2" xfId="3691" xr:uid="{00000000-0005-0000-0000-00006B0E0000}"/>
    <cellStyle name="Normal 40 2 5 2 2" xfId="3692" xr:uid="{00000000-0005-0000-0000-00006C0E0000}"/>
    <cellStyle name="Normal 40 2 5 3" xfId="3693" xr:uid="{00000000-0005-0000-0000-00006D0E0000}"/>
    <cellStyle name="Normal 40 2 6" xfId="3694" xr:uid="{00000000-0005-0000-0000-00006E0E0000}"/>
    <cellStyle name="Normal 40 2 6 2" xfId="3695" xr:uid="{00000000-0005-0000-0000-00006F0E0000}"/>
    <cellStyle name="Normal 40 2 7" xfId="3696" xr:uid="{00000000-0005-0000-0000-0000700E0000}"/>
    <cellStyle name="Normal 40 3" xfId="3697" xr:uid="{00000000-0005-0000-0000-0000710E0000}"/>
    <cellStyle name="Normal 40 3 2" xfId="3698" xr:uid="{00000000-0005-0000-0000-0000720E0000}"/>
    <cellStyle name="Normal 40 3 2 2" xfId="3699" xr:uid="{00000000-0005-0000-0000-0000730E0000}"/>
    <cellStyle name="Normal 40 3 2 2 2" xfId="3700" xr:uid="{00000000-0005-0000-0000-0000740E0000}"/>
    <cellStyle name="Normal 40 3 2 2 2 2" xfId="3701" xr:uid="{00000000-0005-0000-0000-0000750E0000}"/>
    <cellStyle name="Normal 40 3 2 2 3" xfId="3702" xr:uid="{00000000-0005-0000-0000-0000760E0000}"/>
    <cellStyle name="Normal 40 3 2 3" xfId="3703" xr:uid="{00000000-0005-0000-0000-0000770E0000}"/>
    <cellStyle name="Normal 40 3 2 3 2" xfId="3704" xr:uid="{00000000-0005-0000-0000-0000780E0000}"/>
    <cellStyle name="Normal 40 3 2 4" xfId="3705" xr:uid="{00000000-0005-0000-0000-0000790E0000}"/>
    <cellStyle name="Normal 40 3 3" xfId="3706" xr:uid="{00000000-0005-0000-0000-00007A0E0000}"/>
    <cellStyle name="Normal 40 3 3 2" xfId="3707" xr:uid="{00000000-0005-0000-0000-00007B0E0000}"/>
    <cellStyle name="Normal 40 3 3 2 2" xfId="3708" xr:uid="{00000000-0005-0000-0000-00007C0E0000}"/>
    <cellStyle name="Normal 40 3 3 3" xfId="3709" xr:uid="{00000000-0005-0000-0000-00007D0E0000}"/>
    <cellStyle name="Normal 40 3 4" xfId="3710" xr:uid="{00000000-0005-0000-0000-00007E0E0000}"/>
    <cellStyle name="Normal 40 3 4 2" xfId="3711" xr:uid="{00000000-0005-0000-0000-00007F0E0000}"/>
    <cellStyle name="Normal 40 3 5" xfId="3712" xr:uid="{00000000-0005-0000-0000-0000800E0000}"/>
    <cellStyle name="Normal 40 4" xfId="3713" xr:uid="{00000000-0005-0000-0000-0000810E0000}"/>
    <cellStyle name="Normal 40 4 2" xfId="3714" xr:uid="{00000000-0005-0000-0000-0000820E0000}"/>
    <cellStyle name="Normal 40 4 2 2" xfId="3715" xr:uid="{00000000-0005-0000-0000-0000830E0000}"/>
    <cellStyle name="Normal 40 4 2 2 2" xfId="3716" xr:uid="{00000000-0005-0000-0000-0000840E0000}"/>
    <cellStyle name="Normal 40 4 2 3" xfId="3717" xr:uid="{00000000-0005-0000-0000-0000850E0000}"/>
    <cellStyle name="Normal 40 4 3" xfId="3718" xr:uid="{00000000-0005-0000-0000-0000860E0000}"/>
    <cellStyle name="Normal 40 4 3 2" xfId="3719" xr:uid="{00000000-0005-0000-0000-0000870E0000}"/>
    <cellStyle name="Normal 40 4 4" xfId="3720" xr:uid="{00000000-0005-0000-0000-0000880E0000}"/>
    <cellStyle name="Normal 40 5" xfId="3721" xr:uid="{00000000-0005-0000-0000-0000890E0000}"/>
    <cellStyle name="Normal 40 5 2" xfId="3722" xr:uid="{00000000-0005-0000-0000-00008A0E0000}"/>
    <cellStyle name="Normal 40 5 2 2" xfId="3723" xr:uid="{00000000-0005-0000-0000-00008B0E0000}"/>
    <cellStyle name="Normal 40 5 3" xfId="3724" xr:uid="{00000000-0005-0000-0000-00008C0E0000}"/>
    <cellStyle name="Normal 40 6" xfId="3725" xr:uid="{00000000-0005-0000-0000-00008D0E0000}"/>
    <cellStyle name="Normal 40 6 2" xfId="3726" xr:uid="{00000000-0005-0000-0000-00008E0E0000}"/>
    <cellStyle name="Normal 40 7" xfId="3727" xr:uid="{00000000-0005-0000-0000-00008F0E0000}"/>
    <cellStyle name="Normal 41" xfId="3728" xr:uid="{00000000-0005-0000-0000-0000900E0000}"/>
    <cellStyle name="Normal 41 2" xfId="3729" xr:uid="{00000000-0005-0000-0000-0000910E0000}"/>
    <cellStyle name="Normal 41 2 2" xfId="3730" xr:uid="{00000000-0005-0000-0000-0000920E0000}"/>
    <cellStyle name="Normal 41 2 2 2" xfId="3731" xr:uid="{00000000-0005-0000-0000-0000930E0000}"/>
    <cellStyle name="Normal 41 2 2 2 2" xfId="3732" xr:uid="{00000000-0005-0000-0000-0000940E0000}"/>
    <cellStyle name="Normal 41 2 2 3" xfId="3733" xr:uid="{00000000-0005-0000-0000-0000950E0000}"/>
    <cellStyle name="Normal 41 2 3" xfId="3734" xr:uid="{00000000-0005-0000-0000-0000960E0000}"/>
    <cellStyle name="Normal 41 2 3 2" xfId="3735" xr:uid="{00000000-0005-0000-0000-0000970E0000}"/>
    <cellStyle name="Normal 41 2 4" xfId="3736" xr:uid="{00000000-0005-0000-0000-0000980E0000}"/>
    <cellStyle name="Normal 41 3" xfId="3737" xr:uid="{00000000-0005-0000-0000-0000990E0000}"/>
    <cellStyle name="Normal 41 3 2" xfId="3738" xr:uid="{00000000-0005-0000-0000-00009A0E0000}"/>
    <cellStyle name="Normal 41 3 2 2" xfId="3739" xr:uid="{00000000-0005-0000-0000-00009B0E0000}"/>
    <cellStyle name="Normal 41 3 2 2 2" xfId="3740" xr:uid="{00000000-0005-0000-0000-00009C0E0000}"/>
    <cellStyle name="Normal 41 3 2 3" xfId="3741" xr:uid="{00000000-0005-0000-0000-00009D0E0000}"/>
    <cellStyle name="Normal 41 3 3" xfId="3742" xr:uid="{00000000-0005-0000-0000-00009E0E0000}"/>
    <cellStyle name="Normal 41 3 3 2" xfId="3743" xr:uid="{00000000-0005-0000-0000-00009F0E0000}"/>
    <cellStyle name="Normal 41 3 4" xfId="3744" xr:uid="{00000000-0005-0000-0000-0000A00E0000}"/>
    <cellStyle name="Normal 41 4" xfId="3745" xr:uid="{00000000-0005-0000-0000-0000A10E0000}"/>
    <cellStyle name="Normal 41 4 2" xfId="3746" xr:uid="{00000000-0005-0000-0000-0000A20E0000}"/>
    <cellStyle name="Normal 41 4 2 2" xfId="3747" xr:uid="{00000000-0005-0000-0000-0000A30E0000}"/>
    <cellStyle name="Normal 41 4 3" xfId="3748" xr:uid="{00000000-0005-0000-0000-0000A40E0000}"/>
    <cellStyle name="Normal 41 5" xfId="3749" xr:uid="{00000000-0005-0000-0000-0000A50E0000}"/>
    <cellStyle name="Normal 41 5 2" xfId="3750" xr:uid="{00000000-0005-0000-0000-0000A60E0000}"/>
    <cellStyle name="Normal 41 6" xfId="3751" xr:uid="{00000000-0005-0000-0000-0000A70E0000}"/>
    <cellStyle name="Normal 42" xfId="3752" xr:uid="{00000000-0005-0000-0000-0000A80E0000}"/>
    <cellStyle name="Normal 42 2" xfId="3753" xr:uid="{00000000-0005-0000-0000-0000A90E0000}"/>
    <cellStyle name="Normal 42 2 2" xfId="3754" xr:uid="{00000000-0005-0000-0000-0000AA0E0000}"/>
    <cellStyle name="Normal 42 2 2 2" xfId="3755" xr:uid="{00000000-0005-0000-0000-0000AB0E0000}"/>
    <cellStyle name="Normal 42 2 2 2 2" xfId="3756" xr:uid="{00000000-0005-0000-0000-0000AC0E0000}"/>
    <cellStyle name="Normal 42 2 2 3" xfId="3757" xr:uid="{00000000-0005-0000-0000-0000AD0E0000}"/>
    <cellStyle name="Normal 42 2 3" xfId="3758" xr:uid="{00000000-0005-0000-0000-0000AE0E0000}"/>
    <cellStyle name="Normal 42 2 3 2" xfId="3759" xr:uid="{00000000-0005-0000-0000-0000AF0E0000}"/>
    <cellStyle name="Normal 42 2 4" xfId="3760" xr:uid="{00000000-0005-0000-0000-0000B00E0000}"/>
    <cellStyle name="Normal 42 3" xfId="3761" xr:uid="{00000000-0005-0000-0000-0000B10E0000}"/>
    <cellStyle name="Normal 42 3 2" xfId="3762" xr:uid="{00000000-0005-0000-0000-0000B20E0000}"/>
    <cellStyle name="Normal 42 3 2 2" xfId="3763" xr:uid="{00000000-0005-0000-0000-0000B30E0000}"/>
    <cellStyle name="Normal 42 3 2 2 2" xfId="3764" xr:uid="{00000000-0005-0000-0000-0000B40E0000}"/>
    <cellStyle name="Normal 42 3 2 3" xfId="3765" xr:uid="{00000000-0005-0000-0000-0000B50E0000}"/>
    <cellStyle name="Normal 42 3 3" xfId="3766" xr:uid="{00000000-0005-0000-0000-0000B60E0000}"/>
    <cellStyle name="Normal 42 3 3 2" xfId="3767" xr:uid="{00000000-0005-0000-0000-0000B70E0000}"/>
    <cellStyle name="Normal 42 3 4" xfId="3768" xr:uid="{00000000-0005-0000-0000-0000B80E0000}"/>
    <cellStyle name="Normal 42 4" xfId="3769" xr:uid="{00000000-0005-0000-0000-0000B90E0000}"/>
    <cellStyle name="Normal 42 4 2" xfId="3770" xr:uid="{00000000-0005-0000-0000-0000BA0E0000}"/>
    <cellStyle name="Normal 42 4 2 2" xfId="3771" xr:uid="{00000000-0005-0000-0000-0000BB0E0000}"/>
    <cellStyle name="Normal 42 4 3" xfId="3772" xr:uid="{00000000-0005-0000-0000-0000BC0E0000}"/>
    <cellStyle name="Normal 42 5" xfId="3773" xr:uid="{00000000-0005-0000-0000-0000BD0E0000}"/>
    <cellStyle name="Normal 42 5 2" xfId="3774" xr:uid="{00000000-0005-0000-0000-0000BE0E0000}"/>
    <cellStyle name="Normal 42 6" xfId="3775" xr:uid="{00000000-0005-0000-0000-0000BF0E0000}"/>
    <cellStyle name="Normal 43" xfId="3776" xr:uid="{00000000-0005-0000-0000-0000C00E0000}"/>
    <cellStyle name="Normal 43 2" xfId="3777" xr:uid="{00000000-0005-0000-0000-0000C10E0000}"/>
    <cellStyle name="Normal 43 2 2" xfId="3778" xr:uid="{00000000-0005-0000-0000-0000C20E0000}"/>
    <cellStyle name="Normal 43 2 2 2" xfId="3779" xr:uid="{00000000-0005-0000-0000-0000C30E0000}"/>
    <cellStyle name="Normal 43 2 2 2 2" xfId="3780" xr:uid="{00000000-0005-0000-0000-0000C40E0000}"/>
    <cellStyle name="Normal 43 2 2 3" xfId="3781" xr:uid="{00000000-0005-0000-0000-0000C50E0000}"/>
    <cellStyle name="Normal 43 2 3" xfId="3782" xr:uid="{00000000-0005-0000-0000-0000C60E0000}"/>
    <cellStyle name="Normal 43 2 3 2" xfId="3783" xr:uid="{00000000-0005-0000-0000-0000C70E0000}"/>
    <cellStyle name="Normal 43 2 4" xfId="3784" xr:uid="{00000000-0005-0000-0000-0000C80E0000}"/>
    <cellStyle name="Normal 43 3" xfId="3785" xr:uid="{00000000-0005-0000-0000-0000C90E0000}"/>
    <cellStyle name="Normal 43 3 2" xfId="3786" xr:uid="{00000000-0005-0000-0000-0000CA0E0000}"/>
    <cellStyle name="Normal 43 3 2 2" xfId="3787" xr:uid="{00000000-0005-0000-0000-0000CB0E0000}"/>
    <cellStyle name="Normal 43 3 2 2 2" xfId="3788" xr:uid="{00000000-0005-0000-0000-0000CC0E0000}"/>
    <cellStyle name="Normal 43 3 2 3" xfId="3789" xr:uid="{00000000-0005-0000-0000-0000CD0E0000}"/>
    <cellStyle name="Normal 43 3 3" xfId="3790" xr:uid="{00000000-0005-0000-0000-0000CE0E0000}"/>
    <cellStyle name="Normal 43 3 3 2" xfId="3791" xr:uid="{00000000-0005-0000-0000-0000CF0E0000}"/>
    <cellStyle name="Normal 43 3 4" xfId="3792" xr:uid="{00000000-0005-0000-0000-0000D00E0000}"/>
    <cellStyle name="Normal 43 4" xfId="3793" xr:uid="{00000000-0005-0000-0000-0000D10E0000}"/>
    <cellStyle name="Normal 43 4 2" xfId="3794" xr:uid="{00000000-0005-0000-0000-0000D20E0000}"/>
    <cellStyle name="Normal 43 4 2 2" xfId="3795" xr:uid="{00000000-0005-0000-0000-0000D30E0000}"/>
    <cellStyle name="Normal 43 4 3" xfId="3796" xr:uid="{00000000-0005-0000-0000-0000D40E0000}"/>
    <cellStyle name="Normal 43 5" xfId="3797" xr:uid="{00000000-0005-0000-0000-0000D50E0000}"/>
    <cellStyle name="Normal 43 5 2" xfId="3798" xr:uid="{00000000-0005-0000-0000-0000D60E0000}"/>
    <cellStyle name="Normal 43 6" xfId="3799" xr:uid="{00000000-0005-0000-0000-0000D70E0000}"/>
    <cellStyle name="Normal 44" xfId="3800" xr:uid="{00000000-0005-0000-0000-0000D80E0000}"/>
    <cellStyle name="Normal 44 2" xfId="3801" xr:uid="{00000000-0005-0000-0000-0000D90E0000}"/>
    <cellStyle name="Normal 44 2 2" xfId="3802" xr:uid="{00000000-0005-0000-0000-0000DA0E0000}"/>
    <cellStyle name="Normal 44 2 2 2" xfId="3803" xr:uid="{00000000-0005-0000-0000-0000DB0E0000}"/>
    <cellStyle name="Normal 44 2 2 2 2" xfId="3804" xr:uid="{00000000-0005-0000-0000-0000DC0E0000}"/>
    <cellStyle name="Normal 44 2 2 3" xfId="3805" xr:uid="{00000000-0005-0000-0000-0000DD0E0000}"/>
    <cellStyle name="Normal 44 2 3" xfId="3806" xr:uid="{00000000-0005-0000-0000-0000DE0E0000}"/>
    <cellStyle name="Normal 44 2 3 2" xfId="3807" xr:uid="{00000000-0005-0000-0000-0000DF0E0000}"/>
    <cellStyle name="Normal 44 2 4" xfId="3808" xr:uid="{00000000-0005-0000-0000-0000E00E0000}"/>
    <cellStyle name="Normal 44 3" xfId="3809" xr:uid="{00000000-0005-0000-0000-0000E10E0000}"/>
    <cellStyle name="Normal 44 3 2" xfId="3810" xr:uid="{00000000-0005-0000-0000-0000E20E0000}"/>
    <cellStyle name="Normal 44 3 2 2" xfId="3811" xr:uid="{00000000-0005-0000-0000-0000E30E0000}"/>
    <cellStyle name="Normal 44 3 2 2 2" xfId="3812" xr:uid="{00000000-0005-0000-0000-0000E40E0000}"/>
    <cellStyle name="Normal 44 3 2 3" xfId="3813" xr:uid="{00000000-0005-0000-0000-0000E50E0000}"/>
    <cellStyle name="Normal 44 3 3" xfId="3814" xr:uid="{00000000-0005-0000-0000-0000E60E0000}"/>
    <cellStyle name="Normal 44 3 3 2" xfId="3815" xr:uid="{00000000-0005-0000-0000-0000E70E0000}"/>
    <cellStyle name="Normal 44 3 4" xfId="3816" xr:uid="{00000000-0005-0000-0000-0000E80E0000}"/>
    <cellStyle name="Normal 44 4" xfId="3817" xr:uid="{00000000-0005-0000-0000-0000E90E0000}"/>
    <cellStyle name="Normal 44 4 2" xfId="3818" xr:uid="{00000000-0005-0000-0000-0000EA0E0000}"/>
    <cellStyle name="Normal 44 4 2 2" xfId="3819" xr:uid="{00000000-0005-0000-0000-0000EB0E0000}"/>
    <cellStyle name="Normal 44 4 3" xfId="3820" xr:uid="{00000000-0005-0000-0000-0000EC0E0000}"/>
    <cellStyle name="Normal 44 5" xfId="3821" xr:uid="{00000000-0005-0000-0000-0000ED0E0000}"/>
    <cellStyle name="Normal 44 5 2" xfId="3822" xr:uid="{00000000-0005-0000-0000-0000EE0E0000}"/>
    <cellStyle name="Normal 44 6" xfId="3823" xr:uid="{00000000-0005-0000-0000-0000EF0E0000}"/>
    <cellStyle name="Normal 45" xfId="3824" xr:uid="{00000000-0005-0000-0000-0000F00E0000}"/>
    <cellStyle name="Normal 45 2" xfId="3825" xr:uid="{00000000-0005-0000-0000-0000F10E0000}"/>
    <cellStyle name="Normal 45 2 2" xfId="3826" xr:uid="{00000000-0005-0000-0000-0000F20E0000}"/>
    <cellStyle name="Normal 45 2 2 2" xfId="3827" xr:uid="{00000000-0005-0000-0000-0000F30E0000}"/>
    <cellStyle name="Normal 45 2 2 2 2" xfId="3828" xr:uid="{00000000-0005-0000-0000-0000F40E0000}"/>
    <cellStyle name="Normal 45 2 2 2 2 2" xfId="3829" xr:uid="{00000000-0005-0000-0000-0000F50E0000}"/>
    <cellStyle name="Normal 45 2 2 2 3" xfId="3830" xr:uid="{00000000-0005-0000-0000-0000F60E0000}"/>
    <cellStyle name="Normal 45 2 2 2 4" xfId="3831" xr:uid="{00000000-0005-0000-0000-0000F70E0000}"/>
    <cellStyle name="Normal 45 2 2 3" xfId="3832" xr:uid="{00000000-0005-0000-0000-0000F80E0000}"/>
    <cellStyle name="Normal 45 2 2 3 2" xfId="3833" xr:uid="{00000000-0005-0000-0000-0000F90E0000}"/>
    <cellStyle name="Normal 45 2 2 4" xfId="3834" xr:uid="{00000000-0005-0000-0000-0000FA0E0000}"/>
    <cellStyle name="Normal 45 2 2 4 2" xfId="3835" xr:uid="{00000000-0005-0000-0000-0000FB0E0000}"/>
    <cellStyle name="Normal 45 2 2 5" xfId="3836" xr:uid="{00000000-0005-0000-0000-0000FC0E0000}"/>
    <cellStyle name="Normal 45 2 2 6" xfId="3837" xr:uid="{00000000-0005-0000-0000-0000FD0E0000}"/>
    <cellStyle name="Normal 45 2 3" xfId="3838" xr:uid="{00000000-0005-0000-0000-0000FE0E0000}"/>
    <cellStyle name="Normal 45 2 3 2" xfId="3839" xr:uid="{00000000-0005-0000-0000-0000FF0E0000}"/>
    <cellStyle name="Normal 45 2 3 2 2" xfId="3840" xr:uid="{00000000-0005-0000-0000-0000000F0000}"/>
    <cellStyle name="Normal 45 2 3 2 2 2" xfId="3841" xr:uid="{00000000-0005-0000-0000-0000010F0000}"/>
    <cellStyle name="Normal 45 2 3 2 3" xfId="3842" xr:uid="{00000000-0005-0000-0000-0000020F0000}"/>
    <cellStyle name="Normal 45 2 3 2 4" xfId="3843" xr:uid="{00000000-0005-0000-0000-0000030F0000}"/>
    <cellStyle name="Normal 45 2 3 3" xfId="3844" xr:uid="{00000000-0005-0000-0000-0000040F0000}"/>
    <cellStyle name="Normal 45 2 3 3 2" xfId="3845" xr:uid="{00000000-0005-0000-0000-0000050F0000}"/>
    <cellStyle name="Normal 45 2 3 4" xfId="3846" xr:uid="{00000000-0005-0000-0000-0000060F0000}"/>
    <cellStyle name="Normal 45 2 3 5" xfId="3847" xr:uid="{00000000-0005-0000-0000-0000070F0000}"/>
    <cellStyle name="Normal 45 2 4" xfId="3848" xr:uid="{00000000-0005-0000-0000-0000080F0000}"/>
    <cellStyle name="Normal 45 2 4 2" xfId="3849" xr:uid="{00000000-0005-0000-0000-0000090F0000}"/>
    <cellStyle name="Normal 45 2 4 2 2" xfId="3850" xr:uid="{00000000-0005-0000-0000-00000A0F0000}"/>
    <cellStyle name="Normal 45 2 4 3" xfId="3851" xr:uid="{00000000-0005-0000-0000-00000B0F0000}"/>
    <cellStyle name="Normal 45 2 4 4" xfId="3852" xr:uid="{00000000-0005-0000-0000-00000C0F0000}"/>
    <cellStyle name="Normal 45 2 5" xfId="3853" xr:uid="{00000000-0005-0000-0000-00000D0F0000}"/>
    <cellStyle name="Normal 45 2 5 2" xfId="3854" xr:uid="{00000000-0005-0000-0000-00000E0F0000}"/>
    <cellStyle name="Normal 45 2 5 2 2" xfId="3855" xr:uid="{00000000-0005-0000-0000-00000F0F0000}"/>
    <cellStyle name="Normal 45 2 5 3" xfId="3856" xr:uid="{00000000-0005-0000-0000-0000100F0000}"/>
    <cellStyle name="Normal 45 2 5 4" xfId="3857" xr:uid="{00000000-0005-0000-0000-0000110F0000}"/>
    <cellStyle name="Normal 45 2 6" xfId="3858" xr:uid="{00000000-0005-0000-0000-0000120F0000}"/>
    <cellStyle name="Normal 45 2 6 2" xfId="3859" xr:uid="{00000000-0005-0000-0000-0000130F0000}"/>
    <cellStyle name="Normal 45 2 7" xfId="3860" xr:uid="{00000000-0005-0000-0000-0000140F0000}"/>
    <cellStyle name="Normal 45 2 7 2" xfId="3861" xr:uid="{00000000-0005-0000-0000-0000150F0000}"/>
    <cellStyle name="Normal 45 2 8" xfId="3862" xr:uid="{00000000-0005-0000-0000-0000160F0000}"/>
    <cellStyle name="Normal 45 2 9" xfId="3863" xr:uid="{00000000-0005-0000-0000-0000170F0000}"/>
    <cellStyle name="Normal 45 3" xfId="3864" xr:uid="{00000000-0005-0000-0000-0000180F0000}"/>
    <cellStyle name="Normal 45 3 2" xfId="3865" xr:uid="{00000000-0005-0000-0000-0000190F0000}"/>
    <cellStyle name="Normal 45 3 2 2" xfId="3866" xr:uid="{00000000-0005-0000-0000-00001A0F0000}"/>
    <cellStyle name="Normal 45 3 2 2 2" xfId="3867" xr:uid="{00000000-0005-0000-0000-00001B0F0000}"/>
    <cellStyle name="Normal 45 3 2 2 2 2" xfId="3868" xr:uid="{00000000-0005-0000-0000-00001C0F0000}"/>
    <cellStyle name="Normal 45 3 2 2 3" xfId="3869" xr:uid="{00000000-0005-0000-0000-00001D0F0000}"/>
    <cellStyle name="Normal 45 3 2 3" xfId="3870" xr:uid="{00000000-0005-0000-0000-00001E0F0000}"/>
    <cellStyle name="Normal 45 3 2 3 2" xfId="3871" xr:uid="{00000000-0005-0000-0000-00001F0F0000}"/>
    <cellStyle name="Normal 45 3 2 4" xfId="3872" xr:uid="{00000000-0005-0000-0000-0000200F0000}"/>
    <cellStyle name="Normal 45 3 3" xfId="3873" xr:uid="{00000000-0005-0000-0000-0000210F0000}"/>
    <cellStyle name="Normal 45 3 3 2" xfId="3874" xr:uid="{00000000-0005-0000-0000-0000220F0000}"/>
    <cellStyle name="Normal 45 3 3 2 2" xfId="3875" xr:uid="{00000000-0005-0000-0000-0000230F0000}"/>
    <cellStyle name="Normal 45 3 3 3" xfId="3876" xr:uid="{00000000-0005-0000-0000-0000240F0000}"/>
    <cellStyle name="Normal 45 3 4" xfId="3877" xr:uid="{00000000-0005-0000-0000-0000250F0000}"/>
    <cellStyle name="Normal 45 3 4 2" xfId="3878" xr:uid="{00000000-0005-0000-0000-0000260F0000}"/>
    <cellStyle name="Normal 45 3 5" xfId="3879" xr:uid="{00000000-0005-0000-0000-0000270F0000}"/>
    <cellStyle name="Normal 45 4" xfId="3880" xr:uid="{00000000-0005-0000-0000-0000280F0000}"/>
    <cellStyle name="Normal 45 4 2" xfId="3881" xr:uid="{00000000-0005-0000-0000-0000290F0000}"/>
    <cellStyle name="Normal 45 4 2 2" xfId="3882" xr:uid="{00000000-0005-0000-0000-00002A0F0000}"/>
    <cellStyle name="Normal 45 4 2 2 2" xfId="3883" xr:uid="{00000000-0005-0000-0000-00002B0F0000}"/>
    <cellStyle name="Normal 45 4 2 3" xfId="3884" xr:uid="{00000000-0005-0000-0000-00002C0F0000}"/>
    <cellStyle name="Normal 45 4 3" xfId="3885" xr:uid="{00000000-0005-0000-0000-00002D0F0000}"/>
    <cellStyle name="Normal 45 4 3 2" xfId="3886" xr:uid="{00000000-0005-0000-0000-00002E0F0000}"/>
    <cellStyle name="Normal 45 4 4" xfId="3887" xr:uid="{00000000-0005-0000-0000-00002F0F0000}"/>
    <cellStyle name="Normal 45 5" xfId="3888" xr:uid="{00000000-0005-0000-0000-0000300F0000}"/>
    <cellStyle name="Normal 45 5 2" xfId="3889" xr:uid="{00000000-0005-0000-0000-0000310F0000}"/>
    <cellStyle name="Normal 45 5 2 2" xfId="3890" xr:uid="{00000000-0005-0000-0000-0000320F0000}"/>
    <cellStyle name="Normal 45 5 3" xfId="3891" xr:uid="{00000000-0005-0000-0000-0000330F0000}"/>
    <cellStyle name="Normal 45 6" xfId="3892" xr:uid="{00000000-0005-0000-0000-0000340F0000}"/>
    <cellStyle name="Normal 45 6 2" xfId="3893" xr:uid="{00000000-0005-0000-0000-0000350F0000}"/>
    <cellStyle name="Normal 45 7" xfId="3894" xr:uid="{00000000-0005-0000-0000-0000360F0000}"/>
    <cellStyle name="Normal 46" xfId="3895" xr:uid="{00000000-0005-0000-0000-0000370F0000}"/>
    <cellStyle name="Normal 46 2" xfId="3896" xr:uid="{00000000-0005-0000-0000-0000380F0000}"/>
    <cellStyle name="Normal 46 2 2" xfId="3897" xr:uid="{00000000-0005-0000-0000-0000390F0000}"/>
    <cellStyle name="Normal 46 2 2 2" xfId="3898" xr:uid="{00000000-0005-0000-0000-00003A0F0000}"/>
    <cellStyle name="Normal 46 2 2 2 2" xfId="3899" xr:uid="{00000000-0005-0000-0000-00003B0F0000}"/>
    <cellStyle name="Normal 46 2 2 2 2 2" xfId="3900" xr:uid="{00000000-0005-0000-0000-00003C0F0000}"/>
    <cellStyle name="Normal 46 2 2 2 3" xfId="3901" xr:uid="{00000000-0005-0000-0000-00003D0F0000}"/>
    <cellStyle name="Normal 46 2 2 2 4" xfId="3902" xr:uid="{00000000-0005-0000-0000-00003E0F0000}"/>
    <cellStyle name="Normal 46 2 2 3" xfId="3903" xr:uid="{00000000-0005-0000-0000-00003F0F0000}"/>
    <cellStyle name="Normal 46 2 2 3 2" xfId="3904" xr:uid="{00000000-0005-0000-0000-0000400F0000}"/>
    <cellStyle name="Normal 46 2 2 4" xfId="3905" xr:uid="{00000000-0005-0000-0000-0000410F0000}"/>
    <cellStyle name="Normal 46 2 2 4 2" xfId="3906" xr:uid="{00000000-0005-0000-0000-0000420F0000}"/>
    <cellStyle name="Normal 46 2 2 5" xfId="3907" xr:uid="{00000000-0005-0000-0000-0000430F0000}"/>
    <cellStyle name="Normal 46 2 2 6" xfId="3908" xr:uid="{00000000-0005-0000-0000-0000440F0000}"/>
    <cellStyle name="Normal 46 2 3" xfId="3909" xr:uid="{00000000-0005-0000-0000-0000450F0000}"/>
    <cellStyle name="Normal 46 2 3 2" xfId="3910" xr:uid="{00000000-0005-0000-0000-0000460F0000}"/>
    <cellStyle name="Normal 46 2 3 2 2" xfId="3911" xr:uid="{00000000-0005-0000-0000-0000470F0000}"/>
    <cellStyle name="Normal 46 2 3 2 2 2" xfId="3912" xr:uid="{00000000-0005-0000-0000-0000480F0000}"/>
    <cellStyle name="Normal 46 2 3 2 3" xfId="3913" xr:uid="{00000000-0005-0000-0000-0000490F0000}"/>
    <cellStyle name="Normal 46 2 3 2 4" xfId="3914" xr:uid="{00000000-0005-0000-0000-00004A0F0000}"/>
    <cellStyle name="Normal 46 2 3 3" xfId="3915" xr:uid="{00000000-0005-0000-0000-00004B0F0000}"/>
    <cellStyle name="Normal 46 2 3 3 2" xfId="3916" xr:uid="{00000000-0005-0000-0000-00004C0F0000}"/>
    <cellStyle name="Normal 46 2 3 4" xfId="3917" xr:uid="{00000000-0005-0000-0000-00004D0F0000}"/>
    <cellStyle name="Normal 46 2 3 5" xfId="3918" xr:uid="{00000000-0005-0000-0000-00004E0F0000}"/>
    <cellStyle name="Normal 46 2 4" xfId="3919" xr:uid="{00000000-0005-0000-0000-00004F0F0000}"/>
    <cellStyle name="Normal 46 2 4 2" xfId="3920" xr:uid="{00000000-0005-0000-0000-0000500F0000}"/>
    <cellStyle name="Normal 46 2 4 2 2" xfId="3921" xr:uid="{00000000-0005-0000-0000-0000510F0000}"/>
    <cellStyle name="Normal 46 2 4 3" xfId="3922" xr:uid="{00000000-0005-0000-0000-0000520F0000}"/>
    <cellStyle name="Normal 46 2 4 4" xfId="3923" xr:uid="{00000000-0005-0000-0000-0000530F0000}"/>
    <cellStyle name="Normal 46 2 5" xfId="3924" xr:uid="{00000000-0005-0000-0000-0000540F0000}"/>
    <cellStyle name="Normal 46 2 5 2" xfId="3925" xr:uid="{00000000-0005-0000-0000-0000550F0000}"/>
    <cellStyle name="Normal 46 2 5 2 2" xfId="3926" xr:uid="{00000000-0005-0000-0000-0000560F0000}"/>
    <cellStyle name="Normal 46 2 5 3" xfId="3927" xr:uid="{00000000-0005-0000-0000-0000570F0000}"/>
    <cellStyle name="Normal 46 2 5 4" xfId="3928" xr:uid="{00000000-0005-0000-0000-0000580F0000}"/>
    <cellStyle name="Normal 46 2 6" xfId="3929" xr:uid="{00000000-0005-0000-0000-0000590F0000}"/>
    <cellStyle name="Normal 46 2 6 2" xfId="3930" xr:uid="{00000000-0005-0000-0000-00005A0F0000}"/>
    <cellStyle name="Normal 46 2 7" xfId="3931" xr:uid="{00000000-0005-0000-0000-00005B0F0000}"/>
    <cellStyle name="Normal 46 2 7 2" xfId="3932" xr:uid="{00000000-0005-0000-0000-00005C0F0000}"/>
    <cellStyle name="Normal 46 2 8" xfId="3933" xr:uid="{00000000-0005-0000-0000-00005D0F0000}"/>
    <cellStyle name="Normal 46 2 9" xfId="3934" xr:uid="{00000000-0005-0000-0000-00005E0F0000}"/>
    <cellStyle name="Normal 46 3" xfId="3935" xr:uid="{00000000-0005-0000-0000-00005F0F0000}"/>
    <cellStyle name="Normal 46 3 2" xfId="3936" xr:uid="{00000000-0005-0000-0000-0000600F0000}"/>
    <cellStyle name="Normal 46 3 2 2" xfId="3937" xr:uid="{00000000-0005-0000-0000-0000610F0000}"/>
    <cellStyle name="Normal 46 3 2 2 2" xfId="3938" xr:uid="{00000000-0005-0000-0000-0000620F0000}"/>
    <cellStyle name="Normal 46 3 2 2 2 2" xfId="3939" xr:uid="{00000000-0005-0000-0000-0000630F0000}"/>
    <cellStyle name="Normal 46 3 2 2 3" xfId="3940" xr:uid="{00000000-0005-0000-0000-0000640F0000}"/>
    <cellStyle name="Normal 46 3 2 3" xfId="3941" xr:uid="{00000000-0005-0000-0000-0000650F0000}"/>
    <cellStyle name="Normal 46 3 2 3 2" xfId="3942" xr:uid="{00000000-0005-0000-0000-0000660F0000}"/>
    <cellStyle name="Normal 46 3 2 4" xfId="3943" xr:uid="{00000000-0005-0000-0000-0000670F0000}"/>
    <cellStyle name="Normal 46 3 3" xfId="3944" xr:uid="{00000000-0005-0000-0000-0000680F0000}"/>
    <cellStyle name="Normal 46 3 3 2" xfId="3945" xr:uid="{00000000-0005-0000-0000-0000690F0000}"/>
    <cellStyle name="Normal 46 3 3 2 2" xfId="3946" xr:uid="{00000000-0005-0000-0000-00006A0F0000}"/>
    <cellStyle name="Normal 46 3 3 3" xfId="3947" xr:uid="{00000000-0005-0000-0000-00006B0F0000}"/>
    <cellStyle name="Normal 46 3 4" xfId="3948" xr:uid="{00000000-0005-0000-0000-00006C0F0000}"/>
    <cellStyle name="Normal 46 3 4 2" xfId="3949" xr:uid="{00000000-0005-0000-0000-00006D0F0000}"/>
    <cellStyle name="Normal 46 3 5" xfId="3950" xr:uid="{00000000-0005-0000-0000-00006E0F0000}"/>
    <cellStyle name="Normal 46 4" xfId="3951" xr:uid="{00000000-0005-0000-0000-00006F0F0000}"/>
    <cellStyle name="Normal 46 4 2" xfId="3952" xr:uid="{00000000-0005-0000-0000-0000700F0000}"/>
    <cellStyle name="Normal 46 4 2 2" xfId="3953" xr:uid="{00000000-0005-0000-0000-0000710F0000}"/>
    <cellStyle name="Normal 46 4 2 2 2" xfId="3954" xr:uid="{00000000-0005-0000-0000-0000720F0000}"/>
    <cellStyle name="Normal 46 4 2 3" xfId="3955" xr:uid="{00000000-0005-0000-0000-0000730F0000}"/>
    <cellStyle name="Normal 46 4 3" xfId="3956" xr:uid="{00000000-0005-0000-0000-0000740F0000}"/>
    <cellStyle name="Normal 46 4 3 2" xfId="3957" xr:uid="{00000000-0005-0000-0000-0000750F0000}"/>
    <cellStyle name="Normal 46 4 4" xfId="3958" xr:uid="{00000000-0005-0000-0000-0000760F0000}"/>
    <cellStyle name="Normal 46 5" xfId="3959" xr:uid="{00000000-0005-0000-0000-0000770F0000}"/>
    <cellStyle name="Normal 46 5 2" xfId="3960" xr:uid="{00000000-0005-0000-0000-0000780F0000}"/>
    <cellStyle name="Normal 46 5 2 2" xfId="3961" xr:uid="{00000000-0005-0000-0000-0000790F0000}"/>
    <cellStyle name="Normal 46 5 2 2 2" xfId="3962" xr:uid="{00000000-0005-0000-0000-00007A0F0000}"/>
    <cellStyle name="Normal 46 5 2 3" xfId="3963" xr:uid="{00000000-0005-0000-0000-00007B0F0000}"/>
    <cellStyle name="Normal 46 5 3" xfId="3964" xr:uid="{00000000-0005-0000-0000-00007C0F0000}"/>
    <cellStyle name="Normal 46 5 3 2" xfId="3965" xr:uid="{00000000-0005-0000-0000-00007D0F0000}"/>
    <cellStyle name="Normal 46 5 4" xfId="3966" xr:uid="{00000000-0005-0000-0000-00007E0F0000}"/>
    <cellStyle name="Normal 46 6" xfId="3967" xr:uid="{00000000-0005-0000-0000-00007F0F0000}"/>
    <cellStyle name="Normal 46 6 2" xfId="3968" xr:uid="{00000000-0005-0000-0000-0000800F0000}"/>
    <cellStyle name="Normal 46 6 2 2" xfId="3969" xr:uid="{00000000-0005-0000-0000-0000810F0000}"/>
    <cellStyle name="Normal 46 6 3" xfId="3970" xr:uid="{00000000-0005-0000-0000-0000820F0000}"/>
    <cellStyle name="Normal 46 7" xfId="3971" xr:uid="{00000000-0005-0000-0000-0000830F0000}"/>
    <cellStyle name="Normal 46 7 2" xfId="3972" xr:uid="{00000000-0005-0000-0000-0000840F0000}"/>
    <cellStyle name="Normal 46 8" xfId="3973" xr:uid="{00000000-0005-0000-0000-0000850F0000}"/>
    <cellStyle name="Normal 47" xfId="3974" xr:uid="{00000000-0005-0000-0000-0000860F0000}"/>
    <cellStyle name="Normal 47 2" xfId="3975" xr:uid="{00000000-0005-0000-0000-0000870F0000}"/>
    <cellStyle name="Normal 47 2 2" xfId="3976" xr:uid="{00000000-0005-0000-0000-0000880F0000}"/>
    <cellStyle name="Normal 47 2 2 2" xfId="3977" xr:uid="{00000000-0005-0000-0000-0000890F0000}"/>
    <cellStyle name="Normal 47 2 2 2 2" xfId="3978" xr:uid="{00000000-0005-0000-0000-00008A0F0000}"/>
    <cellStyle name="Normal 47 2 2 2 2 2" xfId="3979" xr:uid="{00000000-0005-0000-0000-00008B0F0000}"/>
    <cellStyle name="Normal 47 2 2 2 3" xfId="3980" xr:uid="{00000000-0005-0000-0000-00008C0F0000}"/>
    <cellStyle name="Normal 47 2 2 2 4" xfId="3981" xr:uid="{00000000-0005-0000-0000-00008D0F0000}"/>
    <cellStyle name="Normal 47 2 2 3" xfId="3982" xr:uid="{00000000-0005-0000-0000-00008E0F0000}"/>
    <cellStyle name="Normal 47 2 2 3 2" xfId="3983" xr:uid="{00000000-0005-0000-0000-00008F0F0000}"/>
    <cellStyle name="Normal 47 2 2 4" xfId="3984" xr:uid="{00000000-0005-0000-0000-0000900F0000}"/>
    <cellStyle name="Normal 47 2 2 4 2" xfId="3985" xr:uid="{00000000-0005-0000-0000-0000910F0000}"/>
    <cellStyle name="Normal 47 2 2 5" xfId="3986" xr:uid="{00000000-0005-0000-0000-0000920F0000}"/>
    <cellStyle name="Normal 47 2 2 6" xfId="3987" xr:uid="{00000000-0005-0000-0000-0000930F0000}"/>
    <cellStyle name="Normal 47 2 3" xfId="3988" xr:uid="{00000000-0005-0000-0000-0000940F0000}"/>
    <cellStyle name="Normal 47 2 3 2" xfId="3989" xr:uid="{00000000-0005-0000-0000-0000950F0000}"/>
    <cellStyle name="Normal 47 2 3 2 2" xfId="3990" xr:uid="{00000000-0005-0000-0000-0000960F0000}"/>
    <cellStyle name="Normal 47 2 3 2 2 2" xfId="3991" xr:uid="{00000000-0005-0000-0000-0000970F0000}"/>
    <cellStyle name="Normal 47 2 3 2 3" xfId="3992" xr:uid="{00000000-0005-0000-0000-0000980F0000}"/>
    <cellStyle name="Normal 47 2 3 2 4" xfId="3993" xr:uid="{00000000-0005-0000-0000-0000990F0000}"/>
    <cellStyle name="Normal 47 2 3 3" xfId="3994" xr:uid="{00000000-0005-0000-0000-00009A0F0000}"/>
    <cellStyle name="Normal 47 2 3 3 2" xfId="3995" xr:uid="{00000000-0005-0000-0000-00009B0F0000}"/>
    <cellStyle name="Normal 47 2 3 4" xfId="3996" xr:uid="{00000000-0005-0000-0000-00009C0F0000}"/>
    <cellStyle name="Normal 47 2 3 5" xfId="3997" xr:uid="{00000000-0005-0000-0000-00009D0F0000}"/>
    <cellStyle name="Normal 47 2 4" xfId="3998" xr:uid="{00000000-0005-0000-0000-00009E0F0000}"/>
    <cellStyle name="Normal 47 2 4 2" xfId="3999" xr:uid="{00000000-0005-0000-0000-00009F0F0000}"/>
    <cellStyle name="Normal 47 2 4 2 2" xfId="4000" xr:uid="{00000000-0005-0000-0000-0000A00F0000}"/>
    <cellStyle name="Normal 47 2 4 3" xfId="4001" xr:uid="{00000000-0005-0000-0000-0000A10F0000}"/>
    <cellStyle name="Normal 47 2 4 4" xfId="4002" xr:uid="{00000000-0005-0000-0000-0000A20F0000}"/>
    <cellStyle name="Normal 47 2 5" xfId="4003" xr:uid="{00000000-0005-0000-0000-0000A30F0000}"/>
    <cellStyle name="Normal 47 2 5 2" xfId="4004" xr:uid="{00000000-0005-0000-0000-0000A40F0000}"/>
    <cellStyle name="Normal 47 2 5 2 2" xfId="4005" xr:uid="{00000000-0005-0000-0000-0000A50F0000}"/>
    <cellStyle name="Normal 47 2 5 3" xfId="4006" xr:uid="{00000000-0005-0000-0000-0000A60F0000}"/>
    <cellStyle name="Normal 47 2 5 4" xfId="4007" xr:uid="{00000000-0005-0000-0000-0000A70F0000}"/>
    <cellStyle name="Normal 47 2 6" xfId="4008" xr:uid="{00000000-0005-0000-0000-0000A80F0000}"/>
    <cellStyle name="Normal 47 2 6 2" xfId="4009" xr:uid="{00000000-0005-0000-0000-0000A90F0000}"/>
    <cellStyle name="Normal 47 2 7" xfId="4010" xr:uid="{00000000-0005-0000-0000-0000AA0F0000}"/>
    <cellStyle name="Normal 47 2 7 2" xfId="4011" xr:uid="{00000000-0005-0000-0000-0000AB0F0000}"/>
    <cellStyle name="Normal 47 2 8" xfId="4012" xr:uid="{00000000-0005-0000-0000-0000AC0F0000}"/>
    <cellStyle name="Normal 47 2 9" xfId="4013" xr:uid="{00000000-0005-0000-0000-0000AD0F0000}"/>
    <cellStyle name="Normal 47 3" xfId="4014" xr:uid="{00000000-0005-0000-0000-0000AE0F0000}"/>
    <cellStyle name="Normal 47 3 2" xfId="4015" xr:uid="{00000000-0005-0000-0000-0000AF0F0000}"/>
    <cellStyle name="Normal 47 3 2 2" xfId="4016" xr:uid="{00000000-0005-0000-0000-0000B00F0000}"/>
    <cellStyle name="Normal 47 3 2 2 2" xfId="4017" xr:uid="{00000000-0005-0000-0000-0000B10F0000}"/>
    <cellStyle name="Normal 47 3 2 2 2 2" xfId="4018" xr:uid="{00000000-0005-0000-0000-0000B20F0000}"/>
    <cellStyle name="Normal 47 3 2 2 3" xfId="4019" xr:uid="{00000000-0005-0000-0000-0000B30F0000}"/>
    <cellStyle name="Normal 47 3 2 3" xfId="4020" xr:uid="{00000000-0005-0000-0000-0000B40F0000}"/>
    <cellStyle name="Normal 47 3 2 3 2" xfId="4021" xr:uid="{00000000-0005-0000-0000-0000B50F0000}"/>
    <cellStyle name="Normal 47 3 2 4" xfId="4022" xr:uid="{00000000-0005-0000-0000-0000B60F0000}"/>
    <cellStyle name="Normal 47 3 3" xfId="4023" xr:uid="{00000000-0005-0000-0000-0000B70F0000}"/>
    <cellStyle name="Normal 47 3 3 2" xfId="4024" xr:uid="{00000000-0005-0000-0000-0000B80F0000}"/>
    <cellStyle name="Normal 47 3 3 2 2" xfId="4025" xr:uid="{00000000-0005-0000-0000-0000B90F0000}"/>
    <cellStyle name="Normal 47 3 3 3" xfId="4026" xr:uid="{00000000-0005-0000-0000-0000BA0F0000}"/>
    <cellStyle name="Normal 47 3 4" xfId="4027" xr:uid="{00000000-0005-0000-0000-0000BB0F0000}"/>
    <cellStyle name="Normal 47 3 4 2" xfId="4028" xr:uid="{00000000-0005-0000-0000-0000BC0F0000}"/>
    <cellStyle name="Normal 47 3 5" xfId="4029" xr:uid="{00000000-0005-0000-0000-0000BD0F0000}"/>
    <cellStyle name="Normal 47 4" xfId="4030" xr:uid="{00000000-0005-0000-0000-0000BE0F0000}"/>
    <cellStyle name="Normal 47 4 2" xfId="4031" xr:uid="{00000000-0005-0000-0000-0000BF0F0000}"/>
    <cellStyle name="Normal 47 4 2 2" xfId="4032" xr:uid="{00000000-0005-0000-0000-0000C00F0000}"/>
    <cellStyle name="Normal 47 4 2 2 2" xfId="4033" xr:uid="{00000000-0005-0000-0000-0000C10F0000}"/>
    <cellStyle name="Normal 47 4 2 3" xfId="4034" xr:uid="{00000000-0005-0000-0000-0000C20F0000}"/>
    <cellStyle name="Normal 47 4 3" xfId="4035" xr:uid="{00000000-0005-0000-0000-0000C30F0000}"/>
    <cellStyle name="Normal 47 4 3 2" xfId="4036" xr:uid="{00000000-0005-0000-0000-0000C40F0000}"/>
    <cellStyle name="Normal 47 4 4" xfId="4037" xr:uid="{00000000-0005-0000-0000-0000C50F0000}"/>
    <cellStyle name="Normal 47 5" xfId="4038" xr:uid="{00000000-0005-0000-0000-0000C60F0000}"/>
    <cellStyle name="Normal 47 5 2" xfId="4039" xr:uid="{00000000-0005-0000-0000-0000C70F0000}"/>
    <cellStyle name="Normal 47 5 2 2" xfId="4040" xr:uid="{00000000-0005-0000-0000-0000C80F0000}"/>
    <cellStyle name="Normal 47 5 2 2 2" xfId="4041" xr:uid="{00000000-0005-0000-0000-0000C90F0000}"/>
    <cellStyle name="Normal 47 5 2 3" xfId="4042" xr:uid="{00000000-0005-0000-0000-0000CA0F0000}"/>
    <cellStyle name="Normal 47 5 3" xfId="4043" xr:uid="{00000000-0005-0000-0000-0000CB0F0000}"/>
    <cellStyle name="Normal 47 5 3 2" xfId="4044" xr:uid="{00000000-0005-0000-0000-0000CC0F0000}"/>
    <cellStyle name="Normal 47 5 4" xfId="4045" xr:uid="{00000000-0005-0000-0000-0000CD0F0000}"/>
    <cellStyle name="Normal 47 6" xfId="4046" xr:uid="{00000000-0005-0000-0000-0000CE0F0000}"/>
    <cellStyle name="Normal 47 6 2" xfId="4047" xr:uid="{00000000-0005-0000-0000-0000CF0F0000}"/>
    <cellStyle name="Normal 47 6 2 2" xfId="4048" xr:uid="{00000000-0005-0000-0000-0000D00F0000}"/>
    <cellStyle name="Normal 47 6 3" xfId="4049" xr:uid="{00000000-0005-0000-0000-0000D10F0000}"/>
    <cellStyle name="Normal 47 7" xfId="4050" xr:uid="{00000000-0005-0000-0000-0000D20F0000}"/>
    <cellStyle name="Normal 47 7 2" xfId="4051" xr:uid="{00000000-0005-0000-0000-0000D30F0000}"/>
    <cellStyle name="Normal 47 8" xfId="4052" xr:uid="{00000000-0005-0000-0000-0000D40F0000}"/>
    <cellStyle name="Normal 48" xfId="4053" xr:uid="{00000000-0005-0000-0000-0000D50F0000}"/>
    <cellStyle name="Normal 48 2" xfId="4054" xr:uid="{00000000-0005-0000-0000-0000D60F0000}"/>
    <cellStyle name="Normal 48 2 2" xfId="4055" xr:uid="{00000000-0005-0000-0000-0000D70F0000}"/>
    <cellStyle name="Normal 48 2 2 2" xfId="4056" xr:uid="{00000000-0005-0000-0000-0000D80F0000}"/>
    <cellStyle name="Normal 48 2 2 2 2" xfId="4057" xr:uid="{00000000-0005-0000-0000-0000D90F0000}"/>
    <cellStyle name="Normal 48 2 2 2 2 2" xfId="4058" xr:uid="{00000000-0005-0000-0000-0000DA0F0000}"/>
    <cellStyle name="Normal 48 2 2 2 3" xfId="4059" xr:uid="{00000000-0005-0000-0000-0000DB0F0000}"/>
    <cellStyle name="Normal 48 2 2 2 4" xfId="4060" xr:uid="{00000000-0005-0000-0000-0000DC0F0000}"/>
    <cellStyle name="Normal 48 2 2 3" xfId="4061" xr:uid="{00000000-0005-0000-0000-0000DD0F0000}"/>
    <cellStyle name="Normal 48 2 2 3 2" xfId="4062" xr:uid="{00000000-0005-0000-0000-0000DE0F0000}"/>
    <cellStyle name="Normal 48 2 2 4" xfId="4063" xr:uid="{00000000-0005-0000-0000-0000DF0F0000}"/>
    <cellStyle name="Normal 48 2 2 4 2" xfId="4064" xr:uid="{00000000-0005-0000-0000-0000E00F0000}"/>
    <cellStyle name="Normal 48 2 2 5" xfId="4065" xr:uid="{00000000-0005-0000-0000-0000E10F0000}"/>
    <cellStyle name="Normal 48 2 2 6" xfId="4066" xr:uid="{00000000-0005-0000-0000-0000E20F0000}"/>
    <cellStyle name="Normal 48 2 3" xfId="4067" xr:uid="{00000000-0005-0000-0000-0000E30F0000}"/>
    <cellStyle name="Normal 48 2 3 2" xfId="4068" xr:uid="{00000000-0005-0000-0000-0000E40F0000}"/>
    <cellStyle name="Normal 48 2 3 2 2" xfId="4069" xr:uid="{00000000-0005-0000-0000-0000E50F0000}"/>
    <cellStyle name="Normal 48 2 3 2 2 2" xfId="4070" xr:uid="{00000000-0005-0000-0000-0000E60F0000}"/>
    <cellStyle name="Normal 48 2 3 2 3" xfId="4071" xr:uid="{00000000-0005-0000-0000-0000E70F0000}"/>
    <cellStyle name="Normal 48 2 3 2 4" xfId="4072" xr:uid="{00000000-0005-0000-0000-0000E80F0000}"/>
    <cellStyle name="Normal 48 2 3 3" xfId="4073" xr:uid="{00000000-0005-0000-0000-0000E90F0000}"/>
    <cellStyle name="Normal 48 2 3 3 2" xfId="4074" xr:uid="{00000000-0005-0000-0000-0000EA0F0000}"/>
    <cellStyle name="Normal 48 2 3 4" xfId="4075" xr:uid="{00000000-0005-0000-0000-0000EB0F0000}"/>
    <cellStyle name="Normal 48 2 3 5" xfId="4076" xr:uid="{00000000-0005-0000-0000-0000EC0F0000}"/>
    <cellStyle name="Normal 48 2 4" xfId="4077" xr:uid="{00000000-0005-0000-0000-0000ED0F0000}"/>
    <cellStyle name="Normal 48 2 4 2" xfId="4078" xr:uid="{00000000-0005-0000-0000-0000EE0F0000}"/>
    <cellStyle name="Normal 48 2 4 2 2" xfId="4079" xr:uid="{00000000-0005-0000-0000-0000EF0F0000}"/>
    <cellStyle name="Normal 48 2 4 3" xfId="4080" xr:uid="{00000000-0005-0000-0000-0000F00F0000}"/>
    <cellStyle name="Normal 48 2 4 4" xfId="4081" xr:uid="{00000000-0005-0000-0000-0000F10F0000}"/>
    <cellStyle name="Normal 48 2 5" xfId="4082" xr:uid="{00000000-0005-0000-0000-0000F20F0000}"/>
    <cellStyle name="Normal 48 2 5 2" xfId="4083" xr:uid="{00000000-0005-0000-0000-0000F30F0000}"/>
    <cellStyle name="Normal 48 2 5 2 2" xfId="4084" xr:uid="{00000000-0005-0000-0000-0000F40F0000}"/>
    <cellStyle name="Normal 48 2 5 3" xfId="4085" xr:uid="{00000000-0005-0000-0000-0000F50F0000}"/>
    <cellStyle name="Normal 48 2 5 4" xfId="4086" xr:uid="{00000000-0005-0000-0000-0000F60F0000}"/>
    <cellStyle name="Normal 48 2 6" xfId="4087" xr:uid="{00000000-0005-0000-0000-0000F70F0000}"/>
    <cellStyle name="Normal 48 2 6 2" xfId="4088" xr:uid="{00000000-0005-0000-0000-0000F80F0000}"/>
    <cellStyle name="Normal 48 2 7" xfId="4089" xr:uid="{00000000-0005-0000-0000-0000F90F0000}"/>
    <cellStyle name="Normal 48 2 7 2" xfId="4090" xr:uid="{00000000-0005-0000-0000-0000FA0F0000}"/>
    <cellStyle name="Normal 48 2 8" xfId="4091" xr:uid="{00000000-0005-0000-0000-0000FB0F0000}"/>
    <cellStyle name="Normal 48 2 9" xfId="4092" xr:uid="{00000000-0005-0000-0000-0000FC0F0000}"/>
    <cellStyle name="Normal 48 3" xfId="4093" xr:uid="{00000000-0005-0000-0000-0000FD0F0000}"/>
    <cellStyle name="Normal 48 3 2" xfId="4094" xr:uid="{00000000-0005-0000-0000-0000FE0F0000}"/>
    <cellStyle name="Normal 48 3 2 2" xfId="4095" xr:uid="{00000000-0005-0000-0000-0000FF0F0000}"/>
    <cellStyle name="Normal 48 3 2 2 2" xfId="4096" xr:uid="{00000000-0005-0000-0000-000000100000}"/>
    <cellStyle name="Normal 48 3 2 2 2 2" xfId="4097" xr:uid="{00000000-0005-0000-0000-000001100000}"/>
    <cellStyle name="Normal 48 3 2 2 3" xfId="4098" xr:uid="{00000000-0005-0000-0000-000002100000}"/>
    <cellStyle name="Normal 48 3 2 3" xfId="4099" xr:uid="{00000000-0005-0000-0000-000003100000}"/>
    <cellStyle name="Normal 48 3 2 3 2" xfId="4100" xr:uid="{00000000-0005-0000-0000-000004100000}"/>
    <cellStyle name="Normal 48 3 2 4" xfId="4101" xr:uid="{00000000-0005-0000-0000-000005100000}"/>
    <cellStyle name="Normal 48 3 3" xfId="4102" xr:uid="{00000000-0005-0000-0000-000006100000}"/>
    <cellStyle name="Normal 48 3 3 2" xfId="4103" xr:uid="{00000000-0005-0000-0000-000007100000}"/>
    <cellStyle name="Normal 48 3 3 2 2" xfId="4104" xr:uid="{00000000-0005-0000-0000-000008100000}"/>
    <cellStyle name="Normal 48 3 3 3" xfId="4105" xr:uid="{00000000-0005-0000-0000-000009100000}"/>
    <cellStyle name="Normal 48 3 4" xfId="4106" xr:uid="{00000000-0005-0000-0000-00000A100000}"/>
    <cellStyle name="Normal 48 3 4 2" xfId="4107" xr:uid="{00000000-0005-0000-0000-00000B100000}"/>
    <cellStyle name="Normal 48 3 5" xfId="4108" xr:uid="{00000000-0005-0000-0000-00000C100000}"/>
    <cellStyle name="Normal 48 4" xfId="4109" xr:uid="{00000000-0005-0000-0000-00000D100000}"/>
    <cellStyle name="Normal 48 4 2" xfId="4110" xr:uid="{00000000-0005-0000-0000-00000E100000}"/>
    <cellStyle name="Normal 48 4 2 2" xfId="4111" xr:uid="{00000000-0005-0000-0000-00000F100000}"/>
    <cellStyle name="Normal 48 4 2 2 2" xfId="4112" xr:uid="{00000000-0005-0000-0000-000010100000}"/>
    <cellStyle name="Normal 48 4 2 3" xfId="4113" xr:uid="{00000000-0005-0000-0000-000011100000}"/>
    <cellStyle name="Normal 48 4 3" xfId="4114" xr:uid="{00000000-0005-0000-0000-000012100000}"/>
    <cellStyle name="Normal 48 4 3 2" xfId="4115" xr:uid="{00000000-0005-0000-0000-000013100000}"/>
    <cellStyle name="Normal 48 4 4" xfId="4116" xr:uid="{00000000-0005-0000-0000-000014100000}"/>
    <cellStyle name="Normal 48 5" xfId="4117" xr:uid="{00000000-0005-0000-0000-000015100000}"/>
    <cellStyle name="Normal 48 5 2" xfId="4118" xr:uid="{00000000-0005-0000-0000-000016100000}"/>
    <cellStyle name="Normal 48 5 2 2" xfId="4119" xr:uid="{00000000-0005-0000-0000-000017100000}"/>
    <cellStyle name="Normal 48 5 2 2 2" xfId="4120" xr:uid="{00000000-0005-0000-0000-000018100000}"/>
    <cellStyle name="Normal 48 5 2 3" xfId="4121" xr:uid="{00000000-0005-0000-0000-000019100000}"/>
    <cellStyle name="Normal 48 5 3" xfId="4122" xr:uid="{00000000-0005-0000-0000-00001A100000}"/>
    <cellStyle name="Normal 48 5 3 2" xfId="4123" xr:uid="{00000000-0005-0000-0000-00001B100000}"/>
    <cellStyle name="Normal 48 5 4" xfId="4124" xr:uid="{00000000-0005-0000-0000-00001C100000}"/>
    <cellStyle name="Normal 48 6" xfId="4125" xr:uid="{00000000-0005-0000-0000-00001D100000}"/>
    <cellStyle name="Normal 48 6 2" xfId="4126" xr:uid="{00000000-0005-0000-0000-00001E100000}"/>
    <cellStyle name="Normal 48 6 2 2" xfId="4127" xr:uid="{00000000-0005-0000-0000-00001F100000}"/>
    <cellStyle name="Normal 48 6 3" xfId="4128" xr:uid="{00000000-0005-0000-0000-000020100000}"/>
    <cellStyle name="Normal 48 7" xfId="4129" xr:uid="{00000000-0005-0000-0000-000021100000}"/>
    <cellStyle name="Normal 48 7 2" xfId="4130" xr:uid="{00000000-0005-0000-0000-000022100000}"/>
    <cellStyle name="Normal 48 8" xfId="4131" xr:uid="{00000000-0005-0000-0000-000023100000}"/>
    <cellStyle name="Normal 49" xfId="4132" xr:uid="{00000000-0005-0000-0000-000024100000}"/>
    <cellStyle name="Normal 49 2" xfId="4133" xr:uid="{00000000-0005-0000-0000-000025100000}"/>
    <cellStyle name="Normal 49 2 2" xfId="4134" xr:uid="{00000000-0005-0000-0000-000026100000}"/>
    <cellStyle name="Normal 49 2 2 2" xfId="4135" xr:uid="{00000000-0005-0000-0000-000027100000}"/>
    <cellStyle name="Normal 49 2 2 2 2" xfId="4136" xr:uid="{00000000-0005-0000-0000-000028100000}"/>
    <cellStyle name="Normal 49 2 2 2 2 2" xfId="4137" xr:uid="{00000000-0005-0000-0000-000029100000}"/>
    <cellStyle name="Normal 49 2 2 2 3" xfId="4138" xr:uid="{00000000-0005-0000-0000-00002A100000}"/>
    <cellStyle name="Normal 49 2 2 2 4" xfId="4139" xr:uid="{00000000-0005-0000-0000-00002B100000}"/>
    <cellStyle name="Normal 49 2 2 3" xfId="4140" xr:uid="{00000000-0005-0000-0000-00002C100000}"/>
    <cellStyle name="Normal 49 2 2 3 2" xfId="4141" xr:uid="{00000000-0005-0000-0000-00002D100000}"/>
    <cellStyle name="Normal 49 2 2 4" xfId="4142" xr:uid="{00000000-0005-0000-0000-00002E100000}"/>
    <cellStyle name="Normal 49 2 2 4 2" xfId="4143" xr:uid="{00000000-0005-0000-0000-00002F100000}"/>
    <cellStyle name="Normal 49 2 2 5" xfId="4144" xr:uid="{00000000-0005-0000-0000-000030100000}"/>
    <cellStyle name="Normal 49 2 2 6" xfId="4145" xr:uid="{00000000-0005-0000-0000-000031100000}"/>
    <cellStyle name="Normal 49 2 3" xfId="4146" xr:uid="{00000000-0005-0000-0000-000032100000}"/>
    <cellStyle name="Normal 49 2 3 2" xfId="4147" xr:uid="{00000000-0005-0000-0000-000033100000}"/>
    <cellStyle name="Normal 49 2 3 2 2" xfId="4148" xr:uid="{00000000-0005-0000-0000-000034100000}"/>
    <cellStyle name="Normal 49 2 3 2 2 2" xfId="4149" xr:uid="{00000000-0005-0000-0000-000035100000}"/>
    <cellStyle name="Normal 49 2 3 2 3" xfId="4150" xr:uid="{00000000-0005-0000-0000-000036100000}"/>
    <cellStyle name="Normal 49 2 3 2 4" xfId="4151" xr:uid="{00000000-0005-0000-0000-000037100000}"/>
    <cellStyle name="Normal 49 2 3 3" xfId="4152" xr:uid="{00000000-0005-0000-0000-000038100000}"/>
    <cellStyle name="Normal 49 2 3 3 2" xfId="4153" xr:uid="{00000000-0005-0000-0000-000039100000}"/>
    <cellStyle name="Normal 49 2 3 4" xfId="4154" xr:uid="{00000000-0005-0000-0000-00003A100000}"/>
    <cellStyle name="Normal 49 2 3 5" xfId="4155" xr:uid="{00000000-0005-0000-0000-00003B100000}"/>
    <cellStyle name="Normal 49 2 4" xfId="4156" xr:uid="{00000000-0005-0000-0000-00003C100000}"/>
    <cellStyle name="Normal 49 2 4 2" xfId="4157" xr:uid="{00000000-0005-0000-0000-00003D100000}"/>
    <cellStyle name="Normal 49 2 4 2 2" xfId="4158" xr:uid="{00000000-0005-0000-0000-00003E100000}"/>
    <cellStyle name="Normal 49 2 4 3" xfId="4159" xr:uid="{00000000-0005-0000-0000-00003F100000}"/>
    <cellStyle name="Normal 49 2 4 4" xfId="4160" xr:uid="{00000000-0005-0000-0000-000040100000}"/>
    <cellStyle name="Normal 49 2 5" xfId="4161" xr:uid="{00000000-0005-0000-0000-000041100000}"/>
    <cellStyle name="Normal 49 2 5 2" xfId="4162" xr:uid="{00000000-0005-0000-0000-000042100000}"/>
    <cellStyle name="Normal 49 2 5 2 2" xfId="4163" xr:uid="{00000000-0005-0000-0000-000043100000}"/>
    <cellStyle name="Normal 49 2 5 3" xfId="4164" xr:uid="{00000000-0005-0000-0000-000044100000}"/>
    <cellStyle name="Normal 49 2 5 4" xfId="4165" xr:uid="{00000000-0005-0000-0000-000045100000}"/>
    <cellStyle name="Normal 49 2 6" xfId="4166" xr:uid="{00000000-0005-0000-0000-000046100000}"/>
    <cellStyle name="Normal 49 2 6 2" xfId="4167" xr:uid="{00000000-0005-0000-0000-000047100000}"/>
    <cellStyle name="Normal 49 2 7" xfId="4168" xr:uid="{00000000-0005-0000-0000-000048100000}"/>
    <cellStyle name="Normal 49 2 7 2" xfId="4169" xr:uid="{00000000-0005-0000-0000-000049100000}"/>
    <cellStyle name="Normal 49 2 8" xfId="4170" xr:uid="{00000000-0005-0000-0000-00004A100000}"/>
    <cellStyle name="Normal 49 2 9" xfId="4171" xr:uid="{00000000-0005-0000-0000-00004B100000}"/>
    <cellStyle name="Normal 49 3" xfId="4172" xr:uid="{00000000-0005-0000-0000-00004C100000}"/>
    <cellStyle name="Normal 49 3 2" xfId="4173" xr:uid="{00000000-0005-0000-0000-00004D100000}"/>
    <cellStyle name="Normal 49 3 2 2" xfId="4174" xr:uid="{00000000-0005-0000-0000-00004E100000}"/>
    <cellStyle name="Normal 49 3 2 2 2" xfId="4175" xr:uid="{00000000-0005-0000-0000-00004F100000}"/>
    <cellStyle name="Normal 49 3 2 2 2 2" xfId="4176" xr:uid="{00000000-0005-0000-0000-000050100000}"/>
    <cellStyle name="Normal 49 3 2 2 3" xfId="4177" xr:uid="{00000000-0005-0000-0000-000051100000}"/>
    <cellStyle name="Normal 49 3 2 3" xfId="4178" xr:uid="{00000000-0005-0000-0000-000052100000}"/>
    <cellStyle name="Normal 49 3 2 3 2" xfId="4179" xr:uid="{00000000-0005-0000-0000-000053100000}"/>
    <cellStyle name="Normal 49 3 2 4" xfId="4180" xr:uid="{00000000-0005-0000-0000-000054100000}"/>
    <cellStyle name="Normal 49 3 3" xfId="4181" xr:uid="{00000000-0005-0000-0000-000055100000}"/>
    <cellStyle name="Normal 49 3 3 2" xfId="4182" xr:uid="{00000000-0005-0000-0000-000056100000}"/>
    <cellStyle name="Normal 49 3 3 2 2" xfId="4183" xr:uid="{00000000-0005-0000-0000-000057100000}"/>
    <cellStyle name="Normal 49 3 3 3" xfId="4184" xr:uid="{00000000-0005-0000-0000-000058100000}"/>
    <cellStyle name="Normal 49 3 4" xfId="4185" xr:uid="{00000000-0005-0000-0000-000059100000}"/>
    <cellStyle name="Normal 49 3 4 2" xfId="4186" xr:uid="{00000000-0005-0000-0000-00005A100000}"/>
    <cellStyle name="Normal 49 3 5" xfId="4187" xr:uid="{00000000-0005-0000-0000-00005B100000}"/>
    <cellStyle name="Normal 49 4" xfId="4188" xr:uid="{00000000-0005-0000-0000-00005C100000}"/>
    <cellStyle name="Normal 49 4 2" xfId="4189" xr:uid="{00000000-0005-0000-0000-00005D100000}"/>
    <cellStyle name="Normal 49 4 2 2" xfId="4190" xr:uid="{00000000-0005-0000-0000-00005E100000}"/>
    <cellStyle name="Normal 49 4 2 2 2" xfId="4191" xr:uid="{00000000-0005-0000-0000-00005F100000}"/>
    <cellStyle name="Normal 49 4 2 3" xfId="4192" xr:uid="{00000000-0005-0000-0000-000060100000}"/>
    <cellStyle name="Normal 49 4 3" xfId="4193" xr:uid="{00000000-0005-0000-0000-000061100000}"/>
    <cellStyle name="Normal 49 4 3 2" xfId="4194" xr:uid="{00000000-0005-0000-0000-000062100000}"/>
    <cellStyle name="Normal 49 4 4" xfId="4195" xr:uid="{00000000-0005-0000-0000-000063100000}"/>
    <cellStyle name="Normal 49 5" xfId="4196" xr:uid="{00000000-0005-0000-0000-000064100000}"/>
    <cellStyle name="Normal 49 5 2" xfId="4197" xr:uid="{00000000-0005-0000-0000-000065100000}"/>
    <cellStyle name="Normal 49 5 2 2" xfId="4198" xr:uid="{00000000-0005-0000-0000-000066100000}"/>
    <cellStyle name="Normal 49 5 2 2 2" xfId="4199" xr:uid="{00000000-0005-0000-0000-000067100000}"/>
    <cellStyle name="Normal 49 5 2 3" xfId="4200" xr:uid="{00000000-0005-0000-0000-000068100000}"/>
    <cellStyle name="Normal 49 5 3" xfId="4201" xr:uid="{00000000-0005-0000-0000-000069100000}"/>
    <cellStyle name="Normal 49 5 3 2" xfId="4202" xr:uid="{00000000-0005-0000-0000-00006A100000}"/>
    <cellStyle name="Normal 49 5 4" xfId="4203" xr:uid="{00000000-0005-0000-0000-00006B100000}"/>
    <cellStyle name="Normal 49 6" xfId="4204" xr:uid="{00000000-0005-0000-0000-00006C100000}"/>
    <cellStyle name="Normal 49 6 2" xfId="4205" xr:uid="{00000000-0005-0000-0000-00006D100000}"/>
    <cellStyle name="Normal 49 6 2 2" xfId="4206" xr:uid="{00000000-0005-0000-0000-00006E100000}"/>
    <cellStyle name="Normal 49 6 3" xfId="4207" xr:uid="{00000000-0005-0000-0000-00006F100000}"/>
    <cellStyle name="Normal 49 7" xfId="4208" xr:uid="{00000000-0005-0000-0000-000070100000}"/>
    <cellStyle name="Normal 49 7 2" xfId="4209" xr:uid="{00000000-0005-0000-0000-000071100000}"/>
    <cellStyle name="Normal 49 8" xfId="4210" xr:uid="{00000000-0005-0000-0000-000072100000}"/>
    <cellStyle name="Normal 5" xfId="4211" xr:uid="{00000000-0005-0000-0000-000073100000}"/>
    <cellStyle name="Normal 5 2" xfId="4212" xr:uid="{00000000-0005-0000-0000-000074100000}"/>
    <cellStyle name="Normal 5 2 2" xfId="4213" xr:uid="{00000000-0005-0000-0000-000075100000}"/>
    <cellStyle name="Normal 5 2 2 2" xfId="4214" xr:uid="{00000000-0005-0000-0000-000076100000}"/>
    <cellStyle name="Normal 5 2 2 2 2" xfId="4215" xr:uid="{00000000-0005-0000-0000-000077100000}"/>
    <cellStyle name="Normal 5 2 2 2 2 2" xfId="4216" xr:uid="{00000000-0005-0000-0000-000078100000}"/>
    <cellStyle name="Normal 5 2 2 2 2 2 2" xfId="4217" xr:uid="{00000000-0005-0000-0000-000079100000}"/>
    <cellStyle name="Normal 5 2 2 2 2 3" xfId="4218" xr:uid="{00000000-0005-0000-0000-00007A100000}"/>
    <cellStyle name="Normal 5 2 2 2 3" xfId="4219" xr:uid="{00000000-0005-0000-0000-00007B100000}"/>
    <cellStyle name="Normal 5 2 2 2 3 2" xfId="4220" xr:uid="{00000000-0005-0000-0000-00007C100000}"/>
    <cellStyle name="Normal 5 2 2 2 4" xfId="4221" xr:uid="{00000000-0005-0000-0000-00007D100000}"/>
    <cellStyle name="Normal 5 2 2 2 5" xfId="4222" xr:uid="{00000000-0005-0000-0000-00007E100000}"/>
    <cellStyle name="Normal 5 2 2 3" xfId="4223" xr:uid="{00000000-0005-0000-0000-00007F100000}"/>
    <cellStyle name="Normal 5 2 2 3 2" xfId="4224" xr:uid="{00000000-0005-0000-0000-000080100000}"/>
    <cellStyle name="Normal 5 2 2 3 2 2" xfId="4225" xr:uid="{00000000-0005-0000-0000-000081100000}"/>
    <cellStyle name="Normal 5 2 2 3 2 2 2" xfId="4226" xr:uid="{00000000-0005-0000-0000-000082100000}"/>
    <cellStyle name="Normal 5 2 2 3 2 3" xfId="4227" xr:uid="{00000000-0005-0000-0000-000083100000}"/>
    <cellStyle name="Normal 5 2 2 3 3" xfId="4228" xr:uid="{00000000-0005-0000-0000-000084100000}"/>
    <cellStyle name="Normal 5 2 2 3 3 2" xfId="4229" xr:uid="{00000000-0005-0000-0000-000085100000}"/>
    <cellStyle name="Normal 5 2 2 3 4" xfId="4230" xr:uid="{00000000-0005-0000-0000-000086100000}"/>
    <cellStyle name="Normal 5 2 2 4" xfId="4231" xr:uid="{00000000-0005-0000-0000-000087100000}"/>
    <cellStyle name="Normal 5 2 2 4 2" xfId="4232" xr:uid="{00000000-0005-0000-0000-000088100000}"/>
    <cellStyle name="Normal 5 2 2 4 2 2" xfId="4233" xr:uid="{00000000-0005-0000-0000-000089100000}"/>
    <cellStyle name="Normal 5 2 2 4 3" xfId="4234" xr:uid="{00000000-0005-0000-0000-00008A100000}"/>
    <cellStyle name="Normal 5 2 2 5" xfId="4235" xr:uid="{00000000-0005-0000-0000-00008B100000}"/>
    <cellStyle name="Normal 5 2 2 5 2" xfId="4236" xr:uid="{00000000-0005-0000-0000-00008C100000}"/>
    <cellStyle name="Normal 5 2 2 6" xfId="4237" xr:uid="{00000000-0005-0000-0000-00008D100000}"/>
    <cellStyle name="Normal 5 2 2 6 2" xfId="4238" xr:uid="{00000000-0005-0000-0000-00008E100000}"/>
    <cellStyle name="Normal 5 2 2 7" xfId="4239" xr:uid="{00000000-0005-0000-0000-00008F100000}"/>
    <cellStyle name="Normal 5 2 2 8" xfId="4240" xr:uid="{00000000-0005-0000-0000-000090100000}"/>
    <cellStyle name="Normal 5 2 3" xfId="4241" xr:uid="{00000000-0005-0000-0000-000091100000}"/>
    <cellStyle name="Normal 5 2 3 2" xfId="4242" xr:uid="{00000000-0005-0000-0000-000092100000}"/>
    <cellStyle name="Normal 5 2 3 3" xfId="4243" xr:uid="{00000000-0005-0000-0000-000093100000}"/>
    <cellStyle name="Normal 5 2 4" xfId="4244" xr:uid="{00000000-0005-0000-0000-000094100000}"/>
    <cellStyle name="Normal 5 2 4 2" xfId="4245" xr:uid="{00000000-0005-0000-0000-000095100000}"/>
    <cellStyle name="Normal 5 2 4 2 2" xfId="4246" xr:uid="{00000000-0005-0000-0000-000096100000}"/>
    <cellStyle name="Normal 5 2 4 2 2 2" xfId="4247" xr:uid="{00000000-0005-0000-0000-000097100000}"/>
    <cellStyle name="Normal 5 2 4 2 3" xfId="4248" xr:uid="{00000000-0005-0000-0000-000098100000}"/>
    <cellStyle name="Normal 5 2 4 3" xfId="4249" xr:uid="{00000000-0005-0000-0000-000099100000}"/>
    <cellStyle name="Normal 5 2 4 3 2" xfId="4250" xr:uid="{00000000-0005-0000-0000-00009A100000}"/>
    <cellStyle name="Normal 5 2 4 4" xfId="4251" xr:uid="{00000000-0005-0000-0000-00009B100000}"/>
    <cellStyle name="Normal 5 2 4 5" xfId="4252" xr:uid="{00000000-0005-0000-0000-00009C100000}"/>
    <cellStyle name="Normal 5 2 5" xfId="4253" xr:uid="{00000000-0005-0000-0000-00009D100000}"/>
    <cellStyle name="Normal 5 2 5 2" xfId="4254" xr:uid="{00000000-0005-0000-0000-00009E100000}"/>
    <cellStyle name="Normal 5 2 5 2 2" xfId="4255" xr:uid="{00000000-0005-0000-0000-00009F100000}"/>
    <cellStyle name="Normal 5 2 5 2 2 2" xfId="4256" xr:uid="{00000000-0005-0000-0000-0000A0100000}"/>
    <cellStyle name="Normal 5 2 5 2 3" xfId="4257" xr:uid="{00000000-0005-0000-0000-0000A1100000}"/>
    <cellStyle name="Normal 5 2 5 3" xfId="4258" xr:uid="{00000000-0005-0000-0000-0000A2100000}"/>
    <cellStyle name="Normal 5 2 5 3 2" xfId="4259" xr:uid="{00000000-0005-0000-0000-0000A3100000}"/>
    <cellStyle name="Normal 5 2 5 4" xfId="4260" xr:uid="{00000000-0005-0000-0000-0000A4100000}"/>
    <cellStyle name="Normal 5 2 5 5" xfId="4261" xr:uid="{00000000-0005-0000-0000-0000A5100000}"/>
    <cellStyle name="Normal 5 2 6" xfId="4262" xr:uid="{00000000-0005-0000-0000-0000A6100000}"/>
    <cellStyle name="Normal 5 2 6 2" xfId="4263" xr:uid="{00000000-0005-0000-0000-0000A7100000}"/>
    <cellStyle name="Normal 5 2 7" xfId="4264" xr:uid="{00000000-0005-0000-0000-0000A8100000}"/>
    <cellStyle name="Normal 5 3" xfId="4265" xr:uid="{00000000-0005-0000-0000-0000A9100000}"/>
    <cellStyle name="Normal 5 3 2" xfId="4266" xr:uid="{00000000-0005-0000-0000-0000AA100000}"/>
    <cellStyle name="Normal 5 3 2 2" xfId="4267" xr:uid="{00000000-0005-0000-0000-0000AB100000}"/>
    <cellStyle name="Normal 5 3 2 3" xfId="4268" xr:uid="{00000000-0005-0000-0000-0000AC100000}"/>
    <cellStyle name="Normal 5 3 3" xfId="4269" xr:uid="{00000000-0005-0000-0000-0000AD100000}"/>
    <cellStyle name="Normal 5 4" xfId="4270" xr:uid="{00000000-0005-0000-0000-0000AE100000}"/>
    <cellStyle name="Normal 5 4 2" xfId="4271" xr:uid="{00000000-0005-0000-0000-0000AF100000}"/>
    <cellStyle name="Normal 5 4 2 2" xfId="4272" xr:uid="{00000000-0005-0000-0000-0000B0100000}"/>
    <cellStyle name="Normal 5 4 2 2 2" xfId="4273" xr:uid="{00000000-0005-0000-0000-0000B1100000}"/>
    <cellStyle name="Normal 5 4 2 2 2 2" xfId="4274" xr:uid="{00000000-0005-0000-0000-0000B2100000}"/>
    <cellStyle name="Normal 5 4 2 2 3" xfId="4275" xr:uid="{00000000-0005-0000-0000-0000B3100000}"/>
    <cellStyle name="Normal 5 4 2 3" xfId="4276" xr:uid="{00000000-0005-0000-0000-0000B4100000}"/>
    <cellStyle name="Normal 5 4 2 3 2" xfId="4277" xr:uid="{00000000-0005-0000-0000-0000B5100000}"/>
    <cellStyle name="Normal 5 4 2 4" xfId="4278" xr:uid="{00000000-0005-0000-0000-0000B6100000}"/>
    <cellStyle name="Normal 5 4 2 5" xfId="4279" xr:uid="{00000000-0005-0000-0000-0000B7100000}"/>
    <cellStyle name="Normal 5 4 3" xfId="4280" xr:uid="{00000000-0005-0000-0000-0000B8100000}"/>
    <cellStyle name="Normal 5 4 3 2" xfId="4281" xr:uid="{00000000-0005-0000-0000-0000B9100000}"/>
    <cellStyle name="Normal 5 4 3 2 2" xfId="4282" xr:uid="{00000000-0005-0000-0000-0000BA100000}"/>
    <cellStyle name="Normal 5 4 3 2 2 2" xfId="4283" xr:uid="{00000000-0005-0000-0000-0000BB100000}"/>
    <cellStyle name="Normal 5 4 3 2 3" xfId="4284" xr:uid="{00000000-0005-0000-0000-0000BC100000}"/>
    <cellStyle name="Normal 5 4 3 3" xfId="4285" xr:uid="{00000000-0005-0000-0000-0000BD100000}"/>
    <cellStyle name="Normal 5 4 3 3 2" xfId="4286" xr:uid="{00000000-0005-0000-0000-0000BE100000}"/>
    <cellStyle name="Normal 5 4 3 4" xfId="4287" xr:uid="{00000000-0005-0000-0000-0000BF100000}"/>
    <cellStyle name="Normal 5 4 4" xfId="4288" xr:uid="{00000000-0005-0000-0000-0000C0100000}"/>
    <cellStyle name="Normal 5 4 4 2" xfId="4289" xr:uid="{00000000-0005-0000-0000-0000C1100000}"/>
    <cellStyle name="Normal 5 4 4 2 2" xfId="4290" xr:uid="{00000000-0005-0000-0000-0000C2100000}"/>
    <cellStyle name="Normal 5 4 4 3" xfId="4291" xr:uid="{00000000-0005-0000-0000-0000C3100000}"/>
    <cellStyle name="Normal 5 4 5" xfId="4292" xr:uid="{00000000-0005-0000-0000-0000C4100000}"/>
    <cellStyle name="Normal 5 4 5 2" xfId="4293" xr:uid="{00000000-0005-0000-0000-0000C5100000}"/>
    <cellStyle name="Normal 5 4 6" xfId="4294" xr:uid="{00000000-0005-0000-0000-0000C6100000}"/>
    <cellStyle name="Normal 5 4 7" xfId="4295" xr:uid="{00000000-0005-0000-0000-0000C7100000}"/>
    <cellStyle name="Normal 5 5" xfId="4296" xr:uid="{00000000-0005-0000-0000-0000C8100000}"/>
    <cellStyle name="Normal 5 5 2" xfId="4297" xr:uid="{00000000-0005-0000-0000-0000C9100000}"/>
    <cellStyle name="Normal 5 6" xfId="4298" xr:uid="{00000000-0005-0000-0000-0000CA100000}"/>
    <cellStyle name="Normal 5 6 2" xfId="4299" xr:uid="{00000000-0005-0000-0000-0000CB100000}"/>
    <cellStyle name="Normal 5 6 2 2" xfId="4300" xr:uid="{00000000-0005-0000-0000-0000CC100000}"/>
    <cellStyle name="Normal 5 6 2 2 2" xfId="4301" xr:uid="{00000000-0005-0000-0000-0000CD100000}"/>
    <cellStyle name="Normal 5 6 2 3" xfId="4302" xr:uid="{00000000-0005-0000-0000-0000CE100000}"/>
    <cellStyle name="Normal 5 6 3" xfId="4303" xr:uid="{00000000-0005-0000-0000-0000CF100000}"/>
    <cellStyle name="Normal 5 6 3 2" xfId="4304" xr:uid="{00000000-0005-0000-0000-0000D0100000}"/>
    <cellStyle name="Normal 5 6 4" xfId="4305" xr:uid="{00000000-0005-0000-0000-0000D1100000}"/>
    <cellStyle name="Normal 5 6 5" xfId="4306" xr:uid="{00000000-0005-0000-0000-0000D2100000}"/>
    <cellStyle name="Normal 5 7" xfId="4307" xr:uid="{00000000-0005-0000-0000-0000D3100000}"/>
    <cellStyle name="Normal 5 7 2" xfId="4308" xr:uid="{00000000-0005-0000-0000-0000D4100000}"/>
    <cellStyle name="Normal 5 7 2 2" xfId="4309" xr:uid="{00000000-0005-0000-0000-0000D5100000}"/>
    <cellStyle name="Normal 5 7 2 2 2" xfId="4310" xr:uid="{00000000-0005-0000-0000-0000D6100000}"/>
    <cellStyle name="Normal 5 7 2 3" xfId="4311" xr:uid="{00000000-0005-0000-0000-0000D7100000}"/>
    <cellStyle name="Normal 5 7 3" xfId="4312" xr:uid="{00000000-0005-0000-0000-0000D8100000}"/>
    <cellStyle name="Normal 5 7 3 2" xfId="4313" xr:uid="{00000000-0005-0000-0000-0000D9100000}"/>
    <cellStyle name="Normal 5 7 4" xfId="4314" xr:uid="{00000000-0005-0000-0000-0000DA100000}"/>
    <cellStyle name="Normal 5 8" xfId="4315" xr:uid="{00000000-0005-0000-0000-0000DB100000}"/>
    <cellStyle name="Normal 5 8 2" xfId="4316" xr:uid="{00000000-0005-0000-0000-0000DC100000}"/>
    <cellStyle name="Normal 5 9" xfId="4317" xr:uid="{00000000-0005-0000-0000-0000DD100000}"/>
    <cellStyle name="Normal 5_Dual_Mode_Time" xfId="4318" xr:uid="{00000000-0005-0000-0000-0000DE100000}"/>
    <cellStyle name="Normal 50" xfId="4319" xr:uid="{00000000-0005-0000-0000-0000DF100000}"/>
    <cellStyle name="Normal 50 2" xfId="4320" xr:uid="{00000000-0005-0000-0000-0000E0100000}"/>
    <cellStyle name="Normal 50 2 2" xfId="4321" xr:uid="{00000000-0005-0000-0000-0000E1100000}"/>
    <cellStyle name="Normal 50 2 2 2" xfId="4322" xr:uid="{00000000-0005-0000-0000-0000E2100000}"/>
    <cellStyle name="Normal 50 2 2 2 2" xfId="4323" xr:uid="{00000000-0005-0000-0000-0000E3100000}"/>
    <cellStyle name="Normal 50 2 2 2 2 2" xfId="4324" xr:uid="{00000000-0005-0000-0000-0000E4100000}"/>
    <cellStyle name="Normal 50 2 2 2 3" xfId="4325" xr:uid="{00000000-0005-0000-0000-0000E5100000}"/>
    <cellStyle name="Normal 50 2 2 2 4" xfId="4326" xr:uid="{00000000-0005-0000-0000-0000E6100000}"/>
    <cellStyle name="Normal 50 2 2 3" xfId="4327" xr:uid="{00000000-0005-0000-0000-0000E7100000}"/>
    <cellStyle name="Normal 50 2 2 3 2" xfId="4328" xr:uid="{00000000-0005-0000-0000-0000E8100000}"/>
    <cellStyle name="Normal 50 2 2 4" xfId="4329" xr:uid="{00000000-0005-0000-0000-0000E9100000}"/>
    <cellStyle name="Normal 50 2 2 4 2" xfId="4330" xr:uid="{00000000-0005-0000-0000-0000EA100000}"/>
    <cellStyle name="Normal 50 2 2 5" xfId="4331" xr:uid="{00000000-0005-0000-0000-0000EB100000}"/>
    <cellStyle name="Normal 50 2 2 6" xfId="4332" xr:uid="{00000000-0005-0000-0000-0000EC100000}"/>
    <cellStyle name="Normal 50 2 3" xfId="4333" xr:uid="{00000000-0005-0000-0000-0000ED100000}"/>
    <cellStyle name="Normal 50 2 3 2" xfId="4334" xr:uid="{00000000-0005-0000-0000-0000EE100000}"/>
    <cellStyle name="Normal 50 2 3 2 2" xfId="4335" xr:uid="{00000000-0005-0000-0000-0000EF100000}"/>
    <cellStyle name="Normal 50 2 3 2 2 2" xfId="4336" xr:uid="{00000000-0005-0000-0000-0000F0100000}"/>
    <cellStyle name="Normal 50 2 3 2 3" xfId="4337" xr:uid="{00000000-0005-0000-0000-0000F1100000}"/>
    <cellStyle name="Normal 50 2 3 2 4" xfId="4338" xr:uid="{00000000-0005-0000-0000-0000F2100000}"/>
    <cellStyle name="Normal 50 2 3 3" xfId="4339" xr:uid="{00000000-0005-0000-0000-0000F3100000}"/>
    <cellStyle name="Normal 50 2 3 3 2" xfId="4340" xr:uid="{00000000-0005-0000-0000-0000F4100000}"/>
    <cellStyle name="Normal 50 2 3 4" xfId="4341" xr:uid="{00000000-0005-0000-0000-0000F5100000}"/>
    <cellStyle name="Normal 50 2 3 5" xfId="4342" xr:uid="{00000000-0005-0000-0000-0000F6100000}"/>
    <cellStyle name="Normal 50 2 4" xfId="4343" xr:uid="{00000000-0005-0000-0000-0000F7100000}"/>
    <cellStyle name="Normal 50 2 4 2" xfId="4344" xr:uid="{00000000-0005-0000-0000-0000F8100000}"/>
    <cellStyle name="Normal 50 2 4 2 2" xfId="4345" xr:uid="{00000000-0005-0000-0000-0000F9100000}"/>
    <cellStyle name="Normal 50 2 4 3" xfId="4346" xr:uid="{00000000-0005-0000-0000-0000FA100000}"/>
    <cellStyle name="Normal 50 2 4 4" xfId="4347" xr:uid="{00000000-0005-0000-0000-0000FB100000}"/>
    <cellStyle name="Normal 50 2 5" xfId="4348" xr:uid="{00000000-0005-0000-0000-0000FC100000}"/>
    <cellStyle name="Normal 50 2 5 2" xfId="4349" xr:uid="{00000000-0005-0000-0000-0000FD100000}"/>
    <cellStyle name="Normal 50 2 5 2 2" xfId="4350" xr:uid="{00000000-0005-0000-0000-0000FE100000}"/>
    <cellStyle name="Normal 50 2 5 3" xfId="4351" xr:uid="{00000000-0005-0000-0000-0000FF100000}"/>
    <cellStyle name="Normal 50 2 5 4" xfId="4352" xr:uid="{00000000-0005-0000-0000-000000110000}"/>
    <cellStyle name="Normal 50 2 6" xfId="4353" xr:uid="{00000000-0005-0000-0000-000001110000}"/>
    <cellStyle name="Normal 50 2 6 2" xfId="4354" xr:uid="{00000000-0005-0000-0000-000002110000}"/>
    <cellStyle name="Normal 50 2 7" xfId="4355" xr:uid="{00000000-0005-0000-0000-000003110000}"/>
    <cellStyle name="Normal 50 2 7 2" xfId="4356" xr:uid="{00000000-0005-0000-0000-000004110000}"/>
    <cellStyle name="Normal 50 2 8" xfId="4357" xr:uid="{00000000-0005-0000-0000-000005110000}"/>
    <cellStyle name="Normal 50 2 9" xfId="4358" xr:uid="{00000000-0005-0000-0000-000006110000}"/>
    <cellStyle name="Normal 50 3" xfId="4359" xr:uid="{00000000-0005-0000-0000-000007110000}"/>
    <cellStyle name="Normal 50 3 2" xfId="4360" xr:uid="{00000000-0005-0000-0000-000008110000}"/>
    <cellStyle name="Normal 50 3 2 2" xfId="4361" xr:uid="{00000000-0005-0000-0000-000009110000}"/>
    <cellStyle name="Normal 50 3 2 2 2" xfId="4362" xr:uid="{00000000-0005-0000-0000-00000A110000}"/>
    <cellStyle name="Normal 50 3 2 2 2 2" xfId="4363" xr:uid="{00000000-0005-0000-0000-00000B110000}"/>
    <cellStyle name="Normal 50 3 2 2 3" xfId="4364" xr:uid="{00000000-0005-0000-0000-00000C110000}"/>
    <cellStyle name="Normal 50 3 2 3" xfId="4365" xr:uid="{00000000-0005-0000-0000-00000D110000}"/>
    <cellStyle name="Normal 50 3 2 3 2" xfId="4366" xr:uid="{00000000-0005-0000-0000-00000E110000}"/>
    <cellStyle name="Normal 50 3 2 4" xfId="4367" xr:uid="{00000000-0005-0000-0000-00000F110000}"/>
    <cellStyle name="Normal 50 3 3" xfId="4368" xr:uid="{00000000-0005-0000-0000-000010110000}"/>
    <cellStyle name="Normal 50 3 3 2" xfId="4369" xr:uid="{00000000-0005-0000-0000-000011110000}"/>
    <cellStyle name="Normal 50 3 3 2 2" xfId="4370" xr:uid="{00000000-0005-0000-0000-000012110000}"/>
    <cellStyle name="Normal 50 3 3 3" xfId="4371" xr:uid="{00000000-0005-0000-0000-000013110000}"/>
    <cellStyle name="Normal 50 3 4" xfId="4372" xr:uid="{00000000-0005-0000-0000-000014110000}"/>
    <cellStyle name="Normal 50 3 4 2" xfId="4373" xr:uid="{00000000-0005-0000-0000-000015110000}"/>
    <cellStyle name="Normal 50 3 5" xfId="4374" xr:uid="{00000000-0005-0000-0000-000016110000}"/>
    <cellStyle name="Normal 50 4" xfId="4375" xr:uid="{00000000-0005-0000-0000-000017110000}"/>
    <cellStyle name="Normal 50 4 2" xfId="4376" xr:uid="{00000000-0005-0000-0000-000018110000}"/>
    <cellStyle name="Normal 50 4 2 2" xfId="4377" xr:uid="{00000000-0005-0000-0000-000019110000}"/>
    <cellStyle name="Normal 50 4 2 2 2" xfId="4378" xr:uid="{00000000-0005-0000-0000-00001A110000}"/>
    <cellStyle name="Normal 50 4 2 3" xfId="4379" xr:uid="{00000000-0005-0000-0000-00001B110000}"/>
    <cellStyle name="Normal 50 4 3" xfId="4380" xr:uid="{00000000-0005-0000-0000-00001C110000}"/>
    <cellStyle name="Normal 50 4 3 2" xfId="4381" xr:uid="{00000000-0005-0000-0000-00001D110000}"/>
    <cellStyle name="Normal 50 4 4" xfId="4382" xr:uid="{00000000-0005-0000-0000-00001E110000}"/>
    <cellStyle name="Normal 50 5" xfId="4383" xr:uid="{00000000-0005-0000-0000-00001F110000}"/>
    <cellStyle name="Normal 50 5 2" xfId="4384" xr:uid="{00000000-0005-0000-0000-000020110000}"/>
    <cellStyle name="Normal 50 5 2 2" xfId="4385" xr:uid="{00000000-0005-0000-0000-000021110000}"/>
    <cellStyle name="Normal 50 5 2 2 2" xfId="4386" xr:uid="{00000000-0005-0000-0000-000022110000}"/>
    <cellStyle name="Normal 50 5 2 3" xfId="4387" xr:uid="{00000000-0005-0000-0000-000023110000}"/>
    <cellStyle name="Normal 50 5 3" xfId="4388" xr:uid="{00000000-0005-0000-0000-000024110000}"/>
    <cellStyle name="Normal 50 5 3 2" xfId="4389" xr:uid="{00000000-0005-0000-0000-000025110000}"/>
    <cellStyle name="Normal 50 5 4" xfId="4390" xr:uid="{00000000-0005-0000-0000-000026110000}"/>
    <cellStyle name="Normal 50 6" xfId="4391" xr:uid="{00000000-0005-0000-0000-000027110000}"/>
    <cellStyle name="Normal 50 6 2" xfId="4392" xr:uid="{00000000-0005-0000-0000-000028110000}"/>
    <cellStyle name="Normal 50 6 2 2" xfId="4393" xr:uid="{00000000-0005-0000-0000-000029110000}"/>
    <cellStyle name="Normal 50 6 3" xfId="4394" xr:uid="{00000000-0005-0000-0000-00002A110000}"/>
    <cellStyle name="Normal 50 7" xfId="4395" xr:uid="{00000000-0005-0000-0000-00002B110000}"/>
    <cellStyle name="Normal 50 7 2" xfId="4396" xr:uid="{00000000-0005-0000-0000-00002C110000}"/>
    <cellStyle name="Normal 50 8" xfId="4397" xr:uid="{00000000-0005-0000-0000-00002D110000}"/>
    <cellStyle name="Normal 51" xfId="4398" xr:uid="{00000000-0005-0000-0000-00002E110000}"/>
    <cellStyle name="Normal 51 2" xfId="4399" xr:uid="{00000000-0005-0000-0000-00002F110000}"/>
    <cellStyle name="Normal 51 2 2" xfId="4400" xr:uid="{00000000-0005-0000-0000-000030110000}"/>
    <cellStyle name="Normal 51 2 2 2" xfId="4401" xr:uid="{00000000-0005-0000-0000-000031110000}"/>
    <cellStyle name="Normal 51 2 2 2 2" xfId="4402" xr:uid="{00000000-0005-0000-0000-000032110000}"/>
    <cellStyle name="Normal 51 2 2 3" xfId="4403" xr:uid="{00000000-0005-0000-0000-000033110000}"/>
    <cellStyle name="Normal 51 2 3" xfId="4404" xr:uid="{00000000-0005-0000-0000-000034110000}"/>
    <cellStyle name="Normal 51 2 3 2" xfId="4405" xr:uid="{00000000-0005-0000-0000-000035110000}"/>
    <cellStyle name="Normal 51 2 4" xfId="4406" xr:uid="{00000000-0005-0000-0000-000036110000}"/>
    <cellStyle name="Normal 51 3" xfId="4407" xr:uid="{00000000-0005-0000-0000-000037110000}"/>
    <cellStyle name="Normal 51 3 2" xfId="4408" xr:uid="{00000000-0005-0000-0000-000038110000}"/>
    <cellStyle name="Normal 51 3 2 2" xfId="4409" xr:uid="{00000000-0005-0000-0000-000039110000}"/>
    <cellStyle name="Normal 51 3 2 2 2" xfId="4410" xr:uid="{00000000-0005-0000-0000-00003A110000}"/>
    <cellStyle name="Normal 51 3 2 3" xfId="4411" xr:uid="{00000000-0005-0000-0000-00003B110000}"/>
    <cellStyle name="Normal 51 3 3" xfId="4412" xr:uid="{00000000-0005-0000-0000-00003C110000}"/>
    <cellStyle name="Normal 51 3 3 2" xfId="4413" xr:uid="{00000000-0005-0000-0000-00003D110000}"/>
    <cellStyle name="Normal 51 3 4" xfId="4414" xr:uid="{00000000-0005-0000-0000-00003E110000}"/>
    <cellStyle name="Normal 51 4" xfId="4415" xr:uid="{00000000-0005-0000-0000-00003F110000}"/>
    <cellStyle name="Normal 51 4 2" xfId="4416" xr:uid="{00000000-0005-0000-0000-000040110000}"/>
    <cellStyle name="Normal 51 4 2 2" xfId="4417" xr:uid="{00000000-0005-0000-0000-000041110000}"/>
    <cellStyle name="Normal 51 4 3" xfId="4418" xr:uid="{00000000-0005-0000-0000-000042110000}"/>
    <cellStyle name="Normal 51 5" xfId="4419" xr:uid="{00000000-0005-0000-0000-000043110000}"/>
    <cellStyle name="Normal 51 5 2" xfId="4420" xr:uid="{00000000-0005-0000-0000-000044110000}"/>
    <cellStyle name="Normal 51 6" xfId="4421" xr:uid="{00000000-0005-0000-0000-000045110000}"/>
    <cellStyle name="Normal 52" xfId="4422" xr:uid="{00000000-0005-0000-0000-000046110000}"/>
    <cellStyle name="Normal 52 2" xfId="4423" xr:uid="{00000000-0005-0000-0000-000047110000}"/>
    <cellStyle name="Normal 52 2 2" xfId="4424" xr:uid="{00000000-0005-0000-0000-000048110000}"/>
    <cellStyle name="Normal 52 2 2 2" xfId="4425" xr:uid="{00000000-0005-0000-0000-000049110000}"/>
    <cellStyle name="Normal 52 2 2 2 2" xfId="4426" xr:uid="{00000000-0005-0000-0000-00004A110000}"/>
    <cellStyle name="Normal 52 2 2 3" xfId="4427" xr:uid="{00000000-0005-0000-0000-00004B110000}"/>
    <cellStyle name="Normal 52 2 3" xfId="4428" xr:uid="{00000000-0005-0000-0000-00004C110000}"/>
    <cellStyle name="Normal 52 2 3 2" xfId="4429" xr:uid="{00000000-0005-0000-0000-00004D110000}"/>
    <cellStyle name="Normal 52 2 4" xfId="4430" xr:uid="{00000000-0005-0000-0000-00004E110000}"/>
    <cellStyle name="Normal 52 3" xfId="4431" xr:uid="{00000000-0005-0000-0000-00004F110000}"/>
    <cellStyle name="Normal 52 3 2" xfId="4432" xr:uid="{00000000-0005-0000-0000-000050110000}"/>
    <cellStyle name="Normal 52 3 2 2" xfId="4433" xr:uid="{00000000-0005-0000-0000-000051110000}"/>
    <cellStyle name="Normal 52 3 2 2 2" xfId="4434" xr:uid="{00000000-0005-0000-0000-000052110000}"/>
    <cellStyle name="Normal 52 3 2 3" xfId="4435" xr:uid="{00000000-0005-0000-0000-000053110000}"/>
    <cellStyle name="Normal 52 3 3" xfId="4436" xr:uid="{00000000-0005-0000-0000-000054110000}"/>
    <cellStyle name="Normal 52 3 3 2" xfId="4437" xr:uid="{00000000-0005-0000-0000-000055110000}"/>
    <cellStyle name="Normal 52 3 4" xfId="4438" xr:uid="{00000000-0005-0000-0000-000056110000}"/>
    <cellStyle name="Normal 52 4" xfId="4439" xr:uid="{00000000-0005-0000-0000-000057110000}"/>
    <cellStyle name="Normal 52 4 2" xfId="4440" xr:uid="{00000000-0005-0000-0000-000058110000}"/>
    <cellStyle name="Normal 52 4 2 2" xfId="4441" xr:uid="{00000000-0005-0000-0000-000059110000}"/>
    <cellStyle name="Normal 52 4 3" xfId="4442" xr:uid="{00000000-0005-0000-0000-00005A110000}"/>
    <cellStyle name="Normal 52 5" xfId="4443" xr:uid="{00000000-0005-0000-0000-00005B110000}"/>
    <cellStyle name="Normal 52 5 2" xfId="4444" xr:uid="{00000000-0005-0000-0000-00005C110000}"/>
    <cellStyle name="Normal 52 6" xfId="4445" xr:uid="{00000000-0005-0000-0000-00005D110000}"/>
    <cellStyle name="Normal 53" xfId="4446" xr:uid="{00000000-0005-0000-0000-00005E110000}"/>
    <cellStyle name="Normal 53 2" xfId="4447" xr:uid="{00000000-0005-0000-0000-00005F110000}"/>
    <cellStyle name="Normal 53 2 2" xfId="4448" xr:uid="{00000000-0005-0000-0000-000060110000}"/>
    <cellStyle name="Normal 53 2 2 2" xfId="4449" xr:uid="{00000000-0005-0000-0000-000061110000}"/>
    <cellStyle name="Normal 53 2 2 2 2" xfId="4450" xr:uid="{00000000-0005-0000-0000-000062110000}"/>
    <cellStyle name="Normal 53 2 2 2 2 2" xfId="4451" xr:uid="{00000000-0005-0000-0000-000063110000}"/>
    <cellStyle name="Normal 53 2 2 2 3" xfId="4452" xr:uid="{00000000-0005-0000-0000-000064110000}"/>
    <cellStyle name="Normal 53 2 2 2 4" xfId="4453" xr:uid="{00000000-0005-0000-0000-000065110000}"/>
    <cellStyle name="Normal 53 2 2 3" xfId="4454" xr:uid="{00000000-0005-0000-0000-000066110000}"/>
    <cellStyle name="Normal 53 2 2 3 2" xfId="4455" xr:uid="{00000000-0005-0000-0000-000067110000}"/>
    <cellStyle name="Normal 53 2 2 4" xfId="4456" xr:uid="{00000000-0005-0000-0000-000068110000}"/>
    <cellStyle name="Normal 53 2 2 4 2" xfId="4457" xr:uid="{00000000-0005-0000-0000-000069110000}"/>
    <cellStyle name="Normal 53 2 2 5" xfId="4458" xr:uid="{00000000-0005-0000-0000-00006A110000}"/>
    <cellStyle name="Normal 53 2 2 6" xfId="4459" xr:uid="{00000000-0005-0000-0000-00006B110000}"/>
    <cellStyle name="Normal 53 2 3" xfId="4460" xr:uid="{00000000-0005-0000-0000-00006C110000}"/>
    <cellStyle name="Normal 53 2 3 2" xfId="4461" xr:uid="{00000000-0005-0000-0000-00006D110000}"/>
    <cellStyle name="Normal 53 2 3 2 2" xfId="4462" xr:uid="{00000000-0005-0000-0000-00006E110000}"/>
    <cellStyle name="Normal 53 2 3 2 2 2" xfId="4463" xr:uid="{00000000-0005-0000-0000-00006F110000}"/>
    <cellStyle name="Normal 53 2 3 2 3" xfId="4464" xr:uid="{00000000-0005-0000-0000-000070110000}"/>
    <cellStyle name="Normal 53 2 3 2 4" xfId="4465" xr:uid="{00000000-0005-0000-0000-000071110000}"/>
    <cellStyle name="Normal 53 2 3 3" xfId="4466" xr:uid="{00000000-0005-0000-0000-000072110000}"/>
    <cellStyle name="Normal 53 2 3 3 2" xfId="4467" xr:uid="{00000000-0005-0000-0000-000073110000}"/>
    <cellStyle name="Normal 53 2 3 4" xfId="4468" xr:uid="{00000000-0005-0000-0000-000074110000}"/>
    <cellStyle name="Normal 53 2 3 5" xfId="4469" xr:uid="{00000000-0005-0000-0000-000075110000}"/>
    <cellStyle name="Normal 53 2 4" xfId="4470" xr:uid="{00000000-0005-0000-0000-000076110000}"/>
    <cellStyle name="Normal 53 2 4 2" xfId="4471" xr:uid="{00000000-0005-0000-0000-000077110000}"/>
    <cellStyle name="Normal 53 2 4 2 2" xfId="4472" xr:uid="{00000000-0005-0000-0000-000078110000}"/>
    <cellStyle name="Normal 53 2 4 3" xfId="4473" xr:uid="{00000000-0005-0000-0000-000079110000}"/>
    <cellStyle name="Normal 53 2 4 4" xfId="4474" xr:uid="{00000000-0005-0000-0000-00007A110000}"/>
    <cellStyle name="Normal 53 2 5" xfId="4475" xr:uid="{00000000-0005-0000-0000-00007B110000}"/>
    <cellStyle name="Normal 53 2 5 2" xfId="4476" xr:uid="{00000000-0005-0000-0000-00007C110000}"/>
    <cellStyle name="Normal 53 2 5 2 2" xfId="4477" xr:uid="{00000000-0005-0000-0000-00007D110000}"/>
    <cellStyle name="Normal 53 2 5 3" xfId="4478" xr:uid="{00000000-0005-0000-0000-00007E110000}"/>
    <cellStyle name="Normal 53 2 5 4" xfId="4479" xr:uid="{00000000-0005-0000-0000-00007F110000}"/>
    <cellStyle name="Normal 53 2 6" xfId="4480" xr:uid="{00000000-0005-0000-0000-000080110000}"/>
    <cellStyle name="Normal 53 2 6 2" xfId="4481" xr:uid="{00000000-0005-0000-0000-000081110000}"/>
    <cellStyle name="Normal 53 2 7" xfId="4482" xr:uid="{00000000-0005-0000-0000-000082110000}"/>
    <cellStyle name="Normal 53 2 7 2" xfId="4483" xr:uid="{00000000-0005-0000-0000-000083110000}"/>
    <cellStyle name="Normal 53 2 8" xfId="4484" xr:uid="{00000000-0005-0000-0000-000084110000}"/>
    <cellStyle name="Normal 53 2 9" xfId="4485" xr:uid="{00000000-0005-0000-0000-000085110000}"/>
    <cellStyle name="Normal 53 3" xfId="4486" xr:uid="{00000000-0005-0000-0000-000086110000}"/>
    <cellStyle name="Normal 53 3 2" xfId="4487" xr:uid="{00000000-0005-0000-0000-000087110000}"/>
    <cellStyle name="Normal 53 3 2 2" xfId="4488" xr:uid="{00000000-0005-0000-0000-000088110000}"/>
    <cellStyle name="Normal 53 3 2 2 2" xfId="4489" xr:uid="{00000000-0005-0000-0000-000089110000}"/>
    <cellStyle name="Normal 53 3 2 2 2 2" xfId="4490" xr:uid="{00000000-0005-0000-0000-00008A110000}"/>
    <cellStyle name="Normal 53 3 2 2 3" xfId="4491" xr:uid="{00000000-0005-0000-0000-00008B110000}"/>
    <cellStyle name="Normal 53 3 2 3" xfId="4492" xr:uid="{00000000-0005-0000-0000-00008C110000}"/>
    <cellStyle name="Normal 53 3 2 3 2" xfId="4493" xr:uid="{00000000-0005-0000-0000-00008D110000}"/>
    <cellStyle name="Normal 53 3 2 4" xfId="4494" xr:uid="{00000000-0005-0000-0000-00008E110000}"/>
    <cellStyle name="Normal 53 3 3" xfId="4495" xr:uid="{00000000-0005-0000-0000-00008F110000}"/>
    <cellStyle name="Normal 53 3 3 2" xfId="4496" xr:uid="{00000000-0005-0000-0000-000090110000}"/>
    <cellStyle name="Normal 53 3 3 2 2" xfId="4497" xr:uid="{00000000-0005-0000-0000-000091110000}"/>
    <cellStyle name="Normal 53 3 3 3" xfId="4498" xr:uid="{00000000-0005-0000-0000-000092110000}"/>
    <cellStyle name="Normal 53 3 4" xfId="4499" xr:uid="{00000000-0005-0000-0000-000093110000}"/>
    <cellStyle name="Normal 53 3 4 2" xfId="4500" xr:uid="{00000000-0005-0000-0000-000094110000}"/>
    <cellStyle name="Normal 53 3 5" xfId="4501" xr:uid="{00000000-0005-0000-0000-000095110000}"/>
    <cellStyle name="Normal 53 4" xfId="4502" xr:uid="{00000000-0005-0000-0000-000096110000}"/>
    <cellStyle name="Normal 53 4 2" xfId="4503" xr:uid="{00000000-0005-0000-0000-000097110000}"/>
    <cellStyle name="Normal 53 4 2 2" xfId="4504" xr:uid="{00000000-0005-0000-0000-000098110000}"/>
    <cellStyle name="Normal 53 4 2 2 2" xfId="4505" xr:uid="{00000000-0005-0000-0000-000099110000}"/>
    <cellStyle name="Normal 53 4 2 3" xfId="4506" xr:uid="{00000000-0005-0000-0000-00009A110000}"/>
    <cellStyle name="Normal 53 4 3" xfId="4507" xr:uid="{00000000-0005-0000-0000-00009B110000}"/>
    <cellStyle name="Normal 53 4 3 2" xfId="4508" xr:uid="{00000000-0005-0000-0000-00009C110000}"/>
    <cellStyle name="Normal 53 4 4" xfId="4509" xr:uid="{00000000-0005-0000-0000-00009D110000}"/>
    <cellStyle name="Normal 53 5" xfId="4510" xr:uid="{00000000-0005-0000-0000-00009E110000}"/>
    <cellStyle name="Normal 53 5 2" xfId="4511" xr:uid="{00000000-0005-0000-0000-00009F110000}"/>
    <cellStyle name="Normal 53 5 2 2" xfId="4512" xr:uid="{00000000-0005-0000-0000-0000A0110000}"/>
    <cellStyle name="Normal 53 5 3" xfId="4513" xr:uid="{00000000-0005-0000-0000-0000A1110000}"/>
    <cellStyle name="Normal 53 6" xfId="4514" xr:uid="{00000000-0005-0000-0000-0000A2110000}"/>
    <cellStyle name="Normal 53 6 2" xfId="4515" xr:uid="{00000000-0005-0000-0000-0000A3110000}"/>
    <cellStyle name="Normal 53 7" xfId="4516" xr:uid="{00000000-0005-0000-0000-0000A4110000}"/>
    <cellStyle name="Normal 54" xfId="4517" xr:uid="{00000000-0005-0000-0000-0000A5110000}"/>
    <cellStyle name="Normal 54 2" xfId="4518" xr:uid="{00000000-0005-0000-0000-0000A6110000}"/>
    <cellStyle name="Normal 54 2 2" xfId="4519" xr:uid="{00000000-0005-0000-0000-0000A7110000}"/>
    <cellStyle name="Normal 54 2 2 2" xfId="4520" xr:uid="{00000000-0005-0000-0000-0000A8110000}"/>
    <cellStyle name="Normal 54 2 2 2 2" xfId="4521" xr:uid="{00000000-0005-0000-0000-0000A9110000}"/>
    <cellStyle name="Normal 54 2 2 2 2 2" xfId="4522" xr:uid="{00000000-0005-0000-0000-0000AA110000}"/>
    <cellStyle name="Normal 54 2 2 2 3" xfId="4523" xr:uid="{00000000-0005-0000-0000-0000AB110000}"/>
    <cellStyle name="Normal 54 2 2 2 4" xfId="4524" xr:uid="{00000000-0005-0000-0000-0000AC110000}"/>
    <cellStyle name="Normal 54 2 2 3" xfId="4525" xr:uid="{00000000-0005-0000-0000-0000AD110000}"/>
    <cellStyle name="Normal 54 2 2 3 2" xfId="4526" xr:uid="{00000000-0005-0000-0000-0000AE110000}"/>
    <cellStyle name="Normal 54 2 2 4" xfId="4527" xr:uid="{00000000-0005-0000-0000-0000AF110000}"/>
    <cellStyle name="Normal 54 2 2 4 2" xfId="4528" xr:uid="{00000000-0005-0000-0000-0000B0110000}"/>
    <cellStyle name="Normal 54 2 2 5" xfId="4529" xr:uid="{00000000-0005-0000-0000-0000B1110000}"/>
    <cellStyle name="Normal 54 2 2 6" xfId="4530" xr:uid="{00000000-0005-0000-0000-0000B2110000}"/>
    <cellStyle name="Normal 54 2 3" xfId="4531" xr:uid="{00000000-0005-0000-0000-0000B3110000}"/>
    <cellStyle name="Normal 54 2 3 2" xfId="4532" xr:uid="{00000000-0005-0000-0000-0000B4110000}"/>
    <cellStyle name="Normal 54 2 3 2 2" xfId="4533" xr:uid="{00000000-0005-0000-0000-0000B5110000}"/>
    <cellStyle name="Normal 54 2 3 2 2 2" xfId="4534" xr:uid="{00000000-0005-0000-0000-0000B6110000}"/>
    <cellStyle name="Normal 54 2 3 2 3" xfId="4535" xr:uid="{00000000-0005-0000-0000-0000B7110000}"/>
    <cellStyle name="Normal 54 2 3 2 4" xfId="4536" xr:uid="{00000000-0005-0000-0000-0000B8110000}"/>
    <cellStyle name="Normal 54 2 3 3" xfId="4537" xr:uid="{00000000-0005-0000-0000-0000B9110000}"/>
    <cellStyle name="Normal 54 2 3 3 2" xfId="4538" xr:uid="{00000000-0005-0000-0000-0000BA110000}"/>
    <cellStyle name="Normal 54 2 3 4" xfId="4539" xr:uid="{00000000-0005-0000-0000-0000BB110000}"/>
    <cellStyle name="Normal 54 2 3 5" xfId="4540" xr:uid="{00000000-0005-0000-0000-0000BC110000}"/>
    <cellStyle name="Normal 54 2 4" xfId="4541" xr:uid="{00000000-0005-0000-0000-0000BD110000}"/>
    <cellStyle name="Normal 54 2 4 2" xfId="4542" xr:uid="{00000000-0005-0000-0000-0000BE110000}"/>
    <cellStyle name="Normal 54 2 4 2 2" xfId="4543" xr:uid="{00000000-0005-0000-0000-0000BF110000}"/>
    <cellStyle name="Normal 54 2 4 3" xfId="4544" xr:uid="{00000000-0005-0000-0000-0000C0110000}"/>
    <cellStyle name="Normal 54 2 4 4" xfId="4545" xr:uid="{00000000-0005-0000-0000-0000C1110000}"/>
    <cellStyle name="Normal 54 2 5" xfId="4546" xr:uid="{00000000-0005-0000-0000-0000C2110000}"/>
    <cellStyle name="Normal 54 2 5 2" xfId="4547" xr:uid="{00000000-0005-0000-0000-0000C3110000}"/>
    <cellStyle name="Normal 54 2 5 2 2" xfId="4548" xr:uid="{00000000-0005-0000-0000-0000C4110000}"/>
    <cellStyle name="Normal 54 2 5 3" xfId="4549" xr:uid="{00000000-0005-0000-0000-0000C5110000}"/>
    <cellStyle name="Normal 54 2 5 4" xfId="4550" xr:uid="{00000000-0005-0000-0000-0000C6110000}"/>
    <cellStyle name="Normal 54 2 6" xfId="4551" xr:uid="{00000000-0005-0000-0000-0000C7110000}"/>
    <cellStyle name="Normal 54 2 6 2" xfId="4552" xr:uid="{00000000-0005-0000-0000-0000C8110000}"/>
    <cellStyle name="Normal 54 2 7" xfId="4553" xr:uid="{00000000-0005-0000-0000-0000C9110000}"/>
    <cellStyle name="Normal 54 2 7 2" xfId="4554" xr:uid="{00000000-0005-0000-0000-0000CA110000}"/>
    <cellStyle name="Normal 54 2 8" xfId="4555" xr:uid="{00000000-0005-0000-0000-0000CB110000}"/>
    <cellStyle name="Normal 54 2 9" xfId="4556" xr:uid="{00000000-0005-0000-0000-0000CC110000}"/>
    <cellStyle name="Normal 54 3" xfId="4557" xr:uid="{00000000-0005-0000-0000-0000CD110000}"/>
    <cellStyle name="Normal 54 3 2" xfId="4558" xr:uid="{00000000-0005-0000-0000-0000CE110000}"/>
    <cellStyle name="Normal 54 3 2 2" xfId="4559" xr:uid="{00000000-0005-0000-0000-0000CF110000}"/>
    <cellStyle name="Normal 54 3 2 2 2" xfId="4560" xr:uid="{00000000-0005-0000-0000-0000D0110000}"/>
    <cellStyle name="Normal 54 3 2 2 2 2" xfId="4561" xr:uid="{00000000-0005-0000-0000-0000D1110000}"/>
    <cellStyle name="Normal 54 3 2 2 3" xfId="4562" xr:uid="{00000000-0005-0000-0000-0000D2110000}"/>
    <cellStyle name="Normal 54 3 2 3" xfId="4563" xr:uid="{00000000-0005-0000-0000-0000D3110000}"/>
    <cellStyle name="Normal 54 3 2 3 2" xfId="4564" xr:uid="{00000000-0005-0000-0000-0000D4110000}"/>
    <cellStyle name="Normal 54 3 2 4" xfId="4565" xr:uid="{00000000-0005-0000-0000-0000D5110000}"/>
    <cellStyle name="Normal 54 3 3" xfId="4566" xr:uid="{00000000-0005-0000-0000-0000D6110000}"/>
    <cellStyle name="Normal 54 3 3 2" xfId="4567" xr:uid="{00000000-0005-0000-0000-0000D7110000}"/>
    <cellStyle name="Normal 54 3 3 2 2" xfId="4568" xr:uid="{00000000-0005-0000-0000-0000D8110000}"/>
    <cellStyle name="Normal 54 3 3 3" xfId="4569" xr:uid="{00000000-0005-0000-0000-0000D9110000}"/>
    <cellStyle name="Normal 54 3 4" xfId="4570" xr:uid="{00000000-0005-0000-0000-0000DA110000}"/>
    <cellStyle name="Normal 54 3 4 2" xfId="4571" xr:uid="{00000000-0005-0000-0000-0000DB110000}"/>
    <cellStyle name="Normal 54 3 5" xfId="4572" xr:uid="{00000000-0005-0000-0000-0000DC110000}"/>
    <cellStyle name="Normal 54 4" xfId="4573" xr:uid="{00000000-0005-0000-0000-0000DD110000}"/>
    <cellStyle name="Normal 54 4 2" xfId="4574" xr:uid="{00000000-0005-0000-0000-0000DE110000}"/>
    <cellStyle name="Normal 54 4 2 2" xfId="4575" xr:uid="{00000000-0005-0000-0000-0000DF110000}"/>
    <cellStyle name="Normal 54 4 2 2 2" xfId="4576" xr:uid="{00000000-0005-0000-0000-0000E0110000}"/>
    <cellStyle name="Normal 54 4 2 3" xfId="4577" xr:uid="{00000000-0005-0000-0000-0000E1110000}"/>
    <cellStyle name="Normal 54 4 3" xfId="4578" xr:uid="{00000000-0005-0000-0000-0000E2110000}"/>
    <cellStyle name="Normal 54 4 3 2" xfId="4579" xr:uid="{00000000-0005-0000-0000-0000E3110000}"/>
    <cellStyle name="Normal 54 4 4" xfId="4580" xr:uid="{00000000-0005-0000-0000-0000E4110000}"/>
    <cellStyle name="Normal 54 5" xfId="4581" xr:uid="{00000000-0005-0000-0000-0000E5110000}"/>
    <cellStyle name="Normal 54 5 2" xfId="4582" xr:uid="{00000000-0005-0000-0000-0000E6110000}"/>
    <cellStyle name="Normal 54 5 2 2" xfId="4583" xr:uid="{00000000-0005-0000-0000-0000E7110000}"/>
    <cellStyle name="Normal 54 5 2 2 2" xfId="4584" xr:uid="{00000000-0005-0000-0000-0000E8110000}"/>
    <cellStyle name="Normal 54 5 2 3" xfId="4585" xr:uid="{00000000-0005-0000-0000-0000E9110000}"/>
    <cellStyle name="Normal 54 5 3" xfId="4586" xr:uid="{00000000-0005-0000-0000-0000EA110000}"/>
    <cellStyle name="Normal 54 5 3 2" xfId="4587" xr:uid="{00000000-0005-0000-0000-0000EB110000}"/>
    <cellStyle name="Normal 54 5 4" xfId="4588" xr:uid="{00000000-0005-0000-0000-0000EC110000}"/>
    <cellStyle name="Normal 54 6" xfId="4589" xr:uid="{00000000-0005-0000-0000-0000ED110000}"/>
    <cellStyle name="Normal 54 6 2" xfId="4590" xr:uid="{00000000-0005-0000-0000-0000EE110000}"/>
    <cellStyle name="Normal 54 6 2 2" xfId="4591" xr:uid="{00000000-0005-0000-0000-0000EF110000}"/>
    <cellStyle name="Normal 54 6 3" xfId="4592" xr:uid="{00000000-0005-0000-0000-0000F0110000}"/>
    <cellStyle name="Normal 54 7" xfId="4593" xr:uid="{00000000-0005-0000-0000-0000F1110000}"/>
    <cellStyle name="Normal 54 7 2" xfId="4594" xr:uid="{00000000-0005-0000-0000-0000F2110000}"/>
    <cellStyle name="Normal 54 8" xfId="4595" xr:uid="{00000000-0005-0000-0000-0000F3110000}"/>
    <cellStyle name="Normal 55" xfId="4596" xr:uid="{00000000-0005-0000-0000-0000F4110000}"/>
    <cellStyle name="Normal 55 2" xfId="4597" xr:uid="{00000000-0005-0000-0000-0000F5110000}"/>
    <cellStyle name="Normal 55 2 2" xfId="4598" xr:uid="{00000000-0005-0000-0000-0000F6110000}"/>
    <cellStyle name="Normal 55 2 2 2" xfId="4599" xr:uid="{00000000-0005-0000-0000-0000F7110000}"/>
    <cellStyle name="Normal 55 2 2 2 2" xfId="4600" xr:uid="{00000000-0005-0000-0000-0000F8110000}"/>
    <cellStyle name="Normal 55 2 2 2 2 2" xfId="4601" xr:uid="{00000000-0005-0000-0000-0000F9110000}"/>
    <cellStyle name="Normal 55 2 2 2 3" xfId="4602" xr:uid="{00000000-0005-0000-0000-0000FA110000}"/>
    <cellStyle name="Normal 55 2 2 3" xfId="4603" xr:uid="{00000000-0005-0000-0000-0000FB110000}"/>
    <cellStyle name="Normal 55 2 2 3 2" xfId="4604" xr:uid="{00000000-0005-0000-0000-0000FC110000}"/>
    <cellStyle name="Normal 55 2 2 4" xfId="4605" xr:uid="{00000000-0005-0000-0000-0000FD110000}"/>
    <cellStyle name="Normal 55 2 3" xfId="4606" xr:uid="{00000000-0005-0000-0000-0000FE110000}"/>
    <cellStyle name="Normal 55 2 3 2" xfId="4607" xr:uid="{00000000-0005-0000-0000-0000FF110000}"/>
    <cellStyle name="Normal 55 2 3 2 2" xfId="4608" xr:uid="{00000000-0005-0000-0000-000000120000}"/>
    <cellStyle name="Normal 55 2 3 2 2 2" xfId="4609" xr:uid="{00000000-0005-0000-0000-000001120000}"/>
    <cellStyle name="Normal 55 2 3 2 3" xfId="4610" xr:uid="{00000000-0005-0000-0000-000002120000}"/>
    <cellStyle name="Normal 55 2 3 3" xfId="4611" xr:uid="{00000000-0005-0000-0000-000003120000}"/>
    <cellStyle name="Normal 55 2 3 3 2" xfId="4612" xr:uid="{00000000-0005-0000-0000-000004120000}"/>
    <cellStyle name="Normal 55 2 3 4" xfId="4613" xr:uid="{00000000-0005-0000-0000-000005120000}"/>
    <cellStyle name="Normal 55 2 4" xfId="4614" xr:uid="{00000000-0005-0000-0000-000006120000}"/>
    <cellStyle name="Normal 55 2 4 2" xfId="4615" xr:uid="{00000000-0005-0000-0000-000007120000}"/>
    <cellStyle name="Normal 55 2 4 2 2" xfId="4616" xr:uid="{00000000-0005-0000-0000-000008120000}"/>
    <cellStyle name="Normal 55 2 4 3" xfId="4617" xr:uid="{00000000-0005-0000-0000-000009120000}"/>
    <cellStyle name="Normal 55 2 5" xfId="4618" xr:uid="{00000000-0005-0000-0000-00000A120000}"/>
    <cellStyle name="Normal 55 2 5 2" xfId="4619" xr:uid="{00000000-0005-0000-0000-00000B120000}"/>
    <cellStyle name="Normal 55 2 5 2 2" xfId="4620" xr:uid="{00000000-0005-0000-0000-00000C120000}"/>
    <cellStyle name="Normal 55 2 5 3" xfId="4621" xr:uid="{00000000-0005-0000-0000-00000D120000}"/>
    <cellStyle name="Normal 55 2 6" xfId="4622" xr:uid="{00000000-0005-0000-0000-00000E120000}"/>
    <cellStyle name="Normal 55 2 6 2" xfId="4623" xr:uid="{00000000-0005-0000-0000-00000F120000}"/>
    <cellStyle name="Normal 55 2 7" xfId="4624" xr:uid="{00000000-0005-0000-0000-000010120000}"/>
    <cellStyle name="Normal 55 3" xfId="4625" xr:uid="{00000000-0005-0000-0000-000011120000}"/>
    <cellStyle name="Normal 55 3 2" xfId="4626" xr:uid="{00000000-0005-0000-0000-000012120000}"/>
    <cellStyle name="Normal 55 3 2 2" xfId="4627" xr:uid="{00000000-0005-0000-0000-000013120000}"/>
    <cellStyle name="Normal 55 3 2 2 2" xfId="4628" xr:uid="{00000000-0005-0000-0000-000014120000}"/>
    <cellStyle name="Normal 55 3 2 2 2 2" xfId="4629" xr:uid="{00000000-0005-0000-0000-000015120000}"/>
    <cellStyle name="Normal 55 3 2 2 3" xfId="4630" xr:uid="{00000000-0005-0000-0000-000016120000}"/>
    <cellStyle name="Normal 55 3 2 3" xfId="4631" xr:uid="{00000000-0005-0000-0000-000017120000}"/>
    <cellStyle name="Normal 55 3 2 3 2" xfId="4632" xr:uid="{00000000-0005-0000-0000-000018120000}"/>
    <cellStyle name="Normal 55 3 2 4" xfId="4633" xr:uid="{00000000-0005-0000-0000-000019120000}"/>
    <cellStyle name="Normal 55 3 3" xfId="4634" xr:uid="{00000000-0005-0000-0000-00001A120000}"/>
    <cellStyle name="Normal 55 3 3 2" xfId="4635" xr:uid="{00000000-0005-0000-0000-00001B120000}"/>
    <cellStyle name="Normal 55 3 3 2 2" xfId="4636" xr:uid="{00000000-0005-0000-0000-00001C120000}"/>
    <cellStyle name="Normal 55 3 3 3" xfId="4637" xr:uid="{00000000-0005-0000-0000-00001D120000}"/>
    <cellStyle name="Normal 55 3 4" xfId="4638" xr:uid="{00000000-0005-0000-0000-00001E120000}"/>
    <cellStyle name="Normal 55 3 4 2" xfId="4639" xr:uid="{00000000-0005-0000-0000-00001F120000}"/>
    <cellStyle name="Normal 55 3 5" xfId="4640" xr:uid="{00000000-0005-0000-0000-000020120000}"/>
    <cellStyle name="Normal 55 4" xfId="4641" xr:uid="{00000000-0005-0000-0000-000021120000}"/>
    <cellStyle name="Normal 55 4 2" xfId="4642" xr:uid="{00000000-0005-0000-0000-000022120000}"/>
    <cellStyle name="Normal 55 4 2 2" xfId="4643" xr:uid="{00000000-0005-0000-0000-000023120000}"/>
    <cellStyle name="Normal 55 4 2 2 2" xfId="4644" xr:uid="{00000000-0005-0000-0000-000024120000}"/>
    <cellStyle name="Normal 55 4 2 3" xfId="4645" xr:uid="{00000000-0005-0000-0000-000025120000}"/>
    <cellStyle name="Normal 55 4 3" xfId="4646" xr:uid="{00000000-0005-0000-0000-000026120000}"/>
    <cellStyle name="Normal 55 4 3 2" xfId="4647" xr:uid="{00000000-0005-0000-0000-000027120000}"/>
    <cellStyle name="Normal 55 4 4" xfId="4648" xr:uid="{00000000-0005-0000-0000-000028120000}"/>
    <cellStyle name="Normal 55 5" xfId="4649" xr:uid="{00000000-0005-0000-0000-000029120000}"/>
    <cellStyle name="Normal 55 5 2" xfId="4650" xr:uid="{00000000-0005-0000-0000-00002A120000}"/>
    <cellStyle name="Normal 55 5 2 2" xfId="4651" xr:uid="{00000000-0005-0000-0000-00002B120000}"/>
    <cellStyle name="Normal 55 5 2 2 2" xfId="4652" xr:uid="{00000000-0005-0000-0000-00002C120000}"/>
    <cellStyle name="Normal 55 5 2 3" xfId="4653" xr:uid="{00000000-0005-0000-0000-00002D120000}"/>
    <cellStyle name="Normal 55 5 3" xfId="4654" xr:uid="{00000000-0005-0000-0000-00002E120000}"/>
    <cellStyle name="Normal 55 5 3 2" xfId="4655" xr:uid="{00000000-0005-0000-0000-00002F120000}"/>
    <cellStyle name="Normal 55 5 4" xfId="4656" xr:uid="{00000000-0005-0000-0000-000030120000}"/>
    <cellStyle name="Normal 55 6" xfId="4657" xr:uid="{00000000-0005-0000-0000-000031120000}"/>
    <cellStyle name="Normal 55 6 2" xfId="4658" xr:uid="{00000000-0005-0000-0000-000032120000}"/>
    <cellStyle name="Normal 55 6 2 2" xfId="4659" xr:uid="{00000000-0005-0000-0000-000033120000}"/>
    <cellStyle name="Normal 55 6 3" xfId="4660" xr:uid="{00000000-0005-0000-0000-000034120000}"/>
    <cellStyle name="Normal 55 7" xfId="4661" xr:uid="{00000000-0005-0000-0000-000035120000}"/>
    <cellStyle name="Normal 55 7 2" xfId="4662" xr:uid="{00000000-0005-0000-0000-000036120000}"/>
    <cellStyle name="Normal 55 8" xfId="4663" xr:uid="{00000000-0005-0000-0000-000037120000}"/>
    <cellStyle name="Normal 56" xfId="4664" xr:uid="{00000000-0005-0000-0000-000038120000}"/>
    <cellStyle name="Normal 56 2" xfId="4665" xr:uid="{00000000-0005-0000-0000-000039120000}"/>
    <cellStyle name="Normal 56 2 2" xfId="4666" xr:uid="{00000000-0005-0000-0000-00003A120000}"/>
    <cellStyle name="Normal 56 2 2 2" xfId="4667" xr:uid="{00000000-0005-0000-0000-00003B120000}"/>
    <cellStyle name="Normal 56 2 2 2 2" xfId="4668" xr:uid="{00000000-0005-0000-0000-00003C120000}"/>
    <cellStyle name="Normal 56 2 2 3" xfId="4669" xr:uid="{00000000-0005-0000-0000-00003D120000}"/>
    <cellStyle name="Normal 56 2 3" xfId="4670" xr:uid="{00000000-0005-0000-0000-00003E120000}"/>
    <cellStyle name="Normal 56 2 3 2" xfId="4671" xr:uid="{00000000-0005-0000-0000-00003F120000}"/>
    <cellStyle name="Normal 56 2 4" xfId="4672" xr:uid="{00000000-0005-0000-0000-000040120000}"/>
    <cellStyle name="Normal 56 3" xfId="4673" xr:uid="{00000000-0005-0000-0000-000041120000}"/>
    <cellStyle name="Normal 56 3 2" xfId="4674" xr:uid="{00000000-0005-0000-0000-000042120000}"/>
    <cellStyle name="Normal 56 3 2 2" xfId="4675" xr:uid="{00000000-0005-0000-0000-000043120000}"/>
    <cellStyle name="Normal 56 3 2 2 2" xfId="4676" xr:uid="{00000000-0005-0000-0000-000044120000}"/>
    <cellStyle name="Normal 56 3 2 3" xfId="4677" xr:uid="{00000000-0005-0000-0000-000045120000}"/>
    <cellStyle name="Normal 56 3 3" xfId="4678" xr:uid="{00000000-0005-0000-0000-000046120000}"/>
    <cellStyle name="Normal 56 3 3 2" xfId="4679" xr:uid="{00000000-0005-0000-0000-000047120000}"/>
    <cellStyle name="Normal 56 3 4" xfId="4680" xr:uid="{00000000-0005-0000-0000-000048120000}"/>
    <cellStyle name="Normal 56 4" xfId="4681" xr:uid="{00000000-0005-0000-0000-000049120000}"/>
    <cellStyle name="Normal 56 4 2" xfId="4682" xr:uid="{00000000-0005-0000-0000-00004A120000}"/>
    <cellStyle name="Normal 56 4 2 2" xfId="4683" xr:uid="{00000000-0005-0000-0000-00004B120000}"/>
    <cellStyle name="Normal 56 4 3" xfId="4684" xr:uid="{00000000-0005-0000-0000-00004C120000}"/>
    <cellStyle name="Normal 56 5" xfId="4685" xr:uid="{00000000-0005-0000-0000-00004D120000}"/>
    <cellStyle name="Normal 56 5 2" xfId="4686" xr:uid="{00000000-0005-0000-0000-00004E120000}"/>
    <cellStyle name="Normal 56 6" xfId="4687" xr:uid="{00000000-0005-0000-0000-00004F120000}"/>
    <cellStyle name="Normal 57" xfId="4688" xr:uid="{00000000-0005-0000-0000-000050120000}"/>
    <cellStyle name="Normal 57 2" xfId="4689" xr:uid="{00000000-0005-0000-0000-000051120000}"/>
    <cellStyle name="Normal 57 2 2" xfId="4690" xr:uid="{00000000-0005-0000-0000-000052120000}"/>
    <cellStyle name="Normal 57 2 2 2" xfId="4691" xr:uid="{00000000-0005-0000-0000-000053120000}"/>
    <cellStyle name="Normal 57 2 2 2 2" xfId="4692" xr:uid="{00000000-0005-0000-0000-000054120000}"/>
    <cellStyle name="Normal 57 2 2 2 2 2" xfId="4693" xr:uid="{00000000-0005-0000-0000-000055120000}"/>
    <cellStyle name="Normal 57 2 2 2 3" xfId="4694" xr:uid="{00000000-0005-0000-0000-000056120000}"/>
    <cellStyle name="Normal 57 2 2 2 4" xfId="4695" xr:uid="{00000000-0005-0000-0000-000057120000}"/>
    <cellStyle name="Normal 57 2 2 3" xfId="4696" xr:uid="{00000000-0005-0000-0000-000058120000}"/>
    <cellStyle name="Normal 57 2 2 3 2" xfId="4697" xr:uid="{00000000-0005-0000-0000-000059120000}"/>
    <cellStyle name="Normal 57 2 2 4" xfId="4698" xr:uid="{00000000-0005-0000-0000-00005A120000}"/>
    <cellStyle name="Normal 57 2 2 4 2" xfId="4699" xr:uid="{00000000-0005-0000-0000-00005B120000}"/>
    <cellStyle name="Normal 57 2 2 5" xfId="4700" xr:uid="{00000000-0005-0000-0000-00005C120000}"/>
    <cellStyle name="Normal 57 2 2 6" xfId="4701" xr:uid="{00000000-0005-0000-0000-00005D120000}"/>
    <cellStyle name="Normal 57 2 3" xfId="4702" xr:uid="{00000000-0005-0000-0000-00005E120000}"/>
    <cellStyle name="Normal 57 2 3 2" xfId="4703" xr:uid="{00000000-0005-0000-0000-00005F120000}"/>
    <cellStyle name="Normal 57 2 3 2 2" xfId="4704" xr:uid="{00000000-0005-0000-0000-000060120000}"/>
    <cellStyle name="Normal 57 2 3 2 2 2" xfId="4705" xr:uid="{00000000-0005-0000-0000-000061120000}"/>
    <cellStyle name="Normal 57 2 3 2 3" xfId="4706" xr:uid="{00000000-0005-0000-0000-000062120000}"/>
    <cellStyle name="Normal 57 2 3 2 4" xfId="4707" xr:uid="{00000000-0005-0000-0000-000063120000}"/>
    <cellStyle name="Normal 57 2 3 3" xfId="4708" xr:uid="{00000000-0005-0000-0000-000064120000}"/>
    <cellStyle name="Normal 57 2 3 3 2" xfId="4709" xr:uid="{00000000-0005-0000-0000-000065120000}"/>
    <cellStyle name="Normal 57 2 3 4" xfId="4710" xr:uid="{00000000-0005-0000-0000-000066120000}"/>
    <cellStyle name="Normal 57 2 3 5" xfId="4711" xr:uid="{00000000-0005-0000-0000-000067120000}"/>
    <cellStyle name="Normal 57 2 4" xfId="4712" xr:uid="{00000000-0005-0000-0000-000068120000}"/>
    <cellStyle name="Normal 57 2 4 2" xfId="4713" xr:uid="{00000000-0005-0000-0000-000069120000}"/>
    <cellStyle name="Normal 57 2 4 2 2" xfId="4714" xr:uid="{00000000-0005-0000-0000-00006A120000}"/>
    <cellStyle name="Normal 57 2 4 3" xfId="4715" xr:uid="{00000000-0005-0000-0000-00006B120000}"/>
    <cellStyle name="Normal 57 2 4 4" xfId="4716" xr:uid="{00000000-0005-0000-0000-00006C120000}"/>
    <cellStyle name="Normal 57 2 5" xfId="4717" xr:uid="{00000000-0005-0000-0000-00006D120000}"/>
    <cellStyle name="Normal 57 2 5 2" xfId="4718" xr:uid="{00000000-0005-0000-0000-00006E120000}"/>
    <cellStyle name="Normal 57 2 5 2 2" xfId="4719" xr:uid="{00000000-0005-0000-0000-00006F120000}"/>
    <cellStyle name="Normal 57 2 5 3" xfId="4720" xr:uid="{00000000-0005-0000-0000-000070120000}"/>
    <cellStyle name="Normal 57 2 5 4" xfId="4721" xr:uid="{00000000-0005-0000-0000-000071120000}"/>
    <cellStyle name="Normal 57 2 6" xfId="4722" xr:uid="{00000000-0005-0000-0000-000072120000}"/>
    <cellStyle name="Normal 57 2 6 2" xfId="4723" xr:uid="{00000000-0005-0000-0000-000073120000}"/>
    <cellStyle name="Normal 57 2 7" xfId="4724" xr:uid="{00000000-0005-0000-0000-000074120000}"/>
    <cellStyle name="Normal 57 2 7 2" xfId="4725" xr:uid="{00000000-0005-0000-0000-000075120000}"/>
    <cellStyle name="Normal 57 2 8" xfId="4726" xr:uid="{00000000-0005-0000-0000-000076120000}"/>
    <cellStyle name="Normal 57 2 9" xfId="4727" xr:uid="{00000000-0005-0000-0000-000077120000}"/>
    <cellStyle name="Normal 57 3" xfId="4728" xr:uid="{00000000-0005-0000-0000-000078120000}"/>
    <cellStyle name="Normal 57 3 2" xfId="4729" xr:uid="{00000000-0005-0000-0000-000079120000}"/>
    <cellStyle name="Normal 57 3 2 2" xfId="4730" xr:uid="{00000000-0005-0000-0000-00007A120000}"/>
    <cellStyle name="Normal 57 3 2 2 2" xfId="4731" xr:uid="{00000000-0005-0000-0000-00007B120000}"/>
    <cellStyle name="Normal 57 3 2 2 2 2" xfId="4732" xr:uid="{00000000-0005-0000-0000-00007C120000}"/>
    <cellStyle name="Normal 57 3 2 2 3" xfId="4733" xr:uid="{00000000-0005-0000-0000-00007D120000}"/>
    <cellStyle name="Normal 57 3 2 3" xfId="4734" xr:uid="{00000000-0005-0000-0000-00007E120000}"/>
    <cellStyle name="Normal 57 3 2 3 2" xfId="4735" xr:uid="{00000000-0005-0000-0000-00007F120000}"/>
    <cellStyle name="Normal 57 3 2 4" xfId="4736" xr:uid="{00000000-0005-0000-0000-000080120000}"/>
    <cellStyle name="Normal 57 3 3" xfId="4737" xr:uid="{00000000-0005-0000-0000-000081120000}"/>
    <cellStyle name="Normal 57 3 3 2" xfId="4738" xr:uid="{00000000-0005-0000-0000-000082120000}"/>
    <cellStyle name="Normal 57 3 3 2 2" xfId="4739" xr:uid="{00000000-0005-0000-0000-000083120000}"/>
    <cellStyle name="Normal 57 3 3 3" xfId="4740" xr:uid="{00000000-0005-0000-0000-000084120000}"/>
    <cellStyle name="Normal 57 3 4" xfId="4741" xr:uid="{00000000-0005-0000-0000-000085120000}"/>
    <cellStyle name="Normal 57 3 4 2" xfId="4742" xr:uid="{00000000-0005-0000-0000-000086120000}"/>
    <cellStyle name="Normal 57 3 5" xfId="4743" xr:uid="{00000000-0005-0000-0000-000087120000}"/>
    <cellStyle name="Normal 57 4" xfId="4744" xr:uid="{00000000-0005-0000-0000-000088120000}"/>
    <cellStyle name="Normal 57 4 2" xfId="4745" xr:uid="{00000000-0005-0000-0000-000089120000}"/>
    <cellStyle name="Normal 57 4 2 2" xfId="4746" xr:uid="{00000000-0005-0000-0000-00008A120000}"/>
    <cellStyle name="Normal 57 4 2 2 2" xfId="4747" xr:uid="{00000000-0005-0000-0000-00008B120000}"/>
    <cellStyle name="Normal 57 4 2 3" xfId="4748" xr:uid="{00000000-0005-0000-0000-00008C120000}"/>
    <cellStyle name="Normal 57 4 3" xfId="4749" xr:uid="{00000000-0005-0000-0000-00008D120000}"/>
    <cellStyle name="Normal 57 4 3 2" xfId="4750" xr:uid="{00000000-0005-0000-0000-00008E120000}"/>
    <cellStyle name="Normal 57 4 4" xfId="4751" xr:uid="{00000000-0005-0000-0000-00008F120000}"/>
    <cellStyle name="Normal 57 5" xfId="4752" xr:uid="{00000000-0005-0000-0000-000090120000}"/>
    <cellStyle name="Normal 57 5 2" xfId="4753" xr:uid="{00000000-0005-0000-0000-000091120000}"/>
    <cellStyle name="Normal 57 5 2 2" xfId="4754" xr:uid="{00000000-0005-0000-0000-000092120000}"/>
    <cellStyle name="Normal 57 5 3" xfId="4755" xr:uid="{00000000-0005-0000-0000-000093120000}"/>
    <cellStyle name="Normal 57 6" xfId="4756" xr:uid="{00000000-0005-0000-0000-000094120000}"/>
    <cellStyle name="Normal 57 6 2" xfId="4757" xr:uid="{00000000-0005-0000-0000-000095120000}"/>
    <cellStyle name="Normal 57 7" xfId="4758" xr:uid="{00000000-0005-0000-0000-000096120000}"/>
    <cellStyle name="Normal 58" xfId="4759" xr:uid="{00000000-0005-0000-0000-000097120000}"/>
    <cellStyle name="Normal 58 2" xfId="4760" xr:uid="{00000000-0005-0000-0000-000098120000}"/>
    <cellStyle name="Normal 58 2 2" xfId="4761" xr:uid="{00000000-0005-0000-0000-000099120000}"/>
    <cellStyle name="Normal 58 2 2 2" xfId="4762" xr:uid="{00000000-0005-0000-0000-00009A120000}"/>
    <cellStyle name="Normal 58 2 2 2 2" xfId="4763" xr:uid="{00000000-0005-0000-0000-00009B120000}"/>
    <cellStyle name="Normal 58 2 2 2 2 2" xfId="4764" xr:uid="{00000000-0005-0000-0000-00009C120000}"/>
    <cellStyle name="Normal 58 2 2 2 3" xfId="4765" xr:uid="{00000000-0005-0000-0000-00009D120000}"/>
    <cellStyle name="Normal 58 2 2 2 4" xfId="4766" xr:uid="{00000000-0005-0000-0000-00009E120000}"/>
    <cellStyle name="Normal 58 2 2 3" xfId="4767" xr:uid="{00000000-0005-0000-0000-00009F120000}"/>
    <cellStyle name="Normal 58 2 2 3 2" xfId="4768" xr:uid="{00000000-0005-0000-0000-0000A0120000}"/>
    <cellStyle name="Normal 58 2 2 4" xfId="4769" xr:uid="{00000000-0005-0000-0000-0000A1120000}"/>
    <cellStyle name="Normal 58 2 2 4 2" xfId="4770" xr:uid="{00000000-0005-0000-0000-0000A2120000}"/>
    <cellStyle name="Normal 58 2 2 5" xfId="4771" xr:uid="{00000000-0005-0000-0000-0000A3120000}"/>
    <cellStyle name="Normal 58 2 2 6" xfId="4772" xr:uid="{00000000-0005-0000-0000-0000A4120000}"/>
    <cellStyle name="Normal 58 2 3" xfId="4773" xr:uid="{00000000-0005-0000-0000-0000A5120000}"/>
    <cellStyle name="Normal 58 2 3 2" xfId="4774" xr:uid="{00000000-0005-0000-0000-0000A6120000}"/>
    <cellStyle name="Normal 58 2 3 2 2" xfId="4775" xr:uid="{00000000-0005-0000-0000-0000A7120000}"/>
    <cellStyle name="Normal 58 2 3 2 2 2" xfId="4776" xr:uid="{00000000-0005-0000-0000-0000A8120000}"/>
    <cellStyle name="Normal 58 2 3 2 3" xfId="4777" xr:uid="{00000000-0005-0000-0000-0000A9120000}"/>
    <cellStyle name="Normal 58 2 3 2 4" xfId="4778" xr:uid="{00000000-0005-0000-0000-0000AA120000}"/>
    <cellStyle name="Normal 58 2 3 3" xfId="4779" xr:uid="{00000000-0005-0000-0000-0000AB120000}"/>
    <cellStyle name="Normal 58 2 3 3 2" xfId="4780" xr:uid="{00000000-0005-0000-0000-0000AC120000}"/>
    <cellStyle name="Normal 58 2 3 4" xfId="4781" xr:uid="{00000000-0005-0000-0000-0000AD120000}"/>
    <cellStyle name="Normal 58 2 3 5" xfId="4782" xr:uid="{00000000-0005-0000-0000-0000AE120000}"/>
    <cellStyle name="Normal 58 2 4" xfId="4783" xr:uid="{00000000-0005-0000-0000-0000AF120000}"/>
    <cellStyle name="Normal 58 2 4 2" xfId="4784" xr:uid="{00000000-0005-0000-0000-0000B0120000}"/>
    <cellStyle name="Normal 58 2 4 2 2" xfId="4785" xr:uid="{00000000-0005-0000-0000-0000B1120000}"/>
    <cellStyle name="Normal 58 2 4 3" xfId="4786" xr:uid="{00000000-0005-0000-0000-0000B2120000}"/>
    <cellStyle name="Normal 58 2 4 4" xfId="4787" xr:uid="{00000000-0005-0000-0000-0000B3120000}"/>
    <cellStyle name="Normal 58 2 5" xfId="4788" xr:uid="{00000000-0005-0000-0000-0000B4120000}"/>
    <cellStyle name="Normal 58 2 5 2" xfId="4789" xr:uid="{00000000-0005-0000-0000-0000B5120000}"/>
    <cellStyle name="Normal 58 2 5 2 2" xfId="4790" xr:uid="{00000000-0005-0000-0000-0000B6120000}"/>
    <cellStyle name="Normal 58 2 5 3" xfId="4791" xr:uid="{00000000-0005-0000-0000-0000B7120000}"/>
    <cellStyle name="Normal 58 2 5 4" xfId="4792" xr:uid="{00000000-0005-0000-0000-0000B8120000}"/>
    <cellStyle name="Normal 58 2 6" xfId="4793" xr:uid="{00000000-0005-0000-0000-0000B9120000}"/>
    <cellStyle name="Normal 58 2 6 2" xfId="4794" xr:uid="{00000000-0005-0000-0000-0000BA120000}"/>
    <cellStyle name="Normal 58 2 7" xfId="4795" xr:uid="{00000000-0005-0000-0000-0000BB120000}"/>
    <cellStyle name="Normal 58 2 7 2" xfId="4796" xr:uid="{00000000-0005-0000-0000-0000BC120000}"/>
    <cellStyle name="Normal 58 2 8" xfId="4797" xr:uid="{00000000-0005-0000-0000-0000BD120000}"/>
    <cellStyle name="Normal 58 2 9" xfId="4798" xr:uid="{00000000-0005-0000-0000-0000BE120000}"/>
    <cellStyle name="Normal 58 3" xfId="4799" xr:uid="{00000000-0005-0000-0000-0000BF120000}"/>
    <cellStyle name="Normal 58 3 2" xfId="4800" xr:uid="{00000000-0005-0000-0000-0000C0120000}"/>
    <cellStyle name="Normal 58 3 2 2" xfId="4801" xr:uid="{00000000-0005-0000-0000-0000C1120000}"/>
    <cellStyle name="Normal 58 3 2 2 2" xfId="4802" xr:uid="{00000000-0005-0000-0000-0000C2120000}"/>
    <cellStyle name="Normal 58 3 2 2 2 2" xfId="4803" xr:uid="{00000000-0005-0000-0000-0000C3120000}"/>
    <cellStyle name="Normal 58 3 2 2 3" xfId="4804" xr:uid="{00000000-0005-0000-0000-0000C4120000}"/>
    <cellStyle name="Normal 58 3 2 3" xfId="4805" xr:uid="{00000000-0005-0000-0000-0000C5120000}"/>
    <cellStyle name="Normal 58 3 2 3 2" xfId="4806" xr:uid="{00000000-0005-0000-0000-0000C6120000}"/>
    <cellStyle name="Normal 58 3 2 4" xfId="4807" xr:uid="{00000000-0005-0000-0000-0000C7120000}"/>
    <cellStyle name="Normal 58 3 3" xfId="4808" xr:uid="{00000000-0005-0000-0000-0000C8120000}"/>
    <cellStyle name="Normal 58 3 3 2" xfId="4809" xr:uid="{00000000-0005-0000-0000-0000C9120000}"/>
    <cellStyle name="Normal 58 3 3 2 2" xfId="4810" xr:uid="{00000000-0005-0000-0000-0000CA120000}"/>
    <cellStyle name="Normal 58 3 3 3" xfId="4811" xr:uid="{00000000-0005-0000-0000-0000CB120000}"/>
    <cellStyle name="Normal 58 3 4" xfId="4812" xr:uid="{00000000-0005-0000-0000-0000CC120000}"/>
    <cellStyle name="Normal 58 3 4 2" xfId="4813" xr:uid="{00000000-0005-0000-0000-0000CD120000}"/>
    <cellStyle name="Normal 58 3 5" xfId="4814" xr:uid="{00000000-0005-0000-0000-0000CE120000}"/>
    <cellStyle name="Normal 58 4" xfId="4815" xr:uid="{00000000-0005-0000-0000-0000CF120000}"/>
    <cellStyle name="Normal 58 4 2" xfId="4816" xr:uid="{00000000-0005-0000-0000-0000D0120000}"/>
    <cellStyle name="Normal 58 4 2 2" xfId="4817" xr:uid="{00000000-0005-0000-0000-0000D1120000}"/>
    <cellStyle name="Normal 58 4 2 2 2" xfId="4818" xr:uid="{00000000-0005-0000-0000-0000D2120000}"/>
    <cellStyle name="Normal 58 4 2 3" xfId="4819" xr:uid="{00000000-0005-0000-0000-0000D3120000}"/>
    <cellStyle name="Normal 58 4 3" xfId="4820" xr:uid="{00000000-0005-0000-0000-0000D4120000}"/>
    <cellStyle name="Normal 58 4 3 2" xfId="4821" xr:uid="{00000000-0005-0000-0000-0000D5120000}"/>
    <cellStyle name="Normal 58 4 4" xfId="4822" xr:uid="{00000000-0005-0000-0000-0000D6120000}"/>
    <cellStyle name="Normal 58 5" xfId="4823" xr:uid="{00000000-0005-0000-0000-0000D7120000}"/>
    <cellStyle name="Normal 58 5 2" xfId="4824" xr:uid="{00000000-0005-0000-0000-0000D8120000}"/>
    <cellStyle name="Normal 58 5 2 2" xfId="4825" xr:uid="{00000000-0005-0000-0000-0000D9120000}"/>
    <cellStyle name="Normal 58 5 2 2 2" xfId="4826" xr:uid="{00000000-0005-0000-0000-0000DA120000}"/>
    <cellStyle name="Normal 58 5 2 3" xfId="4827" xr:uid="{00000000-0005-0000-0000-0000DB120000}"/>
    <cellStyle name="Normal 58 5 3" xfId="4828" xr:uid="{00000000-0005-0000-0000-0000DC120000}"/>
    <cellStyle name="Normal 58 5 3 2" xfId="4829" xr:uid="{00000000-0005-0000-0000-0000DD120000}"/>
    <cellStyle name="Normal 58 5 4" xfId="4830" xr:uid="{00000000-0005-0000-0000-0000DE120000}"/>
    <cellStyle name="Normal 58 6" xfId="4831" xr:uid="{00000000-0005-0000-0000-0000DF120000}"/>
    <cellStyle name="Normal 58 6 2" xfId="4832" xr:uid="{00000000-0005-0000-0000-0000E0120000}"/>
    <cellStyle name="Normal 58 6 2 2" xfId="4833" xr:uid="{00000000-0005-0000-0000-0000E1120000}"/>
    <cellStyle name="Normal 58 6 3" xfId="4834" xr:uid="{00000000-0005-0000-0000-0000E2120000}"/>
    <cellStyle name="Normal 58 7" xfId="4835" xr:uid="{00000000-0005-0000-0000-0000E3120000}"/>
    <cellStyle name="Normal 58 7 2" xfId="4836" xr:uid="{00000000-0005-0000-0000-0000E4120000}"/>
    <cellStyle name="Normal 58 8" xfId="4837" xr:uid="{00000000-0005-0000-0000-0000E5120000}"/>
    <cellStyle name="Normal 59" xfId="4838" xr:uid="{00000000-0005-0000-0000-0000E6120000}"/>
    <cellStyle name="Normal 59 2" xfId="4839" xr:uid="{00000000-0005-0000-0000-0000E7120000}"/>
    <cellStyle name="Normal 59 2 2" xfId="4840" xr:uid="{00000000-0005-0000-0000-0000E8120000}"/>
    <cellStyle name="Normal 59 2 2 2" xfId="4841" xr:uid="{00000000-0005-0000-0000-0000E9120000}"/>
    <cellStyle name="Normal 59 2 2 2 2" xfId="4842" xr:uid="{00000000-0005-0000-0000-0000EA120000}"/>
    <cellStyle name="Normal 59 2 2 2 2 2" xfId="4843" xr:uid="{00000000-0005-0000-0000-0000EB120000}"/>
    <cellStyle name="Normal 59 2 2 2 3" xfId="4844" xr:uid="{00000000-0005-0000-0000-0000EC120000}"/>
    <cellStyle name="Normal 59 2 2 2 4" xfId="4845" xr:uid="{00000000-0005-0000-0000-0000ED120000}"/>
    <cellStyle name="Normal 59 2 2 3" xfId="4846" xr:uid="{00000000-0005-0000-0000-0000EE120000}"/>
    <cellStyle name="Normal 59 2 2 3 2" xfId="4847" xr:uid="{00000000-0005-0000-0000-0000EF120000}"/>
    <cellStyle name="Normal 59 2 2 4" xfId="4848" xr:uid="{00000000-0005-0000-0000-0000F0120000}"/>
    <cellStyle name="Normal 59 2 2 4 2" xfId="4849" xr:uid="{00000000-0005-0000-0000-0000F1120000}"/>
    <cellStyle name="Normal 59 2 2 5" xfId="4850" xr:uid="{00000000-0005-0000-0000-0000F2120000}"/>
    <cellStyle name="Normal 59 2 2 6" xfId="4851" xr:uid="{00000000-0005-0000-0000-0000F3120000}"/>
    <cellStyle name="Normal 59 2 3" xfId="4852" xr:uid="{00000000-0005-0000-0000-0000F4120000}"/>
    <cellStyle name="Normal 59 2 3 2" xfId="4853" xr:uid="{00000000-0005-0000-0000-0000F5120000}"/>
    <cellStyle name="Normal 59 2 3 2 2" xfId="4854" xr:uid="{00000000-0005-0000-0000-0000F6120000}"/>
    <cellStyle name="Normal 59 2 3 2 2 2" xfId="4855" xr:uid="{00000000-0005-0000-0000-0000F7120000}"/>
    <cellStyle name="Normal 59 2 3 2 3" xfId="4856" xr:uid="{00000000-0005-0000-0000-0000F8120000}"/>
    <cellStyle name="Normal 59 2 3 2 4" xfId="4857" xr:uid="{00000000-0005-0000-0000-0000F9120000}"/>
    <cellStyle name="Normal 59 2 3 3" xfId="4858" xr:uid="{00000000-0005-0000-0000-0000FA120000}"/>
    <cellStyle name="Normal 59 2 3 3 2" xfId="4859" xr:uid="{00000000-0005-0000-0000-0000FB120000}"/>
    <cellStyle name="Normal 59 2 3 4" xfId="4860" xr:uid="{00000000-0005-0000-0000-0000FC120000}"/>
    <cellStyle name="Normal 59 2 3 5" xfId="4861" xr:uid="{00000000-0005-0000-0000-0000FD120000}"/>
    <cellStyle name="Normal 59 2 4" xfId="4862" xr:uid="{00000000-0005-0000-0000-0000FE120000}"/>
    <cellStyle name="Normal 59 2 4 2" xfId="4863" xr:uid="{00000000-0005-0000-0000-0000FF120000}"/>
    <cellStyle name="Normal 59 2 4 2 2" xfId="4864" xr:uid="{00000000-0005-0000-0000-000000130000}"/>
    <cellStyle name="Normal 59 2 4 3" xfId="4865" xr:uid="{00000000-0005-0000-0000-000001130000}"/>
    <cellStyle name="Normal 59 2 4 4" xfId="4866" xr:uid="{00000000-0005-0000-0000-000002130000}"/>
    <cellStyle name="Normal 59 2 5" xfId="4867" xr:uid="{00000000-0005-0000-0000-000003130000}"/>
    <cellStyle name="Normal 59 2 5 2" xfId="4868" xr:uid="{00000000-0005-0000-0000-000004130000}"/>
    <cellStyle name="Normal 59 2 5 2 2" xfId="4869" xr:uid="{00000000-0005-0000-0000-000005130000}"/>
    <cellStyle name="Normal 59 2 5 3" xfId="4870" xr:uid="{00000000-0005-0000-0000-000006130000}"/>
    <cellStyle name="Normal 59 2 5 4" xfId="4871" xr:uid="{00000000-0005-0000-0000-000007130000}"/>
    <cellStyle name="Normal 59 2 6" xfId="4872" xr:uid="{00000000-0005-0000-0000-000008130000}"/>
    <cellStyle name="Normal 59 2 6 2" xfId="4873" xr:uid="{00000000-0005-0000-0000-000009130000}"/>
    <cellStyle name="Normal 59 2 7" xfId="4874" xr:uid="{00000000-0005-0000-0000-00000A130000}"/>
    <cellStyle name="Normal 59 2 7 2" xfId="4875" xr:uid="{00000000-0005-0000-0000-00000B130000}"/>
    <cellStyle name="Normal 59 2 8" xfId="4876" xr:uid="{00000000-0005-0000-0000-00000C130000}"/>
    <cellStyle name="Normal 59 2 9" xfId="4877" xr:uid="{00000000-0005-0000-0000-00000D130000}"/>
    <cellStyle name="Normal 59 3" xfId="4878" xr:uid="{00000000-0005-0000-0000-00000E130000}"/>
    <cellStyle name="Normal 59 3 2" xfId="4879" xr:uid="{00000000-0005-0000-0000-00000F130000}"/>
    <cellStyle name="Normal 59 3 2 2" xfId="4880" xr:uid="{00000000-0005-0000-0000-000010130000}"/>
    <cellStyle name="Normal 59 3 2 2 2" xfId="4881" xr:uid="{00000000-0005-0000-0000-000011130000}"/>
    <cellStyle name="Normal 59 3 2 2 2 2" xfId="4882" xr:uid="{00000000-0005-0000-0000-000012130000}"/>
    <cellStyle name="Normal 59 3 2 2 3" xfId="4883" xr:uid="{00000000-0005-0000-0000-000013130000}"/>
    <cellStyle name="Normal 59 3 2 3" xfId="4884" xr:uid="{00000000-0005-0000-0000-000014130000}"/>
    <cellStyle name="Normal 59 3 2 3 2" xfId="4885" xr:uid="{00000000-0005-0000-0000-000015130000}"/>
    <cellStyle name="Normal 59 3 2 4" xfId="4886" xr:uid="{00000000-0005-0000-0000-000016130000}"/>
    <cellStyle name="Normal 59 3 3" xfId="4887" xr:uid="{00000000-0005-0000-0000-000017130000}"/>
    <cellStyle name="Normal 59 3 3 2" xfId="4888" xr:uid="{00000000-0005-0000-0000-000018130000}"/>
    <cellStyle name="Normal 59 3 3 2 2" xfId="4889" xr:uid="{00000000-0005-0000-0000-000019130000}"/>
    <cellStyle name="Normal 59 3 3 3" xfId="4890" xr:uid="{00000000-0005-0000-0000-00001A130000}"/>
    <cellStyle name="Normal 59 3 4" xfId="4891" xr:uid="{00000000-0005-0000-0000-00001B130000}"/>
    <cellStyle name="Normal 59 3 4 2" xfId="4892" xr:uid="{00000000-0005-0000-0000-00001C130000}"/>
    <cellStyle name="Normal 59 3 5" xfId="4893" xr:uid="{00000000-0005-0000-0000-00001D130000}"/>
    <cellStyle name="Normal 59 4" xfId="4894" xr:uid="{00000000-0005-0000-0000-00001E130000}"/>
    <cellStyle name="Normal 59 4 2" xfId="4895" xr:uid="{00000000-0005-0000-0000-00001F130000}"/>
    <cellStyle name="Normal 59 4 2 2" xfId="4896" xr:uid="{00000000-0005-0000-0000-000020130000}"/>
    <cellStyle name="Normal 59 4 2 2 2" xfId="4897" xr:uid="{00000000-0005-0000-0000-000021130000}"/>
    <cellStyle name="Normal 59 4 2 3" xfId="4898" xr:uid="{00000000-0005-0000-0000-000022130000}"/>
    <cellStyle name="Normal 59 4 3" xfId="4899" xr:uid="{00000000-0005-0000-0000-000023130000}"/>
    <cellStyle name="Normal 59 4 3 2" xfId="4900" xr:uid="{00000000-0005-0000-0000-000024130000}"/>
    <cellStyle name="Normal 59 4 4" xfId="4901" xr:uid="{00000000-0005-0000-0000-000025130000}"/>
    <cellStyle name="Normal 59 5" xfId="4902" xr:uid="{00000000-0005-0000-0000-000026130000}"/>
    <cellStyle name="Normal 59 5 2" xfId="4903" xr:uid="{00000000-0005-0000-0000-000027130000}"/>
    <cellStyle name="Normal 59 5 2 2" xfId="4904" xr:uid="{00000000-0005-0000-0000-000028130000}"/>
    <cellStyle name="Normal 59 5 2 2 2" xfId="4905" xr:uid="{00000000-0005-0000-0000-000029130000}"/>
    <cellStyle name="Normal 59 5 2 3" xfId="4906" xr:uid="{00000000-0005-0000-0000-00002A130000}"/>
    <cellStyle name="Normal 59 5 3" xfId="4907" xr:uid="{00000000-0005-0000-0000-00002B130000}"/>
    <cellStyle name="Normal 59 5 3 2" xfId="4908" xr:uid="{00000000-0005-0000-0000-00002C130000}"/>
    <cellStyle name="Normal 59 5 4" xfId="4909" xr:uid="{00000000-0005-0000-0000-00002D130000}"/>
    <cellStyle name="Normal 59 6" xfId="4910" xr:uid="{00000000-0005-0000-0000-00002E130000}"/>
    <cellStyle name="Normal 59 6 2" xfId="4911" xr:uid="{00000000-0005-0000-0000-00002F130000}"/>
    <cellStyle name="Normal 59 6 2 2" xfId="4912" xr:uid="{00000000-0005-0000-0000-000030130000}"/>
    <cellStyle name="Normal 59 6 3" xfId="4913" xr:uid="{00000000-0005-0000-0000-000031130000}"/>
    <cellStyle name="Normal 59 7" xfId="4914" xr:uid="{00000000-0005-0000-0000-000032130000}"/>
    <cellStyle name="Normal 59 7 2" xfId="4915" xr:uid="{00000000-0005-0000-0000-000033130000}"/>
    <cellStyle name="Normal 59 8" xfId="4916" xr:uid="{00000000-0005-0000-0000-000034130000}"/>
    <cellStyle name="Normal 6" xfId="4917" xr:uid="{00000000-0005-0000-0000-000035130000}"/>
    <cellStyle name="Normal 6 2" xfId="4918" xr:uid="{00000000-0005-0000-0000-000036130000}"/>
    <cellStyle name="Normal 6 2 2" xfId="4919" xr:uid="{00000000-0005-0000-0000-000037130000}"/>
    <cellStyle name="Normal 6 2 2 2" xfId="4920" xr:uid="{00000000-0005-0000-0000-000038130000}"/>
    <cellStyle name="Normal 6 2 2 3" xfId="4921" xr:uid="{00000000-0005-0000-0000-000039130000}"/>
    <cellStyle name="Normal 6 2 3" xfId="4922" xr:uid="{00000000-0005-0000-0000-00003A130000}"/>
    <cellStyle name="Normal 6 3" xfId="4923" xr:uid="{00000000-0005-0000-0000-00003B130000}"/>
    <cellStyle name="Normal 6 3 2" xfId="4924" xr:uid="{00000000-0005-0000-0000-00003C130000}"/>
    <cellStyle name="Normal 6 3 2 2" xfId="4925" xr:uid="{00000000-0005-0000-0000-00003D130000}"/>
    <cellStyle name="Normal 6 3 2 2 2" xfId="4926" xr:uid="{00000000-0005-0000-0000-00003E130000}"/>
    <cellStyle name="Normal 6 3 2 2 2 2" xfId="4927" xr:uid="{00000000-0005-0000-0000-00003F130000}"/>
    <cellStyle name="Normal 6 3 2 2 3" xfId="4928" xr:uid="{00000000-0005-0000-0000-000040130000}"/>
    <cellStyle name="Normal 6 3 2 3" xfId="4929" xr:uid="{00000000-0005-0000-0000-000041130000}"/>
    <cellStyle name="Normal 6 3 2 3 2" xfId="4930" xr:uid="{00000000-0005-0000-0000-000042130000}"/>
    <cellStyle name="Normal 6 3 2 4" xfId="4931" xr:uid="{00000000-0005-0000-0000-000043130000}"/>
    <cellStyle name="Normal 6 3 2 5" xfId="4932" xr:uid="{00000000-0005-0000-0000-000044130000}"/>
    <cellStyle name="Normal 6 3 3" xfId="4933" xr:uid="{00000000-0005-0000-0000-000045130000}"/>
    <cellStyle name="Normal 6 3 3 2" xfId="4934" xr:uid="{00000000-0005-0000-0000-000046130000}"/>
    <cellStyle name="Normal 6 3 3 2 2" xfId="4935" xr:uid="{00000000-0005-0000-0000-000047130000}"/>
    <cellStyle name="Normal 6 3 3 2 2 2" xfId="4936" xr:uid="{00000000-0005-0000-0000-000048130000}"/>
    <cellStyle name="Normal 6 3 3 2 3" xfId="4937" xr:uid="{00000000-0005-0000-0000-000049130000}"/>
    <cellStyle name="Normal 6 3 3 3" xfId="4938" xr:uid="{00000000-0005-0000-0000-00004A130000}"/>
    <cellStyle name="Normal 6 3 3 3 2" xfId="4939" xr:uid="{00000000-0005-0000-0000-00004B130000}"/>
    <cellStyle name="Normal 6 3 3 4" xfId="4940" xr:uid="{00000000-0005-0000-0000-00004C130000}"/>
    <cellStyle name="Normal 6 3 4" xfId="4941" xr:uid="{00000000-0005-0000-0000-00004D130000}"/>
    <cellStyle name="Normal 6 3 4 2" xfId="4942" xr:uid="{00000000-0005-0000-0000-00004E130000}"/>
    <cellStyle name="Normal 6 3 4 2 2" xfId="4943" xr:uid="{00000000-0005-0000-0000-00004F130000}"/>
    <cellStyle name="Normal 6 3 4 3" xfId="4944" xr:uid="{00000000-0005-0000-0000-000050130000}"/>
    <cellStyle name="Normal 6 3 5" xfId="4945" xr:uid="{00000000-0005-0000-0000-000051130000}"/>
    <cellStyle name="Normal 6 3 5 2" xfId="4946" xr:uid="{00000000-0005-0000-0000-000052130000}"/>
    <cellStyle name="Normal 6 3 6" xfId="4947" xr:uid="{00000000-0005-0000-0000-000053130000}"/>
    <cellStyle name="Normal 6 3 7" xfId="4948" xr:uid="{00000000-0005-0000-0000-000054130000}"/>
    <cellStyle name="Normal 6 4" xfId="4949" xr:uid="{00000000-0005-0000-0000-000055130000}"/>
    <cellStyle name="Normal 6 4 2" xfId="4950" xr:uid="{00000000-0005-0000-0000-000056130000}"/>
    <cellStyle name="Normal 6 5" xfId="4951" xr:uid="{00000000-0005-0000-0000-000057130000}"/>
    <cellStyle name="Normal 6 5 2" xfId="4952" xr:uid="{00000000-0005-0000-0000-000058130000}"/>
    <cellStyle name="Normal 6 5 2 2" xfId="4953" xr:uid="{00000000-0005-0000-0000-000059130000}"/>
    <cellStyle name="Normal 6 5 2 2 2" xfId="4954" xr:uid="{00000000-0005-0000-0000-00005A130000}"/>
    <cellStyle name="Normal 6 5 2 3" xfId="4955" xr:uid="{00000000-0005-0000-0000-00005B130000}"/>
    <cellStyle name="Normal 6 5 3" xfId="4956" xr:uid="{00000000-0005-0000-0000-00005C130000}"/>
    <cellStyle name="Normal 6 5 3 2" xfId="4957" xr:uid="{00000000-0005-0000-0000-00005D130000}"/>
    <cellStyle name="Normal 6 5 4" xfId="4958" xr:uid="{00000000-0005-0000-0000-00005E130000}"/>
    <cellStyle name="Normal 6 5 5" xfId="4959" xr:uid="{00000000-0005-0000-0000-00005F130000}"/>
    <cellStyle name="Normal 6 6" xfId="4960" xr:uid="{00000000-0005-0000-0000-000060130000}"/>
    <cellStyle name="Normal 6 6 2" xfId="4961" xr:uid="{00000000-0005-0000-0000-000061130000}"/>
    <cellStyle name="Normal 6 6 2 2" xfId="4962" xr:uid="{00000000-0005-0000-0000-000062130000}"/>
    <cellStyle name="Normal 6 6 2 2 2" xfId="4963" xr:uid="{00000000-0005-0000-0000-000063130000}"/>
    <cellStyle name="Normal 6 6 2 3" xfId="4964" xr:uid="{00000000-0005-0000-0000-000064130000}"/>
    <cellStyle name="Normal 6 6 3" xfId="4965" xr:uid="{00000000-0005-0000-0000-000065130000}"/>
    <cellStyle name="Normal 6 6 3 2" xfId="4966" xr:uid="{00000000-0005-0000-0000-000066130000}"/>
    <cellStyle name="Normal 6 6 4" xfId="4967" xr:uid="{00000000-0005-0000-0000-000067130000}"/>
    <cellStyle name="Normal 6 7" xfId="4968" xr:uid="{00000000-0005-0000-0000-000068130000}"/>
    <cellStyle name="Normal 6 7 2" xfId="4969" xr:uid="{00000000-0005-0000-0000-000069130000}"/>
    <cellStyle name="Normal 6 8" xfId="4970" xr:uid="{00000000-0005-0000-0000-00006A130000}"/>
    <cellStyle name="Normal 6_Dual_Mode_Time" xfId="4971" xr:uid="{00000000-0005-0000-0000-00006B130000}"/>
    <cellStyle name="Normal 60" xfId="4972" xr:uid="{00000000-0005-0000-0000-00006C130000}"/>
    <cellStyle name="Normal 60 2" xfId="4973" xr:uid="{00000000-0005-0000-0000-00006D130000}"/>
    <cellStyle name="Normal 60 2 2" xfId="4974" xr:uid="{00000000-0005-0000-0000-00006E130000}"/>
    <cellStyle name="Normal 60 2 2 2" xfId="4975" xr:uid="{00000000-0005-0000-0000-00006F130000}"/>
    <cellStyle name="Normal 60 2 2 2 2" xfId="4976" xr:uid="{00000000-0005-0000-0000-000070130000}"/>
    <cellStyle name="Normal 60 2 2 2 2 2" xfId="4977" xr:uid="{00000000-0005-0000-0000-000071130000}"/>
    <cellStyle name="Normal 60 2 2 2 3" xfId="4978" xr:uid="{00000000-0005-0000-0000-000072130000}"/>
    <cellStyle name="Normal 60 2 2 2 4" xfId="4979" xr:uid="{00000000-0005-0000-0000-000073130000}"/>
    <cellStyle name="Normal 60 2 2 3" xfId="4980" xr:uid="{00000000-0005-0000-0000-000074130000}"/>
    <cellStyle name="Normal 60 2 2 3 2" xfId="4981" xr:uid="{00000000-0005-0000-0000-000075130000}"/>
    <cellStyle name="Normal 60 2 2 4" xfId="4982" xr:uid="{00000000-0005-0000-0000-000076130000}"/>
    <cellStyle name="Normal 60 2 2 4 2" xfId="4983" xr:uid="{00000000-0005-0000-0000-000077130000}"/>
    <cellStyle name="Normal 60 2 2 5" xfId="4984" xr:uid="{00000000-0005-0000-0000-000078130000}"/>
    <cellStyle name="Normal 60 2 2 6" xfId="4985" xr:uid="{00000000-0005-0000-0000-000079130000}"/>
    <cellStyle name="Normal 60 2 3" xfId="4986" xr:uid="{00000000-0005-0000-0000-00007A130000}"/>
    <cellStyle name="Normal 60 2 3 2" xfId="4987" xr:uid="{00000000-0005-0000-0000-00007B130000}"/>
    <cellStyle name="Normal 60 2 3 2 2" xfId="4988" xr:uid="{00000000-0005-0000-0000-00007C130000}"/>
    <cellStyle name="Normal 60 2 3 2 2 2" xfId="4989" xr:uid="{00000000-0005-0000-0000-00007D130000}"/>
    <cellStyle name="Normal 60 2 3 2 3" xfId="4990" xr:uid="{00000000-0005-0000-0000-00007E130000}"/>
    <cellStyle name="Normal 60 2 3 2 4" xfId="4991" xr:uid="{00000000-0005-0000-0000-00007F130000}"/>
    <cellStyle name="Normal 60 2 3 3" xfId="4992" xr:uid="{00000000-0005-0000-0000-000080130000}"/>
    <cellStyle name="Normal 60 2 3 3 2" xfId="4993" xr:uid="{00000000-0005-0000-0000-000081130000}"/>
    <cellStyle name="Normal 60 2 3 4" xfId="4994" xr:uid="{00000000-0005-0000-0000-000082130000}"/>
    <cellStyle name="Normal 60 2 3 5" xfId="4995" xr:uid="{00000000-0005-0000-0000-000083130000}"/>
    <cellStyle name="Normal 60 2 4" xfId="4996" xr:uid="{00000000-0005-0000-0000-000084130000}"/>
    <cellStyle name="Normal 60 2 4 2" xfId="4997" xr:uid="{00000000-0005-0000-0000-000085130000}"/>
    <cellStyle name="Normal 60 2 4 2 2" xfId="4998" xr:uid="{00000000-0005-0000-0000-000086130000}"/>
    <cellStyle name="Normal 60 2 4 3" xfId="4999" xr:uid="{00000000-0005-0000-0000-000087130000}"/>
    <cellStyle name="Normal 60 2 4 4" xfId="5000" xr:uid="{00000000-0005-0000-0000-000088130000}"/>
    <cellStyle name="Normal 60 2 5" xfId="5001" xr:uid="{00000000-0005-0000-0000-000089130000}"/>
    <cellStyle name="Normal 60 2 5 2" xfId="5002" xr:uid="{00000000-0005-0000-0000-00008A130000}"/>
    <cellStyle name="Normal 60 2 5 2 2" xfId="5003" xr:uid="{00000000-0005-0000-0000-00008B130000}"/>
    <cellStyle name="Normal 60 2 5 3" xfId="5004" xr:uid="{00000000-0005-0000-0000-00008C130000}"/>
    <cellStyle name="Normal 60 2 5 4" xfId="5005" xr:uid="{00000000-0005-0000-0000-00008D130000}"/>
    <cellStyle name="Normal 60 2 6" xfId="5006" xr:uid="{00000000-0005-0000-0000-00008E130000}"/>
    <cellStyle name="Normal 60 2 6 2" xfId="5007" xr:uid="{00000000-0005-0000-0000-00008F130000}"/>
    <cellStyle name="Normal 60 2 7" xfId="5008" xr:uid="{00000000-0005-0000-0000-000090130000}"/>
    <cellStyle name="Normal 60 2 7 2" xfId="5009" xr:uid="{00000000-0005-0000-0000-000091130000}"/>
    <cellStyle name="Normal 60 2 8" xfId="5010" xr:uid="{00000000-0005-0000-0000-000092130000}"/>
    <cellStyle name="Normal 60 2 9" xfId="5011" xr:uid="{00000000-0005-0000-0000-000093130000}"/>
    <cellStyle name="Normal 60 3" xfId="5012" xr:uid="{00000000-0005-0000-0000-000094130000}"/>
    <cellStyle name="Normal 60 3 2" xfId="5013" xr:uid="{00000000-0005-0000-0000-000095130000}"/>
    <cellStyle name="Normal 60 3 2 2" xfId="5014" xr:uid="{00000000-0005-0000-0000-000096130000}"/>
    <cellStyle name="Normal 60 3 2 2 2" xfId="5015" xr:uid="{00000000-0005-0000-0000-000097130000}"/>
    <cellStyle name="Normal 60 3 2 2 2 2" xfId="5016" xr:uid="{00000000-0005-0000-0000-000098130000}"/>
    <cellStyle name="Normal 60 3 2 2 3" xfId="5017" xr:uid="{00000000-0005-0000-0000-000099130000}"/>
    <cellStyle name="Normal 60 3 2 3" xfId="5018" xr:uid="{00000000-0005-0000-0000-00009A130000}"/>
    <cellStyle name="Normal 60 3 2 3 2" xfId="5019" xr:uid="{00000000-0005-0000-0000-00009B130000}"/>
    <cellStyle name="Normal 60 3 2 4" xfId="5020" xr:uid="{00000000-0005-0000-0000-00009C130000}"/>
    <cellStyle name="Normal 60 3 3" xfId="5021" xr:uid="{00000000-0005-0000-0000-00009D130000}"/>
    <cellStyle name="Normal 60 3 3 2" xfId="5022" xr:uid="{00000000-0005-0000-0000-00009E130000}"/>
    <cellStyle name="Normal 60 3 3 2 2" xfId="5023" xr:uid="{00000000-0005-0000-0000-00009F130000}"/>
    <cellStyle name="Normal 60 3 3 3" xfId="5024" xr:uid="{00000000-0005-0000-0000-0000A0130000}"/>
    <cellStyle name="Normal 60 3 4" xfId="5025" xr:uid="{00000000-0005-0000-0000-0000A1130000}"/>
    <cellStyle name="Normal 60 3 4 2" xfId="5026" xr:uid="{00000000-0005-0000-0000-0000A2130000}"/>
    <cellStyle name="Normal 60 3 5" xfId="5027" xr:uid="{00000000-0005-0000-0000-0000A3130000}"/>
    <cellStyle name="Normal 60 4" xfId="5028" xr:uid="{00000000-0005-0000-0000-0000A4130000}"/>
    <cellStyle name="Normal 60 4 2" xfId="5029" xr:uid="{00000000-0005-0000-0000-0000A5130000}"/>
    <cellStyle name="Normal 60 4 2 2" xfId="5030" xr:uid="{00000000-0005-0000-0000-0000A6130000}"/>
    <cellStyle name="Normal 60 4 2 2 2" xfId="5031" xr:uid="{00000000-0005-0000-0000-0000A7130000}"/>
    <cellStyle name="Normal 60 4 2 3" xfId="5032" xr:uid="{00000000-0005-0000-0000-0000A8130000}"/>
    <cellStyle name="Normal 60 4 3" xfId="5033" xr:uid="{00000000-0005-0000-0000-0000A9130000}"/>
    <cellStyle name="Normal 60 4 3 2" xfId="5034" xr:uid="{00000000-0005-0000-0000-0000AA130000}"/>
    <cellStyle name="Normal 60 4 4" xfId="5035" xr:uid="{00000000-0005-0000-0000-0000AB130000}"/>
    <cellStyle name="Normal 60 5" xfId="5036" xr:uid="{00000000-0005-0000-0000-0000AC130000}"/>
    <cellStyle name="Normal 60 5 2" xfId="5037" xr:uid="{00000000-0005-0000-0000-0000AD130000}"/>
    <cellStyle name="Normal 60 5 2 2" xfId="5038" xr:uid="{00000000-0005-0000-0000-0000AE130000}"/>
    <cellStyle name="Normal 60 5 2 2 2" xfId="5039" xr:uid="{00000000-0005-0000-0000-0000AF130000}"/>
    <cellStyle name="Normal 60 5 2 3" xfId="5040" xr:uid="{00000000-0005-0000-0000-0000B0130000}"/>
    <cellStyle name="Normal 60 5 3" xfId="5041" xr:uid="{00000000-0005-0000-0000-0000B1130000}"/>
    <cellStyle name="Normal 60 5 3 2" xfId="5042" xr:uid="{00000000-0005-0000-0000-0000B2130000}"/>
    <cellStyle name="Normal 60 5 4" xfId="5043" xr:uid="{00000000-0005-0000-0000-0000B3130000}"/>
    <cellStyle name="Normal 60 6" xfId="5044" xr:uid="{00000000-0005-0000-0000-0000B4130000}"/>
    <cellStyle name="Normal 60 6 2" xfId="5045" xr:uid="{00000000-0005-0000-0000-0000B5130000}"/>
    <cellStyle name="Normal 60 6 2 2" xfId="5046" xr:uid="{00000000-0005-0000-0000-0000B6130000}"/>
    <cellStyle name="Normal 60 6 3" xfId="5047" xr:uid="{00000000-0005-0000-0000-0000B7130000}"/>
    <cellStyle name="Normal 60 7" xfId="5048" xr:uid="{00000000-0005-0000-0000-0000B8130000}"/>
    <cellStyle name="Normal 60 7 2" xfId="5049" xr:uid="{00000000-0005-0000-0000-0000B9130000}"/>
    <cellStyle name="Normal 60 8" xfId="5050" xr:uid="{00000000-0005-0000-0000-0000BA130000}"/>
    <cellStyle name="Normal 61" xfId="5051" xr:uid="{00000000-0005-0000-0000-0000BB130000}"/>
    <cellStyle name="Normal 61 2" xfId="5052" xr:uid="{00000000-0005-0000-0000-0000BC130000}"/>
    <cellStyle name="Normal 61 2 2" xfId="5053" xr:uid="{00000000-0005-0000-0000-0000BD130000}"/>
    <cellStyle name="Normal 61 2 2 2" xfId="5054" xr:uid="{00000000-0005-0000-0000-0000BE130000}"/>
    <cellStyle name="Normal 61 2 2 2 2" xfId="5055" xr:uid="{00000000-0005-0000-0000-0000BF130000}"/>
    <cellStyle name="Normal 61 2 2 2 2 2" xfId="5056" xr:uid="{00000000-0005-0000-0000-0000C0130000}"/>
    <cellStyle name="Normal 61 2 2 2 3" xfId="5057" xr:uid="{00000000-0005-0000-0000-0000C1130000}"/>
    <cellStyle name="Normal 61 2 2 2 4" xfId="5058" xr:uid="{00000000-0005-0000-0000-0000C2130000}"/>
    <cellStyle name="Normal 61 2 2 3" xfId="5059" xr:uid="{00000000-0005-0000-0000-0000C3130000}"/>
    <cellStyle name="Normal 61 2 2 3 2" xfId="5060" xr:uid="{00000000-0005-0000-0000-0000C4130000}"/>
    <cellStyle name="Normal 61 2 2 4" xfId="5061" xr:uid="{00000000-0005-0000-0000-0000C5130000}"/>
    <cellStyle name="Normal 61 2 2 4 2" xfId="5062" xr:uid="{00000000-0005-0000-0000-0000C6130000}"/>
    <cellStyle name="Normal 61 2 2 5" xfId="5063" xr:uid="{00000000-0005-0000-0000-0000C7130000}"/>
    <cellStyle name="Normal 61 2 2 6" xfId="5064" xr:uid="{00000000-0005-0000-0000-0000C8130000}"/>
    <cellStyle name="Normal 61 2 3" xfId="5065" xr:uid="{00000000-0005-0000-0000-0000C9130000}"/>
    <cellStyle name="Normal 61 2 3 2" xfId="5066" xr:uid="{00000000-0005-0000-0000-0000CA130000}"/>
    <cellStyle name="Normal 61 2 3 2 2" xfId="5067" xr:uid="{00000000-0005-0000-0000-0000CB130000}"/>
    <cellStyle name="Normal 61 2 3 2 2 2" xfId="5068" xr:uid="{00000000-0005-0000-0000-0000CC130000}"/>
    <cellStyle name="Normal 61 2 3 2 3" xfId="5069" xr:uid="{00000000-0005-0000-0000-0000CD130000}"/>
    <cellStyle name="Normal 61 2 3 2 4" xfId="5070" xr:uid="{00000000-0005-0000-0000-0000CE130000}"/>
    <cellStyle name="Normal 61 2 3 3" xfId="5071" xr:uid="{00000000-0005-0000-0000-0000CF130000}"/>
    <cellStyle name="Normal 61 2 3 3 2" xfId="5072" xr:uid="{00000000-0005-0000-0000-0000D0130000}"/>
    <cellStyle name="Normal 61 2 3 4" xfId="5073" xr:uid="{00000000-0005-0000-0000-0000D1130000}"/>
    <cellStyle name="Normal 61 2 3 5" xfId="5074" xr:uid="{00000000-0005-0000-0000-0000D2130000}"/>
    <cellStyle name="Normal 61 2 4" xfId="5075" xr:uid="{00000000-0005-0000-0000-0000D3130000}"/>
    <cellStyle name="Normal 61 2 4 2" xfId="5076" xr:uid="{00000000-0005-0000-0000-0000D4130000}"/>
    <cellStyle name="Normal 61 2 4 2 2" xfId="5077" xr:uid="{00000000-0005-0000-0000-0000D5130000}"/>
    <cellStyle name="Normal 61 2 4 3" xfId="5078" xr:uid="{00000000-0005-0000-0000-0000D6130000}"/>
    <cellStyle name="Normal 61 2 4 4" xfId="5079" xr:uid="{00000000-0005-0000-0000-0000D7130000}"/>
    <cellStyle name="Normal 61 2 5" xfId="5080" xr:uid="{00000000-0005-0000-0000-0000D8130000}"/>
    <cellStyle name="Normal 61 2 5 2" xfId="5081" xr:uid="{00000000-0005-0000-0000-0000D9130000}"/>
    <cellStyle name="Normal 61 2 5 2 2" xfId="5082" xr:uid="{00000000-0005-0000-0000-0000DA130000}"/>
    <cellStyle name="Normal 61 2 5 3" xfId="5083" xr:uid="{00000000-0005-0000-0000-0000DB130000}"/>
    <cellStyle name="Normal 61 2 5 4" xfId="5084" xr:uid="{00000000-0005-0000-0000-0000DC130000}"/>
    <cellStyle name="Normal 61 2 6" xfId="5085" xr:uid="{00000000-0005-0000-0000-0000DD130000}"/>
    <cellStyle name="Normal 61 2 6 2" xfId="5086" xr:uid="{00000000-0005-0000-0000-0000DE130000}"/>
    <cellStyle name="Normal 61 2 7" xfId="5087" xr:uid="{00000000-0005-0000-0000-0000DF130000}"/>
    <cellStyle name="Normal 61 2 7 2" xfId="5088" xr:uid="{00000000-0005-0000-0000-0000E0130000}"/>
    <cellStyle name="Normal 61 2 8" xfId="5089" xr:uid="{00000000-0005-0000-0000-0000E1130000}"/>
    <cellStyle name="Normal 61 2 9" xfId="5090" xr:uid="{00000000-0005-0000-0000-0000E2130000}"/>
    <cellStyle name="Normal 61 3" xfId="5091" xr:uid="{00000000-0005-0000-0000-0000E3130000}"/>
    <cellStyle name="Normal 61 3 2" xfId="5092" xr:uid="{00000000-0005-0000-0000-0000E4130000}"/>
    <cellStyle name="Normal 61 3 2 2" xfId="5093" xr:uid="{00000000-0005-0000-0000-0000E5130000}"/>
    <cellStyle name="Normal 61 3 2 2 2" xfId="5094" xr:uid="{00000000-0005-0000-0000-0000E6130000}"/>
    <cellStyle name="Normal 61 3 2 2 2 2" xfId="5095" xr:uid="{00000000-0005-0000-0000-0000E7130000}"/>
    <cellStyle name="Normal 61 3 2 2 3" xfId="5096" xr:uid="{00000000-0005-0000-0000-0000E8130000}"/>
    <cellStyle name="Normal 61 3 2 3" xfId="5097" xr:uid="{00000000-0005-0000-0000-0000E9130000}"/>
    <cellStyle name="Normal 61 3 2 3 2" xfId="5098" xr:uid="{00000000-0005-0000-0000-0000EA130000}"/>
    <cellStyle name="Normal 61 3 2 4" xfId="5099" xr:uid="{00000000-0005-0000-0000-0000EB130000}"/>
    <cellStyle name="Normal 61 3 3" xfId="5100" xr:uid="{00000000-0005-0000-0000-0000EC130000}"/>
    <cellStyle name="Normal 61 3 3 2" xfId="5101" xr:uid="{00000000-0005-0000-0000-0000ED130000}"/>
    <cellStyle name="Normal 61 3 3 2 2" xfId="5102" xr:uid="{00000000-0005-0000-0000-0000EE130000}"/>
    <cellStyle name="Normal 61 3 3 3" xfId="5103" xr:uid="{00000000-0005-0000-0000-0000EF130000}"/>
    <cellStyle name="Normal 61 3 4" xfId="5104" xr:uid="{00000000-0005-0000-0000-0000F0130000}"/>
    <cellStyle name="Normal 61 3 4 2" xfId="5105" xr:uid="{00000000-0005-0000-0000-0000F1130000}"/>
    <cellStyle name="Normal 61 3 5" xfId="5106" xr:uid="{00000000-0005-0000-0000-0000F2130000}"/>
    <cellStyle name="Normal 61 4" xfId="5107" xr:uid="{00000000-0005-0000-0000-0000F3130000}"/>
    <cellStyle name="Normal 61 4 2" xfId="5108" xr:uid="{00000000-0005-0000-0000-0000F4130000}"/>
    <cellStyle name="Normal 61 4 2 2" xfId="5109" xr:uid="{00000000-0005-0000-0000-0000F5130000}"/>
    <cellStyle name="Normal 61 4 2 2 2" xfId="5110" xr:uid="{00000000-0005-0000-0000-0000F6130000}"/>
    <cellStyle name="Normal 61 4 2 3" xfId="5111" xr:uid="{00000000-0005-0000-0000-0000F7130000}"/>
    <cellStyle name="Normal 61 4 3" xfId="5112" xr:uid="{00000000-0005-0000-0000-0000F8130000}"/>
    <cellStyle name="Normal 61 4 3 2" xfId="5113" xr:uid="{00000000-0005-0000-0000-0000F9130000}"/>
    <cellStyle name="Normal 61 4 4" xfId="5114" xr:uid="{00000000-0005-0000-0000-0000FA130000}"/>
    <cellStyle name="Normal 61 5" xfId="5115" xr:uid="{00000000-0005-0000-0000-0000FB130000}"/>
    <cellStyle name="Normal 61 5 2" xfId="5116" xr:uid="{00000000-0005-0000-0000-0000FC130000}"/>
    <cellStyle name="Normal 61 5 2 2" xfId="5117" xr:uid="{00000000-0005-0000-0000-0000FD130000}"/>
    <cellStyle name="Normal 61 5 2 2 2" xfId="5118" xr:uid="{00000000-0005-0000-0000-0000FE130000}"/>
    <cellStyle name="Normal 61 5 2 3" xfId="5119" xr:uid="{00000000-0005-0000-0000-0000FF130000}"/>
    <cellStyle name="Normal 61 5 3" xfId="5120" xr:uid="{00000000-0005-0000-0000-000000140000}"/>
    <cellStyle name="Normal 61 5 3 2" xfId="5121" xr:uid="{00000000-0005-0000-0000-000001140000}"/>
    <cellStyle name="Normal 61 5 4" xfId="5122" xr:uid="{00000000-0005-0000-0000-000002140000}"/>
    <cellStyle name="Normal 61 6" xfId="5123" xr:uid="{00000000-0005-0000-0000-000003140000}"/>
    <cellStyle name="Normal 61 6 2" xfId="5124" xr:uid="{00000000-0005-0000-0000-000004140000}"/>
    <cellStyle name="Normal 61 6 2 2" xfId="5125" xr:uid="{00000000-0005-0000-0000-000005140000}"/>
    <cellStyle name="Normal 61 6 3" xfId="5126" xr:uid="{00000000-0005-0000-0000-000006140000}"/>
    <cellStyle name="Normal 61 7" xfId="5127" xr:uid="{00000000-0005-0000-0000-000007140000}"/>
    <cellStyle name="Normal 61 7 2" xfId="5128" xr:uid="{00000000-0005-0000-0000-000008140000}"/>
    <cellStyle name="Normal 61 8" xfId="5129" xr:uid="{00000000-0005-0000-0000-000009140000}"/>
    <cellStyle name="Normal 62" xfId="5130" xr:uid="{00000000-0005-0000-0000-00000A140000}"/>
    <cellStyle name="Normal 62 2" xfId="5131" xr:uid="{00000000-0005-0000-0000-00000B140000}"/>
    <cellStyle name="Normal 62 2 2" xfId="5132" xr:uid="{00000000-0005-0000-0000-00000C140000}"/>
    <cellStyle name="Normal 62 2 2 2" xfId="5133" xr:uid="{00000000-0005-0000-0000-00000D140000}"/>
    <cellStyle name="Normal 62 2 2 2 2" xfId="5134" xr:uid="{00000000-0005-0000-0000-00000E140000}"/>
    <cellStyle name="Normal 62 2 2 2 2 2" xfId="5135" xr:uid="{00000000-0005-0000-0000-00000F140000}"/>
    <cellStyle name="Normal 62 2 2 2 3" xfId="5136" xr:uid="{00000000-0005-0000-0000-000010140000}"/>
    <cellStyle name="Normal 62 2 2 2 4" xfId="5137" xr:uid="{00000000-0005-0000-0000-000011140000}"/>
    <cellStyle name="Normal 62 2 2 3" xfId="5138" xr:uid="{00000000-0005-0000-0000-000012140000}"/>
    <cellStyle name="Normal 62 2 2 3 2" xfId="5139" xr:uid="{00000000-0005-0000-0000-000013140000}"/>
    <cellStyle name="Normal 62 2 2 4" xfId="5140" xr:uid="{00000000-0005-0000-0000-000014140000}"/>
    <cellStyle name="Normal 62 2 2 4 2" xfId="5141" xr:uid="{00000000-0005-0000-0000-000015140000}"/>
    <cellStyle name="Normal 62 2 2 5" xfId="5142" xr:uid="{00000000-0005-0000-0000-000016140000}"/>
    <cellStyle name="Normal 62 2 2 6" xfId="5143" xr:uid="{00000000-0005-0000-0000-000017140000}"/>
    <cellStyle name="Normal 62 2 3" xfId="5144" xr:uid="{00000000-0005-0000-0000-000018140000}"/>
    <cellStyle name="Normal 62 2 3 2" xfId="5145" xr:uid="{00000000-0005-0000-0000-000019140000}"/>
    <cellStyle name="Normal 62 2 3 2 2" xfId="5146" xr:uid="{00000000-0005-0000-0000-00001A140000}"/>
    <cellStyle name="Normal 62 2 3 2 2 2" xfId="5147" xr:uid="{00000000-0005-0000-0000-00001B140000}"/>
    <cellStyle name="Normal 62 2 3 2 3" xfId="5148" xr:uid="{00000000-0005-0000-0000-00001C140000}"/>
    <cellStyle name="Normal 62 2 3 2 4" xfId="5149" xr:uid="{00000000-0005-0000-0000-00001D140000}"/>
    <cellStyle name="Normal 62 2 3 3" xfId="5150" xr:uid="{00000000-0005-0000-0000-00001E140000}"/>
    <cellStyle name="Normal 62 2 3 3 2" xfId="5151" xr:uid="{00000000-0005-0000-0000-00001F140000}"/>
    <cellStyle name="Normal 62 2 3 4" xfId="5152" xr:uid="{00000000-0005-0000-0000-000020140000}"/>
    <cellStyle name="Normal 62 2 3 5" xfId="5153" xr:uid="{00000000-0005-0000-0000-000021140000}"/>
    <cellStyle name="Normal 62 2 4" xfId="5154" xr:uid="{00000000-0005-0000-0000-000022140000}"/>
    <cellStyle name="Normal 62 2 4 2" xfId="5155" xr:uid="{00000000-0005-0000-0000-000023140000}"/>
    <cellStyle name="Normal 62 2 4 2 2" xfId="5156" xr:uid="{00000000-0005-0000-0000-000024140000}"/>
    <cellStyle name="Normal 62 2 4 3" xfId="5157" xr:uid="{00000000-0005-0000-0000-000025140000}"/>
    <cellStyle name="Normal 62 2 4 4" xfId="5158" xr:uid="{00000000-0005-0000-0000-000026140000}"/>
    <cellStyle name="Normal 62 2 5" xfId="5159" xr:uid="{00000000-0005-0000-0000-000027140000}"/>
    <cellStyle name="Normal 62 2 5 2" xfId="5160" xr:uid="{00000000-0005-0000-0000-000028140000}"/>
    <cellStyle name="Normal 62 2 5 2 2" xfId="5161" xr:uid="{00000000-0005-0000-0000-000029140000}"/>
    <cellStyle name="Normal 62 2 5 3" xfId="5162" xr:uid="{00000000-0005-0000-0000-00002A140000}"/>
    <cellStyle name="Normal 62 2 5 4" xfId="5163" xr:uid="{00000000-0005-0000-0000-00002B140000}"/>
    <cellStyle name="Normal 62 2 6" xfId="5164" xr:uid="{00000000-0005-0000-0000-00002C140000}"/>
    <cellStyle name="Normal 62 2 6 2" xfId="5165" xr:uid="{00000000-0005-0000-0000-00002D140000}"/>
    <cellStyle name="Normal 62 2 7" xfId="5166" xr:uid="{00000000-0005-0000-0000-00002E140000}"/>
    <cellStyle name="Normal 62 2 7 2" xfId="5167" xr:uid="{00000000-0005-0000-0000-00002F140000}"/>
    <cellStyle name="Normal 62 2 8" xfId="5168" xr:uid="{00000000-0005-0000-0000-000030140000}"/>
    <cellStyle name="Normal 62 2 9" xfId="5169" xr:uid="{00000000-0005-0000-0000-000031140000}"/>
    <cellStyle name="Normal 62 3" xfId="5170" xr:uid="{00000000-0005-0000-0000-000032140000}"/>
    <cellStyle name="Normal 62 3 2" xfId="5171" xr:uid="{00000000-0005-0000-0000-000033140000}"/>
    <cellStyle name="Normal 62 3 2 2" xfId="5172" xr:uid="{00000000-0005-0000-0000-000034140000}"/>
    <cellStyle name="Normal 62 3 2 2 2" xfId="5173" xr:uid="{00000000-0005-0000-0000-000035140000}"/>
    <cellStyle name="Normal 62 3 2 2 2 2" xfId="5174" xr:uid="{00000000-0005-0000-0000-000036140000}"/>
    <cellStyle name="Normal 62 3 2 2 3" xfId="5175" xr:uid="{00000000-0005-0000-0000-000037140000}"/>
    <cellStyle name="Normal 62 3 2 3" xfId="5176" xr:uid="{00000000-0005-0000-0000-000038140000}"/>
    <cellStyle name="Normal 62 3 2 3 2" xfId="5177" xr:uid="{00000000-0005-0000-0000-000039140000}"/>
    <cellStyle name="Normal 62 3 2 4" xfId="5178" xr:uid="{00000000-0005-0000-0000-00003A140000}"/>
    <cellStyle name="Normal 62 3 3" xfId="5179" xr:uid="{00000000-0005-0000-0000-00003B140000}"/>
    <cellStyle name="Normal 62 3 3 2" xfId="5180" xr:uid="{00000000-0005-0000-0000-00003C140000}"/>
    <cellStyle name="Normal 62 3 3 2 2" xfId="5181" xr:uid="{00000000-0005-0000-0000-00003D140000}"/>
    <cellStyle name="Normal 62 3 3 3" xfId="5182" xr:uid="{00000000-0005-0000-0000-00003E140000}"/>
    <cellStyle name="Normal 62 3 4" xfId="5183" xr:uid="{00000000-0005-0000-0000-00003F140000}"/>
    <cellStyle name="Normal 62 3 4 2" xfId="5184" xr:uid="{00000000-0005-0000-0000-000040140000}"/>
    <cellStyle name="Normal 62 3 5" xfId="5185" xr:uid="{00000000-0005-0000-0000-000041140000}"/>
    <cellStyle name="Normal 62 4" xfId="5186" xr:uid="{00000000-0005-0000-0000-000042140000}"/>
    <cellStyle name="Normal 62 4 2" xfId="5187" xr:uid="{00000000-0005-0000-0000-000043140000}"/>
    <cellStyle name="Normal 62 4 2 2" xfId="5188" xr:uid="{00000000-0005-0000-0000-000044140000}"/>
    <cellStyle name="Normal 62 4 2 2 2" xfId="5189" xr:uid="{00000000-0005-0000-0000-000045140000}"/>
    <cellStyle name="Normal 62 4 2 3" xfId="5190" xr:uid="{00000000-0005-0000-0000-000046140000}"/>
    <cellStyle name="Normal 62 4 3" xfId="5191" xr:uid="{00000000-0005-0000-0000-000047140000}"/>
    <cellStyle name="Normal 62 4 3 2" xfId="5192" xr:uid="{00000000-0005-0000-0000-000048140000}"/>
    <cellStyle name="Normal 62 4 4" xfId="5193" xr:uid="{00000000-0005-0000-0000-000049140000}"/>
    <cellStyle name="Normal 62 5" xfId="5194" xr:uid="{00000000-0005-0000-0000-00004A140000}"/>
    <cellStyle name="Normal 62 5 2" xfId="5195" xr:uid="{00000000-0005-0000-0000-00004B140000}"/>
    <cellStyle name="Normal 62 5 2 2" xfId="5196" xr:uid="{00000000-0005-0000-0000-00004C140000}"/>
    <cellStyle name="Normal 62 5 2 2 2" xfId="5197" xr:uid="{00000000-0005-0000-0000-00004D140000}"/>
    <cellStyle name="Normal 62 5 2 3" xfId="5198" xr:uid="{00000000-0005-0000-0000-00004E140000}"/>
    <cellStyle name="Normal 62 5 3" xfId="5199" xr:uid="{00000000-0005-0000-0000-00004F140000}"/>
    <cellStyle name="Normal 62 5 3 2" xfId="5200" xr:uid="{00000000-0005-0000-0000-000050140000}"/>
    <cellStyle name="Normal 62 5 4" xfId="5201" xr:uid="{00000000-0005-0000-0000-000051140000}"/>
    <cellStyle name="Normal 62 6" xfId="5202" xr:uid="{00000000-0005-0000-0000-000052140000}"/>
    <cellStyle name="Normal 62 6 2" xfId="5203" xr:uid="{00000000-0005-0000-0000-000053140000}"/>
    <cellStyle name="Normal 62 6 2 2" xfId="5204" xr:uid="{00000000-0005-0000-0000-000054140000}"/>
    <cellStyle name="Normal 62 6 3" xfId="5205" xr:uid="{00000000-0005-0000-0000-000055140000}"/>
    <cellStyle name="Normal 62 7" xfId="5206" xr:uid="{00000000-0005-0000-0000-000056140000}"/>
    <cellStyle name="Normal 62 7 2" xfId="5207" xr:uid="{00000000-0005-0000-0000-000057140000}"/>
    <cellStyle name="Normal 62 8" xfId="5208" xr:uid="{00000000-0005-0000-0000-000058140000}"/>
    <cellStyle name="Normal 63" xfId="5209" xr:uid="{00000000-0005-0000-0000-000059140000}"/>
    <cellStyle name="Normal 63 2" xfId="5210" xr:uid="{00000000-0005-0000-0000-00005A140000}"/>
    <cellStyle name="Normal 63 2 2" xfId="5211" xr:uid="{00000000-0005-0000-0000-00005B140000}"/>
    <cellStyle name="Normal 63 2 2 2" xfId="5212" xr:uid="{00000000-0005-0000-0000-00005C140000}"/>
    <cellStyle name="Normal 63 2 2 2 2" xfId="5213" xr:uid="{00000000-0005-0000-0000-00005D140000}"/>
    <cellStyle name="Normal 63 2 2 2 2 2" xfId="5214" xr:uid="{00000000-0005-0000-0000-00005E140000}"/>
    <cellStyle name="Normal 63 2 2 2 3" xfId="5215" xr:uid="{00000000-0005-0000-0000-00005F140000}"/>
    <cellStyle name="Normal 63 2 2 3" xfId="5216" xr:uid="{00000000-0005-0000-0000-000060140000}"/>
    <cellStyle name="Normal 63 2 2 3 2" xfId="5217" xr:uid="{00000000-0005-0000-0000-000061140000}"/>
    <cellStyle name="Normal 63 2 2 4" xfId="5218" xr:uid="{00000000-0005-0000-0000-000062140000}"/>
    <cellStyle name="Normal 63 2 3" xfId="5219" xr:uid="{00000000-0005-0000-0000-000063140000}"/>
    <cellStyle name="Normal 63 2 3 2" xfId="5220" xr:uid="{00000000-0005-0000-0000-000064140000}"/>
    <cellStyle name="Normal 63 2 3 2 2" xfId="5221" xr:uid="{00000000-0005-0000-0000-000065140000}"/>
    <cellStyle name="Normal 63 2 3 2 2 2" xfId="5222" xr:uid="{00000000-0005-0000-0000-000066140000}"/>
    <cellStyle name="Normal 63 2 3 2 3" xfId="5223" xr:uid="{00000000-0005-0000-0000-000067140000}"/>
    <cellStyle name="Normal 63 2 3 3" xfId="5224" xr:uid="{00000000-0005-0000-0000-000068140000}"/>
    <cellStyle name="Normal 63 2 3 3 2" xfId="5225" xr:uid="{00000000-0005-0000-0000-000069140000}"/>
    <cellStyle name="Normal 63 2 3 4" xfId="5226" xr:uid="{00000000-0005-0000-0000-00006A140000}"/>
    <cellStyle name="Normal 63 2 4" xfId="5227" xr:uid="{00000000-0005-0000-0000-00006B140000}"/>
    <cellStyle name="Normal 63 2 4 2" xfId="5228" xr:uid="{00000000-0005-0000-0000-00006C140000}"/>
    <cellStyle name="Normal 63 2 4 2 2" xfId="5229" xr:uid="{00000000-0005-0000-0000-00006D140000}"/>
    <cellStyle name="Normal 63 2 4 3" xfId="5230" xr:uid="{00000000-0005-0000-0000-00006E140000}"/>
    <cellStyle name="Normal 63 2 5" xfId="5231" xr:uid="{00000000-0005-0000-0000-00006F140000}"/>
    <cellStyle name="Normal 63 2 5 2" xfId="5232" xr:uid="{00000000-0005-0000-0000-000070140000}"/>
    <cellStyle name="Normal 63 2 5 2 2" xfId="5233" xr:uid="{00000000-0005-0000-0000-000071140000}"/>
    <cellStyle name="Normal 63 2 5 3" xfId="5234" xr:uid="{00000000-0005-0000-0000-000072140000}"/>
    <cellStyle name="Normal 63 2 6" xfId="5235" xr:uid="{00000000-0005-0000-0000-000073140000}"/>
    <cellStyle name="Normal 63 2 6 2" xfId="5236" xr:uid="{00000000-0005-0000-0000-000074140000}"/>
    <cellStyle name="Normal 63 2 7" xfId="5237" xr:uid="{00000000-0005-0000-0000-000075140000}"/>
    <cellStyle name="Normal 63 3" xfId="5238" xr:uid="{00000000-0005-0000-0000-000076140000}"/>
    <cellStyle name="Normal 63 3 2" xfId="5239" xr:uid="{00000000-0005-0000-0000-000077140000}"/>
    <cellStyle name="Normal 63 3 2 2" xfId="5240" xr:uid="{00000000-0005-0000-0000-000078140000}"/>
    <cellStyle name="Normal 63 3 2 2 2" xfId="5241" xr:uid="{00000000-0005-0000-0000-000079140000}"/>
    <cellStyle name="Normal 63 3 2 2 2 2" xfId="5242" xr:uid="{00000000-0005-0000-0000-00007A140000}"/>
    <cellStyle name="Normal 63 3 2 2 3" xfId="5243" xr:uid="{00000000-0005-0000-0000-00007B140000}"/>
    <cellStyle name="Normal 63 3 2 3" xfId="5244" xr:uid="{00000000-0005-0000-0000-00007C140000}"/>
    <cellStyle name="Normal 63 3 2 3 2" xfId="5245" xr:uid="{00000000-0005-0000-0000-00007D140000}"/>
    <cellStyle name="Normal 63 3 2 4" xfId="5246" xr:uid="{00000000-0005-0000-0000-00007E140000}"/>
    <cellStyle name="Normal 63 3 3" xfId="5247" xr:uid="{00000000-0005-0000-0000-00007F140000}"/>
    <cellStyle name="Normal 63 3 3 2" xfId="5248" xr:uid="{00000000-0005-0000-0000-000080140000}"/>
    <cellStyle name="Normal 63 3 3 2 2" xfId="5249" xr:uid="{00000000-0005-0000-0000-000081140000}"/>
    <cellStyle name="Normal 63 3 3 3" xfId="5250" xr:uid="{00000000-0005-0000-0000-000082140000}"/>
    <cellStyle name="Normal 63 3 4" xfId="5251" xr:uid="{00000000-0005-0000-0000-000083140000}"/>
    <cellStyle name="Normal 63 3 4 2" xfId="5252" xr:uid="{00000000-0005-0000-0000-000084140000}"/>
    <cellStyle name="Normal 63 3 5" xfId="5253" xr:uid="{00000000-0005-0000-0000-000085140000}"/>
    <cellStyle name="Normal 63 4" xfId="5254" xr:uid="{00000000-0005-0000-0000-000086140000}"/>
    <cellStyle name="Normal 63 4 2" xfId="5255" xr:uid="{00000000-0005-0000-0000-000087140000}"/>
    <cellStyle name="Normal 63 4 2 2" xfId="5256" xr:uid="{00000000-0005-0000-0000-000088140000}"/>
    <cellStyle name="Normal 63 4 2 2 2" xfId="5257" xr:uid="{00000000-0005-0000-0000-000089140000}"/>
    <cellStyle name="Normal 63 4 2 3" xfId="5258" xr:uid="{00000000-0005-0000-0000-00008A140000}"/>
    <cellStyle name="Normal 63 4 3" xfId="5259" xr:uid="{00000000-0005-0000-0000-00008B140000}"/>
    <cellStyle name="Normal 63 4 3 2" xfId="5260" xr:uid="{00000000-0005-0000-0000-00008C140000}"/>
    <cellStyle name="Normal 63 4 4" xfId="5261" xr:uid="{00000000-0005-0000-0000-00008D140000}"/>
    <cellStyle name="Normal 63 5" xfId="5262" xr:uid="{00000000-0005-0000-0000-00008E140000}"/>
    <cellStyle name="Normal 63 5 2" xfId="5263" xr:uid="{00000000-0005-0000-0000-00008F140000}"/>
    <cellStyle name="Normal 63 5 2 2" xfId="5264" xr:uid="{00000000-0005-0000-0000-000090140000}"/>
    <cellStyle name="Normal 63 5 2 2 2" xfId="5265" xr:uid="{00000000-0005-0000-0000-000091140000}"/>
    <cellStyle name="Normal 63 5 2 3" xfId="5266" xr:uid="{00000000-0005-0000-0000-000092140000}"/>
    <cellStyle name="Normal 63 5 3" xfId="5267" xr:uid="{00000000-0005-0000-0000-000093140000}"/>
    <cellStyle name="Normal 63 5 3 2" xfId="5268" xr:uid="{00000000-0005-0000-0000-000094140000}"/>
    <cellStyle name="Normal 63 5 4" xfId="5269" xr:uid="{00000000-0005-0000-0000-000095140000}"/>
    <cellStyle name="Normal 63 6" xfId="5270" xr:uid="{00000000-0005-0000-0000-000096140000}"/>
    <cellStyle name="Normal 63 6 2" xfId="5271" xr:uid="{00000000-0005-0000-0000-000097140000}"/>
    <cellStyle name="Normal 63 6 2 2" xfId="5272" xr:uid="{00000000-0005-0000-0000-000098140000}"/>
    <cellStyle name="Normal 63 6 3" xfId="5273" xr:uid="{00000000-0005-0000-0000-000099140000}"/>
    <cellStyle name="Normal 63 7" xfId="5274" xr:uid="{00000000-0005-0000-0000-00009A140000}"/>
    <cellStyle name="Normal 63 7 2" xfId="5275" xr:uid="{00000000-0005-0000-0000-00009B140000}"/>
    <cellStyle name="Normal 63 8" xfId="5276" xr:uid="{00000000-0005-0000-0000-00009C140000}"/>
    <cellStyle name="Normal 64" xfId="5277" xr:uid="{00000000-0005-0000-0000-00009D140000}"/>
    <cellStyle name="Normal 64 2" xfId="5278" xr:uid="{00000000-0005-0000-0000-00009E140000}"/>
    <cellStyle name="Normal 64 2 2" xfId="5279" xr:uid="{00000000-0005-0000-0000-00009F140000}"/>
    <cellStyle name="Normal 64 2 2 2" xfId="5280" xr:uid="{00000000-0005-0000-0000-0000A0140000}"/>
    <cellStyle name="Normal 64 2 2 2 2" xfId="5281" xr:uid="{00000000-0005-0000-0000-0000A1140000}"/>
    <cellStyle name="Normal 64 2 2 2 2 2" xfId="5282" xr:uid="{00000000-0005-0000-0000-0000A2140000}"/>
    <cellStyle name="Normal 64 2 2 2 3" xfId="5283" xr:uid="{00000000-0005-0000-0000-0000A3140000}"/>
    <cellStyle name="Normal 64 2 2 2 4" xfId="5284" xr:uid="{00000000-0005-0000-0000-0000A4140000}"/>
    <cellStyle name="Normal 64 2 2 3" xfId="5285" xr:uid="{00000000-0005-0000-0000-0000A5140000}"/>
    <cellStyle name="Normal 64 2 2 3 2" xfId="5286" xr:uid="{00000000-0005-0000-0000-0000A6140000}"/>
    <cellStyle name="Normal 64 2 2 4" xfId="5287" xr:uid="{00000000-0005-0000-0000-0000A7140000}"/>
    <cellStyle name="Normal 64 2 2 4 2" xfId="5288" xr:uid="{00000000-0005-0000-0000-0000A8140000}"/>
    <cellStyle name="Normal 64 2 2 5" xfId="5289" xr:uid="{00000000-0005-0000-0000-0000A9140000}"/>
    <cellStyle name="Normal 64 2 2 6" xfId="5290" xr:uid="{00000000-0005-0000-0000-0000AA140000}"/>
    <cellStyle name="Normal 64 2 3" xfId="5291" xr:uid="{00000000-0005-0000-0000-0000AB140000}"/>
    <cellStyle name="Normal 64 2 3 2" xfId="5292" xr:uid="{00000000-0005-0000-0000-0000AC140000}"/>
    <cellStyle name="Normal 64 2 3 2 2" xfId="5293" xr:uid="{00000000-0005-0000-0000-0000AD140000}"/>
    <cellStyle name="Normal 64 2 3 2 2 2" xfId="5294" xr:uid="{00000000-0005-0000-0000-0000AE140000}"/>
    <cellStyle name="Normal 64 2 3 2 3" xfId="5295" xr:uid="{00000000-0005-0000-0000-0000AF140000}"/>
    <cellStyle name="Normal 64 2 3 2 4" xfId="5296" xr:uid="{00000000-0005-0000-0000-0000B0140000}"/>
    <cellStyle name="Normal 64 2 3 3" xfId="5297" xr:uid="{00000000-0005-0000-0000-0000B1140000}"/>
    <cellStyle name="Normal 64 2 3 3 2" xfId="5298" xr:uid="{00000000-0005-0000-0000-0000B2140000}"/>
    <cellStyle name="Normal 64 2 3 4" xfId="5299" xr:uid="{00000000-0005-0000-0000-0000B3140000}"/>
    <cellStyle name="Normal 64 2 3 5" xfId="5300" xr:uid="{00000000-0005-0000-0000-0000B4140000}"/>
    <cellStyle name="Normal 64 2 4" xfId="5301" xr:uid="{00000000-0005-0000-0000-0000B5140000}"/>
    <cellStyle name="Normal 64 2 4 2" xfId="5302" xr:uid="{00000000-0005-0000-0000-0000B6140000}"/>
    <cellStyle name="Normal 64 2 4 2 2" xfId="5303" xr:uid="{00000000-0005-0000-0000-0000B7140000}"/>
    <cellStyle name="Normal 64 2 4 3" xfId="5304" xr:uid="{00000000-0005-0000-0000-0000B8140000}"/>
    <cellStyle name="Normal 64 2 4 4" xfId="5305" xr:uid="{00000000-0005-0000-0000-0000B9140000}"/>
    <cellStyle name="Normal 64 2 5" xfId="5306" xr:uid="{00000000-0005-0000-0000-0000BA140000}"/>
    <cellStyle name="Normal 64 2 5 2" xfId="5307" xr:uid="{00000000-0005-0000-0000-0000BB140000}"/>
    <cellStyle name="Normal 64 2 5 2 2" xfId="5308" xr:uid="{00000000-0005-0000-0000-0000BC140000}"/>
    <cellStyle name="Normal 64 2 5 3" xfId="5309" xr:uid="{00000000-0005-0000-0000-0000BD140000}"/>
    <cellStyle name="Normal 64 2 5 4" xfId="5310" xr:uid="{00000000-0005-0000-0000-0000BE140000}"/>
    <cellStyle name="Normal 64 2 6" xfId="5311" xr:uid="{00000000-0005-0000-0000-0000BF140000}"/>
    <cellStyle name="Normal 64 2 6 2" xfId="5312" xr:uid="{00000000-0005-0000-0000-0000C0140000}"/>
    <cellStyle name="Normal 64 2 7" xfId="5313" xr:uid="{00000000-0005-0000-0000-0000C1140000}"/>
    <cellStyle name="Normal 64 2 7 2" xfId="5314" xr:uid="{00000000-0005-0000-0000-0000C2140000}"/>
    <cellStyle name="Normal 64 2 8" xfId="5315" xr:uid="{00000000-0005-0000-0000-0000C3140000}"/>
    <cellStyle name="Normal 64 2 9" xfId="5316" xr:uid="{00000000-0005-0000-0000-0000C4140000}"/>
    <cellStyle name="Normal 64 3" xfId="5317" xr:uid="{00000000-0005-0000-0000-0000C5140000}"/>
    <cellStyle name="Normal 64 3 2" xfId="5318" xr:uid="{00000000-0005-0000-0000-0000C6140000}"/>
    <cellStyle name="Normal 64 3 2 2" xfId="5319" xr:uid="{00000000-0005-0000-0000-0000C7140000}"/>
    <cellStyle name="Normal 64 3 2 2 2" xfId="5320" xr:uid="{00000000-0005-0000-0000-0000C8140000}"/>
    <cellStyle name="Normal 64 3 2 2 2 2" xfId="5321" xr:uid="{00000000-0005-0000-0000-0000C9140000}"/>
    <cellStyle name="Normal 64 3 2 2 3" xfId="5322" xr:uid="{00000000-0005-0000-0000-0000CA140000}"/>
    <cellStyle name="Normal 64 3 2 3" xfId="5323" xr:uid="{00000000-0005-0000-0000-0000CB140000}"/>
    <cellStyle name="Normal 64 3 2 3 2" xfId="5324" xr:uid="{00000000-0005-0000-0000-0000CC140000}"/>
    <cellStyle name="Normal 64 3 2 4" xfId="5325" xr:uid="{00000000-0005-0000-0000-0000CD140000}"/>
    <cellStyle name="Normal 64 3 3" xfId="5326" xr:uid="{00000000-0005-0000-0000-0000CE140000}"/>
    <cellStyle name="Normal 64 3 3 2" xfId="5327" xr:uid="{00000000-0005-0000-0000-0000CF140000}"/>
    <cellStyle name="Normal 64 3 3 2 2" xfId="5328" xr:uid="{00000000-0005-0000-0000-0000D0140000}"/>
    <cellStyle name="Normal 64 3 3 3" xfId="5329" xr:uid="{00000000-0005-0000-0000-0000D1140000}"/>
    <cellStyle name="Normal 64 3 4" xfId="5330" xr:uid="{00000000-0005-0000-0000-0000D2140000}"/>
    <cellStyle name="Normal 64 3 4 2" xfId="5331" xr:uid="{00000000-0005-0000-0000-0000D3140000}"/>
    <cellStyle name="Normal 64 3 5" xfId="5332" xr:uid="{00000000-0005-0000-0000-0000D4140000}"/>
    <cellStyle name="Normal 64 4" xfId="5333" xr:uid="{00000000-0005-0000-0000-0000D5140000}"/>
    <cellStyle name="Normal 64 4 2" xfId="5334" xr:uid="{00000000-0005-0000-0000-0000D6140000}"/>
    <cellStyle name="Normal 64 4 2 2" xfId="5335" xr:uid="{00000000-0005-0000-0000-0000D7140000}"/>
    <cellStyle name="Normal 64 4 2 2 2" xfId="5336" xr:uid="{00000000-0005-0000-0000-0000D8140000}"/>
    <cellStyle name="Normal 64 4 2 3" xfId="5337" xr:uid="{00000000-0005-0000-0000-0000D9140000}"/>
    <cellStyle name="Normal 64 4 3" xfId="5338" xr:uid="{00000000-0005-0000-0000-0000DA140000}"/>
    <cellStyle name="Normal 64 4 3 2" xfId="5339" xr:uid="{00000000-0005-0000-0000-0000DB140000}"/>
    <cellStyle name="Normal 64 4 4" xfId="5340" xr:uid="{00000000-0005-0000-0000-0000DC140000}"/>
    <cellStyle name="Normal 64 5" xfId="5341" xr:uid="{00000000-0005-0000-0000-0000DD140000}"/>
    <cellStyle name="Normal 64 5 2" xfId="5342" xr:uid="{00000000-0005-0000-0000-0000DE140000}"/>
    <cellStyle name="Normal 64 5 2 2" xfId="5343" xr:uid="{00000000-0005-0000-0000-0000DF140000}"/>
    <cellStyle name="Normal 64 5 2 2 2" xfId="5344" xr:uid="{00000000-0005-0000-0000-0000E0140000}"/>
    <cellStyle name="Normal 64 5 2 3" xfId="5345" xr:uid="{00000000-0005-0000-0000-0000E1140000}"/>
    <cellStyle name="Normal 64 5 3" xfId="5346" xr:uid="{00000000-0005-0000-0000-0000E2140000}"/>
    <cellStyle name="Normal 64 5 3 2" xfId="5347" xr:uid="{00000000-0005-0000-0000-0000E3140000}"/>
    <cellStyle name="Normal 64 5 4" xfId="5348" xr:uid="{00000000-0005-0000-0000-0000E4140000}"/>
    <cellStyle name="Normal 64 6" xfId="5349" xr:uid="{00000000-0005-0000-0000-0000E5140000}"/>
    <cellStyle name="Normal 64 6 2" xfId="5350" xr:uid="{00000000-0005-0000-0000-0000E6140000}"/>
    <cellStyle name="Normal 64 6 2 2" xfId="5351" xr:uid="{00000000-0005-0000-0000-0000E7140000}"/>
    <cellStyle name="Normal 64 6 3" xfId="5352" xr:uid="{00000000-0005-0000-0000-0000E8140000}"/>
    <cellStyle name="Normal 64 7" xfId="5353" xr:uid="{00000000-0005-0000-0000-0000E9140000}"/>
    <cellStyle name="Normal 64 7 2" xfId="5354" xr:uid="{00000000-0005-0000-0000-0000EA140000}"/>
    <cellStyle name="Normal 64 8" xfId="5355" xr:uid="{00000000-0005-0000-0000-0000EB140000}"/>
    <cellStyle name="Normal 65" xfId="5356" xr:uid="{00000000-0005-0000-0000-0000EC140000}"/>
    <cellStyle name="Normal 65 2" xfId="5357" xr:uid="{00000000-0005-0000-0000-0000ED140000}"/>
    <cellStyle name="Normal 65 2 2" xfId="5358" xr:uid="{00000000-0005-0000-0000-0000EE140000}"/>
    <cellStyle name="Normal 65 2 2 2" xfId="5359" xr:uid="{00000000-0005-0000-0000-0000EF140000}"/>
    <cellStyle name="Normal 65 2 2 2 2" xfId="5360" xr:uid="{00000000-0005-0000-0000-0000F0140000}"/>
    <cellStyle name="Normal 65 2 2 2 2 2" xfId="5361" xr:uid="{00000000-0005-0000-0000-0000F1140000}"/>
    <cellStyle name="Normal 65 2 2 2 3" xfId="5362" xr:uid="{00000000-0005-0000-0000-0000F2140000}"/>
    <cellStyle name="Normal 65 2 2 3" xfId="5363" xr:uid="{00000000-0005-0000-0000-0000F3140000}"/>
    <cellStyle name="Normal 65 2 2 3 2" xfId="5364" xr:uid="{00000000-0005-0000-0000-0000F4140000}"/>
    <cellStyle name="Normal 65 2 2 4" xfId="5365" xr:uid="{00000000-0005-0000-0000-0000F5140000}"/>
    <cellStyle name="Normal 65 2 3" xfId="5366" xr:uid="{00000000-0005-0000-0000-0000F6140000}"/>
    <cellStyle name="Normal 65 2 3 2" xfId="5367" xr:uid="{00000000-0005-0000-0000-0000F7140000}"/>
    <cellStyle name="Normal 65 2 3 2 2" xfId="5368" xr:uid="{00000000-0005-0000-0000-0000F8140000}"/>
    <cellStyle name="Normal 65 2 3 2 2 2" xfId="5369" xr:uid="{00000000-0005-0000-0000-0000F9140000}"/>
    <cellStyle name="Normal 65 2 3 2 3" xfId="5370" xr:uid="{00000000-0005-0000-0000-0000FA140000}"/>
    <cellStyle name="Normal 65 2 3 3" xfId="5371" xr:uid="{00000000-0005-0000-0000-0000FB140000}"/>
    <cellStyle name="Normal 65 2 3 3 2" xfId="5372" xr:uid="{00000000-0005-0000-0000-0000FC140000}"/>
    <cellStyle name="Normal 65 2 3 4" xfId="5373" xr:uid="{00000000-0005-0000-0000-0000FD140000}"/>
    <cellStyle name="Normal 65 2 4" xfId="5374" xr:uid="{00000000-0005-0000-0000-0000FE140000}"/>
    <cellStyle name="Normal 65 2 4 2" xfId="5375" xr:uid="{00000000-0005-0000-0000-0000FF140000}"/>
    <cellStyle name="Normal 65 2 4 2 2" xfId="5376" xr:uid="{00000000-0005-0000-0000-000000150000}"/>
    <cellStyle name="Normal 65 2 4 3" xfId="5377" xr:uid="{00000000-0005-0000-0000-000001150000}"/>
    <cellStyle name="Normal 65 2 5" xfId="5378" xr:uid="{00000000-0005-0000-0000-000002150000}"/>
    <cellStyle name="Normal 65 2 5 2" xfId="5379" xr:uid="{00000000-0005-0000-0000-000003150000}"/>
    <cellStyle name="Normal 65 2 6" xfId="5380" xr:uid="{00000000-0005-0000-0000-000004150000}"/>
    <cellStyle name="Normal 65 3" xfId="5381" xr:uid="{00000000-0005-0000-0000-000005150000}"/>
    <cellStyle name="Normal 65 3 2" xfId="5382" xr:uid="{00000000-0005-0000-0000-000006150000}"/>
    <cellStyle name="Normal 65 3 2 2" xfId="5383" xr:uid="{00000000-0005-0000-0000-000007150000}"/>
    <cellStyle name="Normal 65 3 2 2 2" xfId="5384" xr:uid="{00000000-0005-0000-0000-000008150000}"/>
    <cellStyle name="Normal 65 3 2 2 2 2" xfId="5385" xr:uid="{00000000-0005-0000-0000-000009150000}"/>
    <cellStyle name="Normal 65 3 2 2 3" xfId="5386" xr:uid="{00000000-0005-0000-0000-00000A150000}"/>
    <cellStyle name="Normal 65 3 2 3" xfId="5387" xr:uid="{00000000-0005-0000-0000-00000B150000}"/>
    <cellStyle name="Normal 65 3 2 3 2" xfId="5388" xr:uid="{00000000-0005-0000-0000-00000C150000}"/>
    <cellStyle name="Normal 65 3 2 4" xfId="5389" xr:uid="{00000000-0005-0000-0000-00000D150000}"/>
    <cellStyle name="Normal 65 3 3" xfId="5390" xr:uid="{00000000-0005-0000-0000-00000E150000}"/>
    <cellStyle name="Normal 65 3 3 2" xfId="5391" xr:uid="{00000000-0005-0000-0000-00000F150000}"/>
    <cellStyle name="Normal 65 3 3 2 2" xfId="5392" xr:uid="{00000000-0005-0000-0000-000010150000}"/>
    <cellStyle name="Normal 65 3 3 3" xfId="5393" xr:uid="{00000000-0005-0000-0000-000011150000}"/>
    <cellStyle name="Normal 65 3 4" xfId="5394" xr:uid="{00000000-0005-0000-0000-000012150000}"/>
    <cellStyle name="Normal 65 3 4 2" xfId="5395" xr:uid="{00000000-0005-0000-0000-000013150000}"/>
    <cellStyle name="Normal 65 3 5" xfId="5396" xr:uid="{00000000-0005-0000-0000-000014150000}"/>
    <cellStyle name="Normal 65 4" xfId="5397" xr:uid="{00000000-0005-0000-0000-000015150000}"/>
    <cellStyle name="Normal 65 4 2" xfId="5398" xr:uid="{00000000-0005-0000-0000-000016150000}"/>
    <cellStyle name="Normal 65 4 2 2" xfId="5399" xr:uid="{00000000-0005-0000-0000-000017150000}"/>
    <cellStyle name="Normal 65 4 2 2 2" xfId="5400" xr:uid="{00000000-0005-0000-0000-000018150000}"/>
    <cellStyle name="Normal 65 4 2 3" xfId="5401" xr:uid="{00000000-0005-0000-0000-000019150000}"/>
    <cellStyle name="Normal 65 4 3" xfId="5402" xr:uid="{00000000-0005-0000-0000-00001A150000}"/>
    <cellStyle name="Normal 65 4 3 2" xfId="5403" xr:uid="{00000000-0005-0000-0000-00001B150000}"/>
    <cellStyle name="Normal 65 4 4" xfId="5404" xr:uid="{00000000-0005-0000-0000-00001C150000}"/>
    <cellStyle name="Normal 65 5" xfId="5405" xr:uid="{00000000-0005-0000-0000-00001D150000}"/>
    <cellStyle name="Normal 65 5 2" xfId="5406" xr:uid="{00000000-0005-0000-0000-00001E150000}"/>
    <cellStyle name="Normal 65 5 2 2" xfId="5407" xr:uid="{00000000-0005-0000-0000-00001F150000}"/>
    <cellStyle name="Normal 65 5 2 2 2" xfId="5408" xr:uid="{00000000-0005-0000-0000-000020150000}"/>
    <cellStyle name="Normal 65 5 2 3" xfId="5409" xr:uid="{00000000-0005-0000-0000-000021150000}"/>
    <cellStyle name="Normal 65 5 3" xfId="5410" xr:uid="{00000000-0005-0000-0000-000022150000}"/>
    <cellStyle name="Normal 65 5 3 2" xfId="5411" xr:uid="{00000000-0005-0000-0000-000023150000}"/>
    <cellStyle name="Normal 65 5 4" xfId="5412" xr:uid="{00000000-0005-0000-0000-000024150000}"/>
    <cellStyle name="Normal 65 6" xfId="5413" xr:uid="{00000000-0005-0000-0000-000025150000}"/>
    <cellStyle name="Normal 65 6 2" xfId="5414" xr:uid="{00000000-0005-0000-0000-000026150000}"/>
    <cellStyle name="Normal 65 6 2 2" xfId="5415" xr:uid="{00000000-0005-0000-0000-000027150000}"/>
    <cellStyle name="Normal 65 6 3" xfId="5416" xr:uid="{00000000-0005-0000-0000-000028150000}"/>
    <cellStyle name="Normal 65 7" xfId="5417" xr:uid="{00000000-0005-0000-0000-000029150000}"/>
    <cellStyle name="Normal 65 7 2" xfId="5418" xr:uid="{00000000-0005-0000-0000-00002A150000}"/>
    <cellStyle name="Normal 65 8" xfId="5419" xr:uid="{00000000-0005-0000-0000-00002B150000}"/>
    <cellStyle name="Normal 66" xfId="5420" xr:uid="{00000000-0005-0000-0000-00002C150000}"/>
    <cellStyle name="Normal 66 2" xfId="5421" xr:uid="{00000000-0005-0000-0000-00002D150000}"/>
    <cellStyle name="Normal 66 2 2" xfId="5422" xr:uid="{00000000-0005-0000-0000-00002E150000}"/>
    <cellStyle name="Normal 66 2 2 2" xfId="5423" xr:uid="{00000000-0005-0000-0000-00002F150000}"/>
    <cellStyle name="Normal 66 2 2 2 2" xfId="5424" xr:uid="{00000000-0005-0000-0000-000030150000}"/>
    <cellStyle name="Normal 66 2 2 2 2 2" xfId="5425" xr:uid="{00000000-0005-0000-0000-000031150000}"/>
    <cellStyle name="Normal 66 2 2 2 3" xfId="5426" xr:uid="{00000000-0005-0000-0000-000032150000}"/>
    <cellStyle name="Normal 66 2 2 2 4" xfId="5427" xr:uid="{00000000-0005-0000-0000-000033150000}"/>
    <cellStyle name="Normal 66 2 2 3" xfId="5428" xr:uid="{00000000-0005-0000-0000-000034150000}"/>
    <cellStyle name="Normal 66 2 2 3 2" xfId="5429" xr:uid="{00000000-0005-0000-0000-000035150000}"/>
    <cellStyle name="Normal 66 2 2 4" xfId="5430" xr:uid="{00000000-0005-0000-0000-000036150000}"/>
    <cellStyle name="Normal 66 2 2 4 2" xfId="5431" xr:uid="{00000000-0005-0000-0000-000037150000}"/>
    <cellStyle name="Normal 66 2 2 5" xfId="5432" xr:uid="{00000000-0005-0000-0000-000038150000}"/>
    <cellStyle name="Normal 66 2 2 6" xfId="5433" xr:uid="{00000000-0005-0000-0000-000039150000}"/>
    <cellStyle name="Normal 66 2 3" xfId="5434" xr:uid="{00000000-0005-0000-0000-00003A150000}"/>
    <cellStyle name="Normal 66 2 3 2" xfId="5435" xr:uid="{00000000-0005-0000-0000-00003B150000}"/>
    <cellStyle name="Normal 66 2 3 2 2" xfId="5436" xr:uid="{00000000-0005-0000-0000-00003C150000}"/>
    <cellStyle name="Normal 66 2 3 2 2 2" xfId="5437" xr:uid="{00000000-0005-0000-0000-00003D150000}"/>
    <cellStyle name="Normal 66 2 3 2 3" xfId="5438" xr:uid="{00000000-0005-0000-0000-00003E150000}"/>
    <cellStyle name="Normal 66 2 3 2 4" xfId="5439" xr:uid="{00000000-0005-0000-0000-00003F150000}"/>
    <cellStyle name="Normal 66 2 3 3" xfId="5440" xr:uid="{00000000-0005-0000-0000-000040150000}"/>
    <cellStyle name="Normal 66 2 3 3 2" xfId="5441" xr:uid="{00000000-0005-0000-0000-000041150000}"/>
    <cellStyle name="Normal 66 2 3 4" xfId="5442" xr:uid="{00000000-0005-0000-0000-000042150000}"/>
    <cellStyle name="Normal 66 2 3 5" xfId="5443" xr:uid="{00000000-0005-0000-0000-000043150000}"/>
    <cellStyle name="Normal 66 2 4" xfId="5444" xr:uid="{00000000-0005-0000-0000-000044150000}"/>
    <cellStyle name="Normal 66 2 4 2" xfId="5445" xr:uid="{00000000-0005-0000-0000-000045150000}"/>
    <cellStyle name="Normal 66 2 4 2 2" xfId="5446" xr:uid="{00000000-0005-0000-0000-000046150000}"/>
    <cellStyle name="Normal 66 2 4 3" xfId="5447" xr:uid="{00000000-0005-0000-0000-000047150000}"/>
    <cellStyle name="Normal 66 2 4 4" xfId="5448" xr:uid="{00000000-0005-0000-0000-000048150000}"/>
    <cellStyle name="Normal 66 2 5" xfId="5449" xr:uid="{00000000-0005-0000-0000-000049150000}"/>
    <cellStyle name="Normal 66 2 5 2" xfId="5450" xr:uid="{00000000-0005-0000-0000-00004A150000}"/>
    <cellStyle name="Normal 66 2 5 2 2" xfId="5451" xr:uid="{00000000-0005-0000-0000-00004B150000}"/>
    <cellStyle name="Normal 66 2 5 3" xfId="5452" xr:uid="{00000000-0005-0000-0000-00004C150000}"/>
    <cellStyle name="Normal 66 2 5 4" xfId="5453" xr:uid="{00000000-0005-0000-0000-00004D150000}"/>
    <cellStyle name="Normal 66 2 6" xfId="5454" xr:uid="{00000000-0005-0000-0000-00004E150000}"/>
    <cellStyle name="Normal 66 2 6 2" xfId="5455" xr:uid="{00000000-0005-0000-0000-00004F150000}"/>
    <cellStyle name="Normal 66 2 7" xfId="5456" xr:uid="{00000000-0005-0000-0000-000050150000}"/>
    <cellStyle name="Normal 66 2 7 2" xfId="5457" xr:uid="{00000000-0005-0000-0000-000051150000}"/>
    <cellStyle name="Normal 66 2 8" xfId="5458" xr:uid="{00000000-0005-0000-0000-000052150000}"/>
    <cellStyle name="Normal 66 2 9" xfId="5459" xr:uid="{00000000-0005-0000-0000-000053150000}"/>
    <cellStyle name="Normal 66 3" xfId="5460" xr:uid="{00000000-0005-0000-0000-000054150000}"/>
    <cellStyle name="Normal 66 3 2" xfId="5461" xr:uid="{00000000-0005-0000-0000-000055150000}"/>
    <cellStyle name="Normal 66 3 2 2" xfId="5462" xr:uid="{00000000-0005-0000-0000-000056150000}"/>
    <cellStyle name="Normal 66 3 2 2 2" xfId="5463" xr:uid="{00000000-0005-0000-0000-000057150000}"/>
    <cellStyle name="Normal 66 3 2 2 2 2" xfId="5464" xr:uid="{00000000-0005-0000-0000-000058150000}"/>
    <cellStyle name="Normal 66 3 2 2 3" xfId="5465" xr:uid="{00000000-0005-0000-0000-000059150000}"/>
    <cellStyle name="Normal 66 3 2 3" xfId="5466" xr:uid="{00000000-0005-0000-0000-00005A150000}"/>
    <cellStyle name="Normal 66 3 2 3 2" xfId="5467" xr:uid="{00000000-0005-0000-0000-00005B150000}"/>
    <cellStyle name="Normal 66 3 2 4" xfId="5468" xr:uid="{00000000-0005-0000-0000-00005C150000}"/>
    <cellStyle name="Normal 66 3 3" xfId="5469" xr:uid="{00000000-0005-0000-0000-00005D150000}"/>
    <cellStyle name="Normal 66 3 3 2" xfId="5470" xr:uid="{00000000-0005-0000-0000-00005E150000}"/>
    <cellStyle name="Normal 66 3 3 2 2" xfId="5471" xr:uid="{00000000-0005-0000-0000-00005F150000}"/>
    <cellStyle name="Normal 66 3 3 3" xfId="5472" xr:uid="{00000000-0005-0000-0000-000060150000}"/>
    <cellStyle name="Normal 66 3 4" xfId="5473" xr:uid="{00000000-0005-0000-0000-000061150000}"/>
    <cellStyle name="Normal 66 3 4 2" xfId="5474" xr:uid="{00000000-0005-0000-0000-000062150000}"/>
    <cellStyle name="Normal 66 3 5" xfId="5475" xr:uid="{00000000-0005-0000-0000-000063150000}"/>
    <cellStyle name="Normal 66 4" xfId="5476" xr:uid="{00000000-0005-0000-0000-000064150000}"/>
    <cellStyle name="Normal 66 4 2" xfId="5477" xr:uid="{00000000-0005-0000-0000-000065150000}"/>
    <cellStyle name="Normal 66 4 2 2" xfId="5478" xr:uid="{00000000-0005-0000-0000-000066150000}"/>
    <cellStyle name="Normal 66 4 2 2 2" xfId="5479" xr:uid="{00000000-0005-0000-0000-000067150000}"/>
    <cellStyle name="Normal 66 4 2 3" xfId="5480" xr:uid="{00000000-0005-0000-0000-000068150000}"/>
    <cellStyle name="Normal 66 4 3" xfId="5481" xr:uid="{00000000-0005-0000-0000-000069150000}"/>
    <cellStyle name="Normal 66 4 3 2" xfId="5482" xr:uid="{00000000-0005-0000-0000-00006A150000}"/>
    <cellStyle name="Normal 66 4 4" xfId="5483" xr:uid="{00000000-0005-0000-0000-00006B150000}"/>
    <cellStyle name="Normal 66 5" xfId="5484" xr:uid="{00000000-0005-0000-0000-00006C150000}"/>
    <cellStyle name="Normal 66 5 2" xfId="5485" xr:uid="{00000000-0005-0000-0000-00006D150000}"/>
    <cellStyle name="Normal 66 5 2 2" xfId="5486" xr:uid="{00000000-0005-0000-0000-00006E150000}"/>
    <cellStyle name="Normal 66 5 2 2 2" xfId="5487" xr:uid="{00000000-0005-0000-0000-00006F150000}"/>
    <cellStyle name="Normal 66 5 2 3" xfId="5488" xr:uid="{00000000-0005-0000-0000-000070150000}"/>
    <cellStyle name="Normal 66 5 3" xfId="5489" xr:uid="{00000000-0005-0000-0000-000071150000}"/>
    <cellStyle name="Normal 66 5 3 2" xfId="5490" xr:uid="{00000000-0005-0000-0000-000072150000}"/>
    <cellStyle name="Normal 66 5 4" xfId="5491" xr:uid="{00000000-0005-0000-0000-000073150000}"/>
    <cellStyle name="Normal 66 6" xfId="5492" xr:uid="{00000000-0005-0000-0000-000074150000}"/>
    <cellStyle name="Normal 66 6 2" xfId="5493" xr:uid="{00000000-0005-0000-0000-000075150000}"/>
    <cellStyle name="Normal 66 6 2 2" xfId="5494" xr:uid="{00000000-0005-0000-0000-000076150000}"/>
    <cellStyle name="Normal 66 6 3" xfId="5495" xr:uid="{00000000-0005-0000-0000-000077150000}"/>
    <cellStyle name="Normal 66 7" xfId="5496" xr:uid="{00000000-0005-0000-0000-000078150000}"/>
    <cellStyle name="Normal 66 7 2" xfId="5497" xr:uid="{00000000-0005-0000-0000-000079150000}"/>
    <cellStyle name="Normal 66 8" xfId="5498" xr:uid="{00000000-0005-0000-0000-00007A150000}"/>
    <cellStyle name="Normal 67" xfId="5499" xr:uid="{00000000-0005-0000-0000-00007B150000}"/>
    <cellStyle name="Normal 67 2" xfId="5500" xr:uid="{00000000-0005-0000-0000-00007C150000}"/>
    <cellStyle name="Normal 67 2 2" xfId="5501" xr:uid="{00000000-0005-0000-0000-00007D150000}"/>
    <cellStyle name="Normal 67 2 2 2" xfId="5502" xr:uid="{00000000-0005-0000-0000-00007E150000}"/>
    <cellStyle name="Normal 67 2 2 2 2" xfId="5503" xr:uid="{00000000-0005-0000-0000-00007F150000}"/>
    <cellStyle name="Normal 67 2 2 2 2 2" xfId="5504" xr:uid="{00000000-0005-0000-0000-000080150000}"/>
    <cellStyle name="Normal 67 2 2 2 3" xfId="5505" xr:uid="{00000000-0005-0000-0000-000081150000}"/>
    <cellStyle name="Normal 67 2 2 2 4" xfId="5506" xr:uid="{00000000-0005-0000-0000-000082150000}"/>
    <cellStyle name="Normal 67 2 2 3" xfId="5507" xr:uid="{00000000-0005-0000-0000-000083150000}"/>
    <cellStyle name="Normal 67 2 2 3 2" xfId="5508" xr:uid="{00000000-0005-0000-0000-000084150000}"/>
    <cellStyle name="Normal 67 2 2 4" xfId="5509" xr:uid="{00000000-0005-0000-0000-000085150000}"/>
    <cellStyle name="Normal 67 2 2 4 2" xfId="5510" xr:uid="{00000000-0005-0000-0000-000086150000}"/>
    <cellStyle name="Normal 67 2 2 5" xfId="5511" xr:uid="{00000000-0005-0000-0000-000087150000}"/>
    <cellStyle name="Normal 67 2 2 6" xfId="5512" xr:uid="{00000000-0005-0000-0000-000088150000}"/>
    <cellStyle name="Normal 67 2 3" xfId="5513" xr:uid="{00000000-0005-0000-0000-000089150000}"/>
    <cellStyle name="Normal 67 2 3 2" xfId="5514" xr:uid="{00000000-0005-0000-0000-00008A150000}"/>
    <cellStyle name="Normal 67 2 3 2 2" xfId="5515" xr:uid="{00000000-0005-0000-0000-00008B150000}"/>
    <cellStyle name="Normal 67 2 3 2 2 2" xfId="5516" xr:uid="{00000000-0005-0000-0000-00008C150000}"/>
    <cellStyle name="Normal 67 2 3 2 3" xfId="5517" xr:uid="{00000000-0005-0000-0000-00008D150000}"/>
    <cellStyle name="Normal 67 2 3 2 4" xfId="5518" xr:uid="{00000000-0005-0000-0000-00008E150000}"/>
    <cellStyle name="Normal 67 2 3 3" xfId="5519" xr:uid="{00000000-0005-0000-0000-00008F150000}"/>
    <cellStyle name="Normal 67 2 3 3 2" xfId="5520" xr:uid="{00000000-0005-0000-0000-000090150000}"/>
    <cellStyle name="Normal 67 2 3 4" xfId="5521" xr:uid="{00000000-0005-0000-0000-000091150000}"/>
    <cellStyle name="Normal 67 2 3 5" xfId="5522" xr:uid="{00000000-0005-0000-0000-000092150000}"/>
    <cellStyle name="Normal 67 2 4" xfId="5523" xr:uid="{00000000-0005-0000-0000-000093150000}"/>
    <cellStyle name="Normal 67 2 4 2" xfId="5524" xr:uid="{00000000-0005-0000-0000-000094150000}"/>
    <cellStyle name="Normal 67 2 4 2 2" xfId="5525" xr:uid="{00000000-0005-0000-0000-000095150000}"/>
    <cellStyle name="Normal 67 2 4 3" xfId="5526" xr:uid="{00000000-0005-0000-0000-000096150000}"/>
    <cellStyle name="Normal 67 2 4 4" xfId="5527" xr:uid="{00000000-0005-0000-0000-000097150000}"/>
    <cellStyle name="Normal 67 2 5" xfId="5528" xr:uid="{00000000-0005-0000-0000-000098150000}"/>
    <cellStyle name="Normal 67 2 5 2" xfId="5529" xr:uid="{00000000-0005-0000-0000-000099150000}"/>
    <cellStyle name="Normal 67 2 5 2 2" xfId="5530" xr:uid="{00000000-0005-0000-0000-00009A150000}"/>
    <cellStyle name="Normal 67 2 5 3" xfId="5531" xr:uid="{00000000-0005-0000-0000-00009B150000}"/>
    <cellStyle name="Normal 67 2 5 4" xfId="5532" xr:uid="{00000000-0005-0000-0000-00009C150000}"/>
    <cellStyle name="Normal 67 2 6" xfId="5533" xr:uid="{00000000-0005-0000-0000-00009D150000}"/>
    <cellStyle name="Normal 67 2 6 2" xfId="5534" xr:uid="{00000000-0005-0000-0000-00009E150000}"/>
    <cellStyle name="Normal 67 2 7" xfId="5535" xr:uid="{00000000-0005-0000-0000-00009F150000}"/>
    <cellStyle name="Normal 67 2 7 2" xfId="5536" xr:uid="{00000000-0005-0000-0000-0000A0150000}"/>
    <cellStyle name="Normal 67 2 8" xfId="5537" xr:uid="{00000000-0005-0000-0000-0000A1150000}"/>
    <cellStyle name="Normal 67 2 9" xfId="5538" xr:uid="{00000000-0005-0000-0000-0000A2150000}"/>
    <cellStyle name="Normal 67 3" xfId="5539" xr:uid="{00000000-0005-0000-0000-0000A3150000}"/>
    <cellStyle name="Normal 67 3 2" xfId="5540" xr:uid="{00000000-0005-0000-0000-0000A4150000}"/>
    <cellStyle name="Normal 67 3 2 2" xfId="5541" xr:uid="{00000000-0005-0000-0000-0000A5150000}"/>
    <cellStyle name="Normal 67 3 2 2 2" xfId="5542" xr:uid="{00000000-0005-0000-0000-0000A6150000}"/>
    <cellStyle name="Normal 67 3 2 2 2 2" xfId="5543" xr:uid="{00000000-0005-0000-0000-0000A7150000}"/>
    <cellStyle name="Normal 67 3 2 2 3" xfId="5544" xr:uid="{00000000-0005-0000-0000-0000A8150000}"/>
    <cellStyle name="Normal 67 3 2 3" xfId="5545" xr:uid="{00000000-0005-0000-0000-0000A9150000}"/>
    <cellStyle name="Normal 67 3 2 3 2" xfId="5546" xr:uid="{00000000-0005-0000-0000-0000AA150000}"/>
    <cellStyle name="Normal 67 3 2 4" xfId="5547" xr:uid="{00000000-0005-0000-0000-0000AB150000}"/>
    <cellStyle name="Normal 67 3 3" xfId="5548" xr:uid="{00000000-0005-0000-0000-0000AC150000}"/>
    <cellStyle name="Normal 67 3 3 2" xfId="5549" xr:uid="{00000000-0005-0000-0000-0000AD150000}"/>
    <cellStyle name="Normal 67 3 3 2 2" xfId="5550" xr:uid="{00000000-0005-0000-0000-0000AE150000}"/>
    <cellStyle name="Normal 67 3 3 3" xfId="5551" xr:uid="{00000000-0005-0000-0000-0000AF150000}"/>
    <cellStyle name="Normal 67 3 4" xfId="5552" xr:uid="{00000000-0005-0000-0000-0000B0150000}"/>
    <cellStyle name="Normal 67 3 4 2" xfId="5553" xr:uid="{00000000-0005-0000-0000-0000B1150000}"/>
    <cellStyle name="Normal 67 3 5" xfId="5554" xr:uid="{00000000-0005-0000-0000-0000B2150000}"/>
    <cellStyle name="Normal 67 4" xfId="5555" xr:uid="{00000000-0005-0000-0000-0000B3150000}"/>
    <cellStyle name="Normal 67 4 2" xfId="5556" xr:uid="{00000000-0005-0000-0000-0000B4150000}"/>
    <cellStyle name="Normal 67 4 2 2" xfId="5557" xr:uid="{00000000-0005-0000-0000-0000B5150000}"/>
    <cellStyle name="Normal 67 4 2 2 2" xfId="5558" xr:uid="{00000000-0005-0000-0000-0000B6150000}"/>
    <cellStyle name="Normal 67 4 2 3" xfId="5559" xr:uid="{00000000-0005-0000-0000-0000B7150000}"/>
    <cellStyle name="Normal 67 4 3" xfId="5560" xr:uid="{00000000-0005-0000-0000-0000B8150000}"/>
    <cellStyle name="Normal 67 4 3 2" xfId="5561" xr:uid="{00000000-0005-0000-0000-0000B9150000}"/>
    <cellStyle name="Normal 67 4 4" xfId="5562" xr:uid="{00000000-0005-0000-0000-0000BA150000}"/>
    <cellStyle name="Normal 67 5" xfId="5563" xr:uid="{00000000-0005-0000-0000-0000BB150000}"/>
    <cellStyle name="Normal 67 5 2" xfId="5564" xr:uid="{00000000-0005-0000-0000-0000BC150000}"/>
    <cellStyle name="Normal 67 5 2 2" xfId="5565" xr:uid="{00000000-0005-0000-0000-0000BD150000}"/>
    <cellStyle name="Normal 67 5 2 2 2" xfId="5566" xr:uid="{00000000-0005-0000-0000-0000BE150000}"/>
    <cellStyle name="Normal 67 5 2 3" xfId="5567" xr:uid="{00000000-0005-0000-0000-0000BF150000}"/>
    <cellStyle name="Normal 67 5 3" xfId="5568" xr:uid="{00000000-0005-0000-0000-0000C0150000}"/>
    <cellStyle name="Normal 67 5 3 2" xfId="5569" xr:uid="{00000000-0005-0000-0000-0000C1150000}"/>
    <cellStyle name="Normal 67 5 4" xfId="5570" xr:uid="{00000000-0005-0000-0000-0000C2150000}"/>
    <cellStyle name="Normal 67 6" xfId="5571" xr:uid="{00000000-0005-0000-0000-0000C3150000}"/>
    <cellStyle name="Normal 67 6 2" xfId="5572" xr:uid="{00000000-0005-0000-0000-0000C4150000}"/>
    <cellStyle name="Normal 67 6 2 2" xfId="5573" xr:uid="{00000000-0005-0000-0000-0000C5150000}"/>
    <cellStyle name="Normal 67 6 3" xfId="5574" xr:uid="{00000000-0005-0000-0000-0000C6150000}"/>
    <cellStyle name="Normal 67 7" xfId="5575" xr:uid="{00000000-0005-0000-0000-0000C7150000}"/>
    <cellStyle name="Normal 67 7 2" xfId="5576" xr:uid="{00000000-0005-0000-0000-0000C8150000}"/>
    <cellStyle name="Normal 67 8" xfId="5577" xr:uid="{00000000-0005-0000-0000-0000C9150000}"/>
    <cellStyle name="Normal 68" xfId="5578" xr:uid="{00000000-0005-0000-0000-0000CA150000}"/>
    <cellStyle name="Normal 68 2" xfId="5579" xr:uid="{00000000-0005-0000-0000-0000CB150000}"/>
    <cellStyle name="Normal 68 2 2" xfId="5580" xr:uid="{00000000-0005-0000-0000-0000CC150000}"/>
    <cellStyle name="Normal 68 2 2 2" xfId="5581" xr:uid="{00000000-0005-0000-0000-0000CD150000}"/>
    <cellStyle name="Normal 68 2 2 2 2" xfId="5582" xr:uid="{00000000-0005-0000-0000-0000CE150000}"/>
    <cellStyle name="Normal 68 2 2 3" xfId="5583" xr:uid="{00000000-0005-0000-0000-0000CF150000}"/>
    <cellStyle name="Normal 68 2 3" xfId="5584" xr:uid="{00000000-0005-0000-0000-0000D0150000}"/>
    <cellStyle name="Normal 68 2 3 2" xfId="5585" xr:uid="{00000000-0005-0000-0000-0000D1150000}"/>
    <cellStyle name="Normal 68 2 4" xfId="5586" xr:uid="{00000000-0005-0000-0000-0000D2150000}"/>
    <cellStyle name="Normal 68 3" xfId="5587" xr:uid="{00000000-0005-0000-0000-0000D3150000}"/>
    <cellStyle name="Normal 68 3 2" xfId="5588" xr:uid="{00000000-0005-0000-0000-0000D4150000}"/>
    <cellStyle name="Normal 68 3 2 2" xfId="5589" xr:uid="{00000000-0005-0000-0000-0000D5150000}"/>
    <cellStyle name="Normal 68 3 2 2 2" xfId="5590" xr:uid="{00000000-0005-0000-0000-0000D6150000}"/>
    <cellStyle name="Normal 68 3 2 3" xfId="5591" xr:uid="{00000000-0005-0000-0000-0000D7150000}"/>
    <cellStyle name="Normal 68 3 3" xfId="5592" xr:uid="{00000000-0005-0000-0000-0000D8150000}"/>
    <cellStyle name="Normal 68 3 3 2" xfId="5593" xr:uid="{00000000-0005-0000-0000-0000D9150000}"/>
    <cellStyle name="Normal 68 3 4" xfId="5594" xr:uid="{00000000-0005-0000-0000-0000DA150000}"/>
    <cellStyle name="Normal 68 4" xfId="5595" xr:uid="{00000000-0005-0000-0000-0000DB150000}"/>
    <cellStyle name="Normal 68 4 2" xfId="5596" xr:uid="{00000000-0005-0000-0000-0000DC150000}"/>
    <cellStyle name="Normal 68 4 2 2" xfId="5597" xr:uid="{00000000-0005-0000-0000-0000DD150000}"/>
    <cellStyle name="Normal 68 4 3" xfId="5598" xr:uid="{00000000-0005-0000-0000-0000DE150000}"/>
    <cellStyle name="Normal 68 5" xfId="5599" xr:uid="{00000000-0005-0000-0000-0000DF150000}"/>
    <cellStyle name="Normal 68 5 2" xfId="5600" xr:uid="{00000000-0005-0000-0000-0000E0150000}"/>
    <cellStyle name="Normal 68 6" xfId="5601" xr:uid="{00000000-0005-0000-0000-0000E1150000}"/>
    <cellStyle name="Normal 69" xfId="5602" xr:uid="{00000000-0005-0000-0000-0000E2150000}"/>
    <cellStyle name="Normal 69 2" xfId="5603" xr:uid="{00000000-0005-0000-0000-0000E3150000}"/>
    <cellStyle name="Normal 69 2 2" xfId="5604" xr:uid="{00000000-0005-0000-0000-0000E4150000}"/>
    <cellStyle name="Normal 69 2 2 2" xfId="5605" xr:uid="{00000000-0005-0000-0000-0000E5150000}"/>
    <cellStyle name="Normal 69 2 2 2 2" xfId="5606" xr:uid="{00000000-0005-0000-0000-0000E6150000}"/>
    <cellStyle name="Normal 69 2 2 3" xfId="5607" xr:uid="{00000000-0005-0000-0000-0000E7150000}"/>
    <cellStyle name="Normal 69 2 3" xfId="5608" xr:uid="{00000000-0005-0000-0000-0000E8150000}"/>
    <cellStyle name="Normal 69 2 3 2" xfId="5609" xr:uid="{00000000-0005-0000-0000-0000E9150000}"/>
    <cellStyle name="Normal 69 2 4" xfId="5610" xr:uid="{00000000-0005-0000-0000-0000EA150000}"/>
    <cellStyle name="Normal 69 3" xfId="5611" xr:uid="{00000000-0005-0000-0000-0000EB150000}"/>
    <cellStyle name="Normal 69 3 2" xfId="5612" xr:uid="{00000000-0005-0000-0000-0000EC150000}"/>
    <cellStyle name="Normal 69 3 2 2" xfId="5613" xr:uid="{00000000-0005-0000-0000-0000ED150000}"/>
    <cellStyle name="Normal 69 3 2 2 2" xfId="5614" xr:uid="{00000000-0005-0000-0000-0000EE150000}"/>
    <cellStyle name="Normal 69 3 2 3" xfId="5615" xr:uid="{00000000-0005-0000-0000-0000EF150000}"/>
    <cellStyle name="Normal 69 3 3" xfId="5616" xr:uid="{00000000-0005-0000-0000-0000F0150000}"/>
    <cellStyle name="Normal 69 3 3 2" xfId="5617" xr:uid="{00000000-0005-0000-0000-0000F1150000}"/>
    <cellStyle name="Normal 69 3 4" xfId="5618" xr:uid="{00000000-0005-0000-0000-0000F2150000}"/>
    <cellStyle name="Normal 69 4" xfId="5619" xr:uid="{00000000-0005-0000-0000-0000F3150000}"/>
    <cellStyle name="Normal 69 4 2" xfId="5620" xr:uid="{00000000-0005-0000-0000-0000F4150000}"/>
    <cellStyle name="Normal 69 4 2 2" xfId="5621" xr:uid="{00000000-0005-0000-0000-0000F5150000}"/>
    <cellStyle name="Normal 69 4 3" xfId="5622" xr:uid="{00000000-0005-0000-0000-0000F6150000}"/>
    <cellStyle name="Normal 69 5" xfId="5623" xr:uid="{00000000-0005-0000-0000-0000F7150000}"/>
    <cellStyle name="Normal 69 5 2" xfId="5624" xr:uid="{00000000-0005-0000-0000-0000F8150000}"/>
    <cellStyle name="Normal 69 6" xfId="5625" xr:uid="{00000000-0005-0000-0000-0000F9150000}"/>
    <cellStyle name="Normal 7" xfId="5626" xr:uid="{00000000-0005-0000-0000-0000FA150000}"/>
    <cellStyle name="Normal 7 2" xfId="5627" xr:uid="{00000000-0005-0000-0000-0000FB150000}"/>
    <cellStyle name="Normal 7 2 2" xfId="5628" xr:uid="{00000000-0005-0000-0000-0000FC150000}"/>
    <cellStyle name="Normal 7 2 2 2" xfId="5629" xr:uid="{00000000-0005-0000-0000-0000FD150000}"/>
    <cellStyle name="Normal 7 2 2 3" xfId="5630" xr:uid="{00000000-0005-0000-0000-0000FE150000}"/>
    <cellStyle name="Normal 7 2 3" xfId="5631" xr:uid="{00000000-0005-0000-0000-0000FF150000}"/>
    <cellStyle name="Normal 7 3" xfId="5632" xr:uid="{00000000-0005-0000-0000-000000160000}"/>
    <cellStyle name="Normal 7 3 2" xfId="5633" xr:uid="{00000000-0005-0000-0000-000001160000}"/>
    <cellStyle name="Normal 7 3 2 2" xfId="5634" xr:uid="{00000000-0005-0000-0000-000002160000}"/>
    <cellStyle name="Normal 7 3 3" xfId="5635" xr:uid="{00000000-0005-0000-0000-000003160000}"/>
    <cellStyle name="Normal 7 4" xfId="5636" xr:uid="{00000000-0005-0000-0000-000004160000}"/>
    <cellStyle name="Normal 7 5" xfId="5637" xr:uid="{00000000-0005-0000-0000-000005160000}"/>
    <cellStyle name="Normal 7 6" xfId="5638" xr:uid="{00000000-0005-0000-0000-000006160000}"/>
    <cellStyle name="Normal 7_Dual_Mode_Time" xfId="5639" xr:uid="{00000000-0005-0000-0000-000007160000}"/>
    <cellStyle name="Normal 70" xfId="5640" xr:uid="{00000000-0005-0000-0000-000008160000}"/>
    <cellStyle name="Normal 70 2" xfId="5641" xr:uid="{00000000-0005-0000-0000-000009160000}"/>
    <cellStyle name="Normal 70 2 2" xfId="5642" xr:uid="{00000000-0005-0000-0000-00000A160000}"/>
    <cellStyle name="Normal 70 2 2 2" xfId="5643" xr:uid="{00000000-0005-0000-0000-00000B160000}"/>
    <cellStyle name="Normal 70 2 2 2 2" xfId="5644" xr:uid="{00000000-0005-0000-0000-00000C160000}"/>
    <cellStyle name="Normal 70 2 2 2 2 2" xfId="5645" xr:uid="{00000000-0005-0000-0000-00000D160000}"/>
    <cellStyle name="Normal 70 2 2 2 3" xfId="5646" xr:uid="{00000000-0005-0000-0000-00000E160000}"/>
    <cellStyle name="Normal 70 2 2 2 4" xfId="5647" xr:uid="{00000000-0005-0000-0000-00000F160000}"/>
    <cellStyle name="Normal 70 2 2 3" xfId="5648" xr:uid="{00000000-0005-0000-0000-000010160000}"/>
    <cellStyle name="Normal 70 2 2 3 2" xfId="5649" xr:uid="{00000000-0005-0000-0000-000011160000}"/>
    <cellStyle name="Normal 70 2 2 4" xfId="5650" xr:uid="{00000000-0005-0000-0000-000012160000}"/>
    <cellStyle name="Normal 70 2 2 4 2" xfId="5651" xr:uid="{00000000-0005-0000-0000-000013160000}"/>
    <cellStyle name="Normal 70 2 2 5" xfId="5652" xr:uid="{00000000-0005-0000-0000-000014160000}"/>
    <cellStyle name="Normal 70 2 2 6" xfId="5653" xr:uid="{00000000-0005-0000-0000-000015160000}"/>
    <cellStyle name="Normal 70 2 3" xfId="5654" xr:uid="{00000000-0005-0000-0000-000016160000}"/>
    <cellStyle name="Normal 70 2 3 2" xfId="5655" xr:uid="{00000000-0005-0000-0000-000017160000}"/>
    <cellStyle name="Normal 70 2 3 2 2" xfId="5656" xr:uid="{00000000-0005-0000-0000-000018160000}"/>
    <cellStyle name="Normal 70 2 3 2 2 2" xfId="5657" xr:uid="{00000000-0005-0000-0000-000019160000}"/>
    <cellStyle name="Normal 70 2 3 2 3" xfId="5658" xr:uid="{00000000-0005-0000-0000-00001A160000}"/>
    <cellStyle name="Normal 70 2 3 2 4" xfId="5659" xr:uid="{00000000-0005-0000-0000-00001B160000}"/>
    <cellStyle name="Normal 70 2 3 3" xfId="5660" xr:uid="{00000000-0005-0000-0000-00001C160000}"/>
    <cellStyle name="Normal 70 2 3 3 2" xfId="5661" xr:uid="{00000000-0005-0000-0000-00001D160000}"/>
    <cellStyle name="Normal 70 2 3 4" xfId="5662" xr:uid="{00000000-0005-0000-0000-00001E160000}"/>
    <cellStyle name="Normal 70 2 3 5" xfId="5663" xr:uid="{00000000-0005-0000-0000-00001F160000}"/>
    <cellStyle name="Normal 70 2 4" xfId="5664" xr:uid="{00000000-0005-0000-0000-000020160000}"/>
    <cellStyle name="Normal 70 2 4 2" xfId="5665" xr:uid="{00000000-0005-0000-0000-000021160000}"/>
    <cellStyle name="Normal 70 2 4 2 2" xfId="5666" xr:uid="{00000000-0005-0000-0000-000022160000}"/>
    <cellStyle name="Normal 70 2 4 3" xfId="5667" xr:uid="{00000000-0005-0000-0000-000023160000}"/>
    <cellStyle name="Normal 70 2 4 4" xfId="5668" xr:uid="{00000000-0005-0000-0000-000024160000}"/>
    <cellStyle name="Normal 70 2 5" xfId="5669" xr:uid="{00000000-0005-0000-0000-000025160000}"/>
    <cellStyle name="Normal 70 2 5 2" xfId="5670" xr:uid="{00000000-0005-0000-0000-000026160000}"/>
    <cellStyle name="Normal 70 2 5 2 2" xfId="5671" xr:uid="{00000000-0005-0000-0000-000027160000}"/>
    <cellStyle name="Normal 70 2 5 3" xfId="5672" xr:uid="{00000000-0005-0000-0000-000028160000}"/>
    <cellStyle name="Normal 70 2 5 4" xfId="5673" xr:uid="{00000000-0005-0000-0000-000029160000}"/>
    <cellStyle name="Normal 70 2 6" xfId="5674" xr:uid="{00000000-0005-0000-0000-00002A160000}"/>
    <cellStyle name="Normal 70 2 6 2" xfId="5675" xr:uid="{00000000-0005-0000-0000-00002B160000}"/>
    <cellStyle name="Normal 70 2 7" xfId="5676" xr:uid="{00000000-0005-0000-0000-00002C160000}"/>
    <cellStyle name="Normal 70 2 7 2" xfId="5677" xr:uid="{00000000-0005-0000-0000-00002D160000}"/>
    <cellStyle name="Normal 70 2 8" xfId="5678" xr:uid="{00000000-0005-0000-0000-00002E160000}"/>
    <cellStyle name="Normal 70 2 9" xfId="5679" xr:uid="{00000000-0005-0000-0000-00002F160000}"/>
    <cellStyle name="Normal 70 3" xfId="5680" xr:uid="{00000000-0005-0000-0000-000030160000}"/>
    <cellStyle name="Normal 70 3 2" xfId="5681" xr:uid="{00000000-0005-0000-0000-000031160000}"/>
    <cellStyle name="Normal 70 3 2 2" xfId="5682" xr:uid="{00000000-0005-0000-0000-000032160000}"/>
    <cellStyle name="Normal 70 3 2 2 2" xfId="5683" xr:uid="{00000000-0005-0000-0000-000033160000}"/>
    <cellStyle name="Normal 70 3 2 2 2 2" xfId="5684" xr:uid="{00000000-0005-0000-0000-000034160000}"/>
    <cellStyle name="Normal 70 3 2 2 3" xfId="5685" xr:uid="{00000000-0005-0000-0000-000035160000}"/>
    <cellStyle name="Normal 70 3 2 3" xfId="5686" xr:uid="{00000000-0005-0000-0000-000036160000}"/>
    <cellStyle name="Normal 70 3 2 3 2" xfId="5687" xr:uid="{00000000-0005-0000-0000-000037160000}"/>
    <cellStyle name="Normal 70 3 2 4" xfId="5688" xr:uid="{00000000-0005-0000-0000-000038160000}"/>
    <cellStyle name="Normal 70 3 3" xfId="5689" xr:uid="{00000000-0005-0000-0000-000039160000}"/>
    <cellStyle name="Normal 70 3 3 2" xfId="5690" xr:uid="{00000000-0005-0000-0000-00003A160000}"/>
    <cellStyle name="Normal 70 3 3 2 2" xfId="5691" xr:uid="{00000000-0005-0000-0000-00003B160000}"/>
    <cellStyle name="Normal 70 3 3 3" xfId="5692" xr:uid="{00000000-0005-0000-0000-00003C160000}"/>
    <cellStyle name="Normal 70 3 4" xfId="5693" xr:uid="{00000000-0005-0000-0000-00003D160000}"/>
    <cellStyle name="Normal 70 3 4 2" xfId="5694" xr:uid="{00000000-0005-0000-0000-00003E160000}"/>
    <cellStyle name="Normal 70 3 5" xfId="5695" xr:uid="{00000000-0005-0000-0000-00003F160000}"/>
    <cellStyle name="Normal 70 4" xfId="5696" xr:uid="{00000000-0005-0000-0000-000040160000}"/>
    <cellStyle name="Normal 70 4 2" xfId="5697" xr:uid="{00000000-0005-0000-0000-000041160000}"/>
    <cellStyle name="Normal 70 4 2 2" xfId="5698" xr:uid="{00000000-0005-0000-0000-000042160000}"/>
    <cellStyle name="Normal 70 4 2 2 2" xfId="5699" xr:uid="{00000000-0005-0000-0000-000043160000}"/>
    <cellStyle name="Normal 70 4 2 3" xfId="5700" xr:uid="{00000000-0005-0000-0000-000044160000}"/>
    <cellStyle name="Normal 70 4 3" xfId="5701" xr:uid="{00000000-0005-0000-0000-000045160000}"/>
    <cellStyle name="Normal 70 4 3 2" xfId="5702" xr:uid="{00000000-0005-0000-0000-000046160000}"/>
    <cellStyle name="Normal 70 4 4" xfId="5703" xr:uid="{00000000-0005-0000-0000-000047160000}"/>
    <cellStyle name="Normal 70 5" xfId="5704" xr:uid="{00000000-0005-0000-0000-000048160000}"/>
    <cellStyle name="Normal 70 5 2" xfId="5705" xr:uid="{00000000-0005-0000-0000-000049160000}"/>
    <cellStyle name="Normal 70 5 2 2" xfId="5706" xr:uid="{00000000-0005-0000-0000-00004A160000}"/>
    <cellStyle name="Normal 70 5 3" xfId="5707" xr:uid="{00000000-0005-0000-0000-00004B160000}"/>
    <cellStyle name="Normal 70 6" xfId="5708" xr:uid="{00000000-0005-0000-0000-00004C160000}"/>
    <cellStyle name="Normal 70 6 2" xfId="5709" xr:uid="{00000000-0005-0000-0000-00004D160000}"/>
    <cellStyle name="Normal 70 7" xfId="5710" xr:uid="{00000000-0005-0000-0000-00004E160000}"/>
    <cellStyle name="Normal 71" xfId="5711" xr:uid="{00000000-0005-0000-0000-00004F160000}"/>
    <cellStyle name="Normal 71 2" xfId="5712" xr:uid="{00000000-0005-0000-0000-000050160000}"/>
    <cellStyle name="Normal 71 2 2" xfId="5713" xr:uid="{00000000-0005-0000-0000-000051160000}"/>
    <cellStyle name="Normal 71 2 2 2" xfId="5714" xr:uid="{00000000-0005-0000-0000-000052160000}"/>
    <cellStyle name="Normal 71 2 2 2 2" xfId="5715" xr:uid="{00000000-0005-0000-0000-000053160000}"/>
    <cellStyle name="Normal 71 2 2 2 2 2" xfId="5716" xr:uid="{00000000-0005-0000-0000-000054160000}"/>
    <cellStyle name="Normal 71 2 2 2 3" xfId="5717" xr:uid="{00000000-0005-0000-0000-000055160000}"/>
    <cellStyle name="Normal 71 2 2 2 4" xfId="5718" xr:uid="{00000000-0005-0000-0000-000056160000}"/>
    <cellStyle name="Normal 71 2 2 3" xfId="5719" xr:uid="{00000000-0005-0000-0000-000057160000}"/>
    <cellStyle name="Normal 71 2 2 3 2" xfId="5720" xr:uid="{00000000-0005-0000-0000-000058160000}"/>
    <cellStyle name="Normal 71 2 2 4" xfId="5721" xr:uid="{00000000-0005-0000-0000-000059160000}"/>
    <cellStyle name="Normal 71 2 2 4 2" xfId="5722" xr:uid="{00000000-0005-0000-0000-00005A160000}"/>
    <cellStyle name="Normal 71 2 2 5" xfId="5723" xr:uid="{00000000-0005-0000-0000-00005B160000}"/>
    <cellStyle name="Normal 71 2 2 6" xfId="5724" xr:uid="{00000000-0005-0000-0000-00005C160000}"/>
    <cellStyle name="Normal 71 2 3" xfId="5725" xr:uid="{00000000-0005-0000-0000-00005D160000}"/>
    <cellStyle name="Normal 71 2 3 2" xfId="5726" xr:uid="{00000000-0005-0000-0000-00005E160000}"/>
    <cellStyle name="Normal 71 2 3 2 2" xfId="5727" xr:uid="{00000000-0005-0000-0000-00005F160000}"/>
    <cellStyle name="Normal 71 2 3 2 2 2" xfId="5728" xr:uid="{00000000-0005-0000-0000-000060160000}"/>
    <cellStyle name="Normal 71 2 3 2 3" xfId="5729" xr:uid="{00000000-0005-0000-0000-000061160000}"/>
    <cellStyle name="Normal 71 2 3 2 4" xfId="5730" xr:uid="{00000000-0005-0000-0000-000062160000}"/>
    <cellStyle name="Normal 71 2 3 3" xfId="5731" xr:uid="{00000000-0005-0000-0000-000063160000}"/>
    <cellStyle name="Normal 71 2 3 3 2" xfId="5732" xr:uid="{00000000-0005-0000-0000-000064160000}"/>
    <cellStyle name="Normal 71 2 3 4" xfId="5733" xr:uid="{00000000-0005-0000-0000-000065160000}"/>
    <cellStyle name="Normal 71 2 3 5" xfId="5734" xr:uid="{00000000-0005-0000-0000-000066160000}"/>
    <cellStyle name="Normal 71 2 4" xfId="5735" xr:uid="{00000000-0005-0000-0000-000067160000}"/>
    <cellStyle name="Normal 71 2 4 2" xfId="5736" xr:uid="{00000000-0005-0000-0000-000068160000}"/>
    <cellStyle name="Normal 71 2 4 2 2" xfId="5737" xr:uid="{00000000-0005-0000-0000-000069160000}"/>
    <cellStyle name="Normal 71 2 4 3" xfId="5738" xr:uid="{00000000-0005-0000-0000-00006A160000}"/>
    <cellStyle name="Normal 71 2 4 4" xfId="5739" xr:uid="{00000000-0005-0000-0000-00006B160000}"/>
    <cellStyle name="Normal 71 2 5" xfId="5740" xr:uid="{00000000-0005-0000-0000-00006C160000}"/>
    <cellStyle name="Normal 71 2 5 2" xfId="5741" xr:uid="{00000000-0005-0000-0000-00006D160000}"/>
    <cellStyle name="Normal 71 2 5 2 2" xfId="5742" xr:uid="{00000000-0005-0000-0000-00006E160000}"/>
    <cellStyle name="Normal 71 2 5 3" xfId="5743" xr:uid="{00000000-0005-0000-0000-00006F160000}"/>
    <cellStyle name="Normal 71 2 5 4" xfId="5744" xr:uid="{00000000-0005-0000-0000-000070160000}"/>
    <cellStyle name="Normal 71 2 6" xfId="5745" xr:uid="{00000000-0005-0000-0000-000071160000}"/>
    <cellStyle name="Normal 71 2 6 2" xfId="5746" xr:uid="{00000000-0005-0000-0000-000072160000}"/>
    <cellStyle name="Normal 71 2 7" xfId="5747" xr:uid="{00000000-0005-0000-0000-000073160000}"/>
    <cellStyle name="Normal 71 2 7 2" xfId="5748" xr:uid="{00000000-0005-0000-0000-000074160000}"/>
    <cellStyle name="Normal 71 2 8" xfId="5749" xr:uid="{00000000-0005-0000-0000-000075160000}"/>
    <cellStyle name="Normal 71 2 9" xfId="5750" xr:uid="{00000000-0005-0000-0000-000076160000}"/>
    <cellStyle name="Normal 71 3" xfId="5751" xr:uid="{00000000-0005-0000-0000-000077160000}"/>
    <cellStyle name="Normal 71 3 2" xfId="5752" xr:uid="{00000000-0005-0000-0000-000078160000}"/>
    <cellStyle name="Normal 71 3 2 2" xfId="5753" xr:uid="{00000000-0005-0000-0000-000079160000}"/>
    <cellStyle name="Normal 71 3 2 2 2" xfId="5754" xr:uid="{00000000-0005-0000-0000-00007A160000}"/>
    <cellStyle name="Normal 71 3 2 2 2 2" xfId="5755" xr:uid="{00000000-0005-0000-0000-00007B160000}"/>
    <cellStyle name="Normal 71 3 2 2 3" xfId="5756" xr:uid="{00000000-0005-0000-0000-00007C160000}"/>
    <cellStyle name="Normal 71 3 2 3" xfId="5757" xr:uid="{00000000-0005-0000-0000-00007D160000}"/>
    <cellStyle name="Normal 71 3 2 3 2" xfId="5758" xr:uid="{00000000-0005-0000-0000-00007E160000}"/>
    <cellStyle name="Normal 71 3 2 4" xfId="5759" xr:uid="{00000000-0005-0000-0000-00007F160000}"/>
    <cellStyle name="Normal 71 3 3" xfId="5760" xr:uid="{00000000-0005-0000-0000-000080160000}"/>
    <cellStyle name="Normal 71 3 3 2" xfId="5761" xr:uid="{00000000-0005-0000-0000-000081160000}"/>
    <cellStyle name="Normal 71 3 3 2 2" xfId="5762" xr:uid="{00000000-0005-0000-0000-000082160000}"/>
    <cellStyle name="Normal 71 3 3 3" xfId="5763" xr:uid="{00000000-0005-0000-0000-000083160000}"/>
    <cellStyle name="Normal 71 3 4" xfId="5764" xr:uid="{00000000-0005-0000-0000-000084160000}"/>
    <cellStyle name="Normal 71 3 4 2" xfId="5765" xr:uid="{00000000-0005-0000-0000-000085160000}"/>
    <cellStyle name="Normal 71 3 5" xfId="5766" xr:uid="{00000000-0005-0000-0000-000086160000}"/>
    <cellStyle name="Normal 71 4" xfId="5767" xr:uid="{00000000-0005-0000-0000-000087160000}"/>
    <cellStyle name="Normal 71 4 2" xfId="5768" xr:uid="{00000000-0005-0000-0000-000088160000}"/>
    <cellStyle name="Normal 71 4 2 2" xfId="5769" xr:uid="{00000000-0005-0000-0000-000089160000}"/>
    <cellStyle name="Normal 71 4 2 2 2" xfId="5770" xr:uid="{00000000-0005-0000-0000-00008A160000}"/>
    <cellStyle name="Normal 71 4 2 3" xfId="5771" xr:uid="{00000000-0005-0000-0000-00008B160000}"/>
    <cellStyle name="Normal 71 4 3" xfId="5772" xr:uid="{00000000-0005-0000-0000-00008C160000}"/>
    <cellStyle name="Normal 71 4 3 2" xfId="5773" xr:uid="{00000000-0005-0000-0000-00008D160000}"/>
    <cellStyle name="Normal 71 4 4" xfId="5774" xr:uid="{00000000-0005-0000-0000-00008E160000}"/>
    <cellStyle name="Normal 71 5" xfId="5775" xr:uid="{00000000-0005-0000-0000-00008F160000}"/>
    <cellStyle name="Normal 71 5 2" xfId="5776" xr:uid="{00000000-0005-0000-0000-000090160000}"/>
    <cellStyle name="Normal 71 5 2 2" xfId="5777" xr:uid="{00000000-0005-0000-0000-000091160000}"/>
    <cellStyle name="Normal 71 5 2 2 2" xfId="5778" xr:uid="{00000000-0005-0000-0000-000092160000}"/>
    <cellStyle name="Normal 71 5 2 3" xfId="5779" xr:uid="{00000000-0005-0000-0000-000093160000}"/>
    <cellStyle name="Normal 71 5 3" xfId="5780" xr:uid="{00000000-0005-0000-0000-000094160000}"/>
    <cellStyle name="Normal 71 5 3 2" xfId="5781" xr:uid="{00000000-0005-0000-0000-000095160000}"/>
    <cellStyle name="Normal 71 5 4" xfId="5782" xr:uid="{00000000-0005-0000-0000-000096160000}"/>
    <cellStyle name="Normal 71 6" xfId="5783" xr:uid="{00000000-0005-0000-0000-000097160000}"/>
    <cellStyle name="Normal 71 6 2" xfId="5784" xr:uid="{00000000-0005-0000-0000-000098160000}"/>
    <cellStyle name="Normal 71 6 2 2" xfId="5785" xr:uid="{00000000-0005-0000-0000-000099160000}"/>
    <cellStyle name="Normal 71 6 3" xfId="5786" xr:uid="{00000000-0005-0000-0000-00009A160000}"/>
    <cellStyle name="Normal 71 7" xfId="5787" xr:uid="{00000000-0005-0000-0000-00009B160000}"/>
    <cellStyle name="Normal 71 7 2" xfId="5788" xr:uid="{00000000-0005-0000-0000-00009C160000}"/>
    <cellStyle name="Normal 71 8" xfId="5789" xr:uid="{00000000-0005-0000-0000-00009D160000}"/>
    <cellStyle name="Normal 72" xfId="5790" xr:uid="{00000000-0005-0000-0000-00009E160000}"/>
    <cellStyle name="Normal 72 2" xfId="5791" xr:uid="{00000000-0005-0000-0000-00009F160000}"/>
    <cellStyle name="Normal 72 2 2" xfId="5792" xr:uid="{00000000-0005-0000-0000-0000A0160000}"/>
    <cellStyle name="Normal 72 2 2 2" xfId="5793" xr:uid="{00000000-0005-0000-0000-0000A1160000}"/>
    <cellStyle name="Normal 72 2 2 2 2" xfId="5794" xr:uid="{00000000-0005-0000-0000-0000A2160000}"/>
    <cellStyle name="Normal 72 2 2 2 2 2" xfId="5795" xr:uid="{00000000-0005-0000-0000-0000A3160000}"/>
    <cellStyle name="Normal 72 2 2 2 3" xfId="5796" xr:uid="{00000000-0005-0000-0000-0000A4160000}"/>
    <cellStyle name="Normal 72 2 2 2 4" xfId="5797" xr:uid="{00000000-0005-0000-0000-0000A5160000}"/>
    <cellStyle name="Normal 72 2 2 3" xfId="5798" xr:uid="{00000000-0005-0000-0000-0000A6160000}"/>
    <cellStyle name="Normal 72 2 2 3 2" xfId="5799" xr:uid="{00000000-0005-0000-0000-0000A7160000}"/>
    <cellStyle name="Normal 72 2 2 4" xfId="5800" xr:uid="{00000000-0005-0000-0000-0000A8160000}"/>
    <cellStyle name="Normal 72 2 2 4 2" xfId="5801" xr:uid="{00000000-0005-0000-0000-0000A9160000}"/>
    <cellStyle name="Normal 72 2 2 5" xfId="5802" xr:uid="{00000000-0005-0000-0000-0000AA160000}"/>
    <cellStyle name="Normal 72 2 2 6" xfId="5803" xr:uid="{00000000-0005-0000-0000-0000AB160000}"/>
    <cellStyle name="Normal 72 2 3" xfId="5804" xr:uid="{00000000-0005-0000-0000-0000AC160000}"/>
    <cellStyle name="Normal 72 2 3 2" xfId="5805" xr:uid="{00000000-0005-0000-0000-0000AD160000}"/>
    <cellStyle name="Normal 72 2 3 2 2" xfId="5806" xr:uid="{00000000-0005-0000-0000-0000AE160000}"/>
    <cellStyle name="Normal 72 2 3 2 2 2" xfId="5807" xr:uid="{00000000-0005-0000-0000-0000AF160000}"/>
    <cellStyle name="Normal 72 2 3 2 3" xfId="5808" xr:uid="{00000000-0005-0000-0000-0000B0160000}"/>
    <cellStyle name="Normal 72 2 3 2 4" xfId="5809" xr:uid="{00000000-0005-0000-0000-0000B1160000}"/>
    <cellStyle name="Normal 72 2 3 3" xfId="5810" xr:uid="{00000000-0005-0000-0000-0000B2160000}"/>
    <cellStyle name="Normal 72 2 3 3 2" xfId="5811" xr:uid="{00000000-0005-0000-0000-0000B3160000}"/>
    <cellStyle name="Normal 72 2 3 4" xfId="5812" xr:uid="{00000000-0005-0000-0000-0000B4160000}"/>
    <cellStyle name="Normal 72 2 3 5" xfId="5813" xr:uid="{00000000-0005-0000-0000-0000B5160000}"/>
    <cellStyle name="Normal 72 2 4" xfId="5814" xr:uid="{00000000-0005-0000-0000-0000B6160000}"/>
    <cellStyle name="Normal 72 2 4 2" xfId="5815" xr:uid="{00000000-0005-0000-0000-0000B7160000}"/>
    <cellStyle name="Normal 72 2 4 2 2" xfId="5816" xr:uid="{00000000-0005-0000-0000-0000B8160000}"/>
    <cellStyle name="Normal 72 2 4 3" xfId="5817" xr:uid="{00000000-0005-0000-0000-0000B9160000}"/>
    <cellStyle name="Normal 72 2 4 4" xfId="5818" xr:uid="{00000000-0005-0000-0000-0000BA160000}"/>
    <cellStyle name="Normal 72 2 5" xfId="5819" xr:uid="{00000000-0005-0000-0000-0000BB160000}"/>
    <cellStyle name="Normal 72 2 5 2" xfId="5820" xr:uid="{00000000-0005-0000-0000-0000BC160000}"/>
    <cellStyle name="Normal 72 2 5 2 2" xfId="5821" xr:uid="{00000000-0005-0000-0000-0000BD160000}"/>
    <cellStyle name="Normal 72 2 5 3" xfId="5822" xr:uid="{00000000-0005-0000-0000-0000BE160000}"/>
    <cellStyle name="Normal 72 2 5 4" xfId="5823" xr:uid="{00000000-0005-0000-0000-0000BF160000}"/>
    <cellStyle name="Normal 72 2 6" xfId="5824" xr:uid="{00000000-0005-0000-0000-0000C0160000}"/>
    <cellStyle name="Normal 72 2 6 2" xfId="5825" xr:uid="{00000000-0005-0000-0000-0000C1160000}"/>
    <cellStyle name="Normal 72 2 7" xfId="5826" xr:uid="{00000000-0005-0000-0000-0000C2160000}"/>
    <cellStyle name="Normal 72 2 7 2" xfId="5827" xr:uid="{00000000-0005-0000-0000-0000C3160000}"/>
    <cellStyle name="Normal 72 2 8" xfId="5828" xr:uid="{00000000-0005-0000-0000-0000C4160000}"/>
    <cellStyle name="Normal 72 2 9" xfId="5829" xr:uid="{00000000-0005-0000-0000-0000C5160000}"/>
    <cellStyle name="Normal 72 3" xfId="5830" xr:uid="{00000000-0005-0000-0000-0000C6160000}"/>
    <cellStyle name="Normal 72 3 2" xfId="5831" xr:uid="{00000000-0005-0000-0000-0000C7160000}"/>
    <cellStyle name="Normal 72 3 2 2" xfId="5832" xr:uid="{00000000-0005-0000-0000-0000C8160000}"/>
    <cellStyle name="Normal 72 3 2 2 2" xfId="5833" xr:uid="{00000000-0005-0000-0000-0000C9160000}"/>
    <cellStyle name="Normal 72 3 2 2 2 2" xfId="5834" xr:uid="{00000000-0005-0000-0000-0000CA160000}"/>
    <cellStyle name="Normal 72 3 2 2 3" xfId="5835" xr:uid="{00000000-0005-0000-0000-0000CB160000}"/>
    <cellStyle name="Normal 72 3 2 3" xfId="5836" xr:uid="{00000000-0005-0000-0000-0000CC160000}"/>
    <cellStyle name="Normal 72 3 2 3 2" xfId="5837" xr:uid="{00000000-0005-0000-0000-0000CD160000}"/>
    <cellStyle name="Normal 72 3 2 4" xfId="5838" xr:uid="{00000000-0005-0000-0000-0000CE160000}"/>
    <cellStyle name="Normal 72 3 3" xfId="5839" xr:uid="{00000000-0005-0000-0000-0000CF160000}"/>
    <cellStyle name="Normal 72 3 3 2" xfId="5840" xr:uid="{00000000-0005-0000-0000-0000D0160000}"/>
    <cellStyle name="Normal 72 3 3 2 2" xfId="5841" xr:uid="{00000000-0005-0000-0000-0000D1160000}"/>
    <cellStyle name="Normal 72 3 3 3" xfId="5842" xr:uid="{00000000-0005-0000-0000-0000D2160000}"/>
    <cellStyle name="Normal 72 3 4" xfId="5843" xr:uid="{00000000-0005-0000-0000-0000D3160000}"/>
    <cellStyle name="Normal 72 3 4 2" xfId="5844" xr:uid="{00000000-0005-0000-0000-0000D4160000}"/>
    <cellStyle name="Normal 72 3 5" xfId="5845" xr:uid="{00000000-0005-0000-0000-0000D5160000}"/>
    <cellStyle name="Normal 72 4" xfId="5846" xr:uid="{00000000-0005-0000-0000-0000D6160000}"/>
    <cellStyle name="Normal 72 4 2" xfId="5847" xr:uid="{00000000-0005-0000-0000-0000D7160000}"/>
    <cellStyle name="Normal 72 4 2 2" xfId="5848" xr:uid="{00000000-0005-0000-0000-0000D8160000}"/>
    <cellStyle name="Normal 72 4 2 2 2" xfId="5849" xr:uid="{00000000-0005-0000-0000-0000D9160000}"/>
    <cellStyle name="Normal 72 4 2 3" xfId="5850" xr:uid="{00000000-0005-0000-0000-0000DA160000}"/>
    <cellStyle name="Normal 72 4 3" xfId="5851" xr:uid="{00000000-0005-0000-0000-0000DB160000}"/>
    <cellStyle name="Normal 72 4 3 2" xfId="5852" xr:uid="{00000000-0005-0000-0000-0000DC160000}"/>
    <cellStyle name="Normal 72 4 4" xfId="5853" xr:uid="{00000000-0005-0000-0000-0000DD160000}"/>
    <cellStyle name="Normal 72 5" xfId="5854" xr:uid="{00000000-0005-0000-0000-0000DE160000}"/>
    <cellStyle name="Normal 72 5 2" xfId="5855" xr:uid="{00000000-0005-0000-0000-0000DF160000}"/>
    <cellStyle name="Normal 72 5 2 2" xfId="5856" xr:uid="{00000000-0005-0000-0000-0000E0160000}"/>
    <cellStyle name="Normal 72 5 3" xfId="5857" xr:uid="{00000000-0005-0000-0000-0000E1160000}"/>
    <cellStyle name="Normal 72 6" xfId="5858" xr:uid="{00000000-0005-0000-0000-0000E2160000}"/>
    <cellStyle name="Normal 72 6 2" xfId="5859" xr:uid="{00000000-0005-0000-0000-0000E3160000}"/>
    <cellStyle name="Normal 72 7" xfId="5860" xr:uid="{00000000-0005-0000-0000-0000E4160000}"/>
    <cellStyle name="Normal 73" xfId="5861" xr:uid="{00000000-0005-0000-0000-0000E5160000}"/>
    <cellStyle name="Normal 73 2" xfId="5862" xr:uid="{00000000-0005-0000-0000-0000E6160000}"/>
    <cellStyle name="Normal 73 2 2" xfId="5863" xr:uid="{00000000-0005-0000-0000-0000E7160000}"/>
    <cellStyle name="Normal 73 2 2 2" xfId="5864" xr:uid="{00000000-0005-0000-0000-0000E8160000}"/>
    <cellStyle name="Normal 73 2 2 2 2" xfId="5865" xr:uid="{00000000-0005-0000-0000-0000E9160000}"/>
    <cellStyle name="Normal 73 2 2 2 2 2" xfId="5866" xr:uid="{00000000-0005-0000-0000-0000EA160000}"/>
    <cellStyle name="Normal 73 2 2 2 3" xfId="5867" xr:uid="{00000000-0005-0000-0000-0000EB160000}"/>
    <cellStyle name="Normal 73 2 2 2 4" xfId="5868" xr:uid="{00000000-0005-0000-0000-0000EC160000}"/>
    <cellStyle name="Normal 73 2 2 3" xfId="5869" xr:uid="{00000000-0005-0000-0000-0000ED160000}"/>
    <cellStyle name="Normal 73 2 2 3 2" xfId="5870" xr:uid="{00000000-0005-0000-0000-0000EE160000}"/>
    <cellStyle name="Normal 73 2 2 4" xfId="5871" xr:uid="{00000000-0005-0000-0000-0000EF160000}"/>
    <cellStyle name="Normal 73 2 2 4 2" xfId="5872" xr:uid="{00000000-0005-0000-0000-0000F0160000}"/>
    <cellStyle name="Normal 73 2 2 5" xfId="5873" xr:uid="{00000000-0005-0000-0000-0000F1160000}"/>
    <cellStyle name="Normal 73 2 2 6" xfId="5874" xr:uid="{00000000-0005-0000-0000-0000F2160000}"/>
    <cellStyle name="Normal 73 2 3" xfId="5875" xr:uid="{00000000-0005-0000-0000-0000F3160000}"/>
    <cellStyle name="Normal 73 2 3 2" xfId="5876" xr:uid="{00000000-0005-0000-0000-0000F4160000}"/>
    <cellStyle name="Normal 73 2 3 2 2" xfId="5877" xr:uid="{00000000-0005-0000-0000-0000F5160000}"/>
    <cellStyle name="Normal 73 2 3 2 2 2" xfId="5878" xr:uid="{00000000-0005-0000-0000-0000F6160000}"/>
    <cellStyle name="Normal 73 2 3 2 3" xfId="5879" xr:uid="{00000000-0005-0000-0000-0000F7160000}"/>
    <cellStyle name="Normal 73 2 3 2 4" xfId="5880" xr:uid="{00000000-0005-0000-0000-0000F8160000}"/>
    <cellStyle name="Normal 73 2 3 3" xfId="5881" xr:uid="{00000000-0005-0000-0000-0000F9160000}"/>
    <cellStyle name="Normal 73 2 3 3 2" xfId="5882" xr:uid="{00000000-0005-0000-0000-0000FA160000}"/>
    <cellStyle name="Normal 73 2 3 4" xfId="5883" xr:uid="{00000000-0005-0000-0000-0000FB160000}"/>
    <cellStyle name="Normal 73 2 3 5" xfId="5884" xr:uid="{00000000-0005-0000-0000-0000FC160000}"/>
    <cellStyle name="Normal 73 2 4" xfId="5885" xr:uid="{00000000-0005-0000-0000-0000FD160000}"/>
    <cellStyle name="Normal 73 2 4 2" xfId="5886" xr:uid="{00000000-0005-0000-0000-0000FE160000}"/>
    <cellStyle name="Normal 73 2 4 2 2" xfId="5887" xr:uid="{00000000-0005-0000-0000-0000FF160000}"/>
    <cellStyle name="Normal 73 2 4 3" xfId="5888" xr:uid="{00000000-0005-0000-0000-000000170000}"/>
    <cellStyle name="Normal 73 2 4 4" xfId="5889" xr:uid="{00000000-0005-0000-0000-000001170000}"/>
    <cellStyle name="Normal 73 2 5" xfId="5890" xr:uid="{00000000-0005-0000-0000-000002170000}"/>
    <cellStyle name="Normal 73 2 5 2" xfId="5891" xr:uid="{00000000-0005-0000-0000-000003170000}"/>
    <cellStyle name="Normal 73 2 5 2 2" xfId="5892" xr:uid="{00000000-0005-0000-0000-000004170000}"/>
    <cellStyle name="Normal 73 2 5 3" xfId="5893" xr:uid="{00000000-0005-0000-0000-000005170000}"/>
    <cellStyle name="Normal 73 2 5 4" xfId="5894" xr:uid="{00000000-0005-0000-0000-000006170000}"/>
    <cellStyle name="Normal 73 2 6" xfId="5895" xr:uid="{00000000-0005-0000-0000-000007170000}"/>
    <cellStyle name="Normal 73 2 6 2" xfId="5896" xr:uid="{00000000-0005-0000-0000-000008170000}"/>
    <cellStyle name="Normal 73 2 7" xfId="5897" xr:uid="{00000000-0005-0000-0000-000009170000}"/>
    <cellStyle name="Normal 73 2 7 2" xfId="5898" xr:uid="{00000000-0005-0000-0000-00000A170000}"/>
    <cellStyle name="Normal 73 2 8" xfId="5899" xr:uid="{00000000-0005-0000-0000-00000B170000}"/>
    <cellStyle name="Normal 73 2 9" xfId="5900" xr:uid="{00000000-0005-0000-0000-00000C170000}"/>
    <cellStyle name="Normal 73 3" xfId="5901" xr:uid="{00000000-0005-0000-0000-00000D170000}"/>
    <cellStyle name="Normal 73 3 2" xfId="5902" xr:uid="{00000000-0005-0000-0000-00000E170000}"/>
    <cellStyle name="Normal 73 3 2 2" xfId="5903" xr:uid="{00000000-0005-0000-0000-00000F170000}"/>
    <cellStyle name="Normal 73 3 2 2 2" xfId="5904" xr:uid="{00000000-0005-0000-0000-000010170000}"/>
    <cellStyle name="Normal 73 3 2 2 2 2" xfId="5905" xr:uid="{00000000-0005-0000-0000-000011170000}"/>
    <cellStyle name="Normal 73 3 2 2 3" xfId="5906" xr:uid="{00000000-0005-0000-0000-000012170000}"/>
    <cellStyle name="Normal 73 3 2 3" xfId="5907" xr:uid="{00000000-0005-0000-0000-000013170000}"/>
    <cellStyle name="Normal 73 3 2 3 2" xfId="5908" xr:uid="{00000000-0005-0000-0000-000014170000}"/>
    <cellStyle name="Normal 73 3 2 4" xfId="5909" xr:uid="{00000000-0005-0000-0000-000015170000}"/>
    <cellStyle name="Normal 73 3 3" xfId="5910" xr:uid="{00000000-0005-0000-0000-000016170000}"/>
    <cellStyle name="Normal 73 3 3 2" xfId="5911" xr:uid="{00000000-0005-0000-0000-000017170000}"/>
    <cellStyle name="Normal 73 3 3 2 2" xfId="5912" xr:uid="{00000000-0005-0000-0000-000018170000}"/>
    <cellStyle name="Normal 73 3 3 3" xfId="5913" xr:uid="{00000000-0005-0000-0000-000019170000}"/>
    <cellStyle name="Normal 73 3 4" xfId="5914" xr:uid="{00000000-0005-0000-0000-00001A170000}"/>
    <cellStyle name="Normal 73 3 4 2" xfId="5915" xr:uid="{00000000-0005-0000-0000-00001B170000}"/>
    <cellStyle name="Normal 73 3 5" xfId="5916" xr:uid="{00000000-0005-0000-0000-00001C170000}"/>
    <cellStyle name="Normal 73 4" xfId="5917" xr:uid="{00000000-0005-0000-0000-00001D170000}"/>
    <cellStyle name="Normal 73 4 2" xfId="5918" xr:uid="{00000000-0005-0000-0000-00001E170000}"/>
    <cellStyle name="Normal 73 4 2 2" xfId="5919" xr:uid="{00000000-0005-0000-0000-00001F170000}"/>
    <cellStyle name="Normal 73 4 2 2 2" xfId="5920" xr:uid="{00000000-0005-0000-0000-000020170000}"/>
    <cellStyle name="Normal 73 4 2 3" xfId="5921" xr:uid="{00000000-0005-0000-0000-000021170000}"/>
    <cellStyle name="Normal 73 4 3" xfId="5922" xr:uid="{00000000-0005-0000-0000-000022170000}"/>
    <cellStyle name="Normal 73 4 3 2" xfId="5923" xr:uid="{00000000-0005-0000-0000-000023170000}"/>
    <cellStyle name="Normal 73 4 4" xfId="5924" xr:uid="{00000000-0005-0000-0000-000024170000}"/>
    <cellStyle name="Normal 73 5" xfId="5925" xr:uid="{00000000-0005-0000-0000-000025170000}"/>
    <cellStyle name="Normal 73 5 2" xfId="5926" xr:uid="{00000000-0005-0000-0000-000026170000}"/>
    <cellStyle name="Normal 73 5 2 2" xfId="5927" xr:uid="{00000000-0005-0000-0000-000027170000}"/>
    <cellStyle name="Normal 73 5 2 2 2" xfId="5928" xr:uid="{00000000-0005-0000-0000-000028170000}"/>
    <cellStyle name="Normal 73 5 2 3" xfId="5929" xr:uid="{00000000-0005-0000-0000-000029170000}"/>
    <cellStyle name="Normal 73 5 3" xfId="5930" xr:uid="{00000000-0005-0000-0000-00002A170000}"/>
    <cellStyle name="Normal 73 5 3 2" xfId="5931" xr:uid="{00000000-0005-0000-0000-00002B170000}"/>
    <cellStyle name="Normal 73 5 4" xfId="5932" xr:uid="{00000000-0005-0000-0000-00002C170000}"/>
    <cellStyle name="Normal 73 6" xfId="5933" xr:uid="{00000000-0005-0000-0000-00002D170000}"/>
    <cellStyle name="Normal 73 6 2" xfId="5934" xr:uid="{00000000-0005-0000-0000-00002E170000}"/>
    <cellStyle name="Normal 73 6 2 2" xfId="5935" xr:uid="{00000000-0005-0000-0000-00002F170000}"/>
    <cellStyle name="Normal 73 6 3" xfId="5936" xr:uid="{00000000-0005-0000-0000-000030170000}"/>
    <cellStyle name="Normal 73 7" xfId="5937" xr:uid="{00000000-0005-0000-0000-000031170000}"/>
    <cellStyle name="Normal 73 7 2" xfId="5938" xr:uid="{00000000-0005-0000-0000-000032170000}"/>
    <cellStyle name="Normal 73 8" xfId="5939" xr:uid="{00000000-0005-0000-0000-000033170000}"/>
    <cellStyle name="Normal 74" xfId="5940" xr:uid="{00000000-0005-0000-0000-000034170000}"/>
    <cellStyle name="Normal 74 2" xfId="5941" xr:uid="{00000000-0005-0000-0000-000035170000}"/>
    <cellStyle name="Normal 74 2 2" xfId="5942" xr:uid="{00000000-0005-0000-0000-000036170000}"/>
    <cellStyle name="Normal 74 2 2 2" xfId="5943" xr:uid="{00000000-0005-0000-0000-000037170000}"/>
    <cellStyle name="Normal 74 2 2 2 2" xfId="5944" xr:uid="{00000000-0005-0000-0000-000038170000}"/>
    <cellStyle name="Normal 74 2 2 2 2 2" xfId="5945" xr:uid="{00000000-0005-0000-0000-000039170000}"/>
    <cellStyle name="Normal 74 2 2 2 3" xfId="5946" xr:uid="{00000000-0005-0000-0000-00003A170000}"/>
    <cellStyle name="Normal 74 2 2 2 4" xfId="5947" xr:uid="{00000000-0005-0000-0000-00003B170000}"/>
    <cellStyle name="Normal 74 2 2 3" xfId="5948" xr:uid="{00000000-0005-0000-0000-00003C170000}"/>
    <cellStyle name="Normal 74 2 2 3 2" xfId="5949" xr:uid="{00000000-0005-0000-0000-00003D170000}"/>
    <cellStyle name="Normal 74 2 2 4" xfId="5950" xr:uid="{00000000-0005-0000-0000-00003E170000}"/>
    <cellStyle name="Normal 74 2 2 4 2" xfId="5951" xr:uid="{00000000-0005-0000-0000-00003F170000}"/>
    <cellStyle name="Normal 74 2 2 5" xfId="5952" xr:uid="{00000000-0005-0000-0000-000040170000}"/>
    <cellStyle name="Normal 74 2 2 6" xfId="5953" xr:uid="{00000000-0005-0000-0000-000041170000}"/>
    <cellStyle name="Normal 74 2 3" xfId="5954" xr:uid="{00000000-0005-0000-0000-000042170000}"/>
    <cellStyle name="Normal 74 2 3 2" xfId="5955" xr:uid="{00000000-0005-0000-0000-000043170000}"/>
    <cellStyle name="Normal 74 2 3 2 2" xfId="5956" xr:uid="{00000000-0005-0000-0000-000044170000}"/>
    <cellStyle name="Normal 74 2 3 2 2 2" xfId="5957" xr:uid="{00000000-0005-0000-0000-000045170000}"/>
    <cellStyle name="Normal 74 2 3 2 3" xfId="5958" xr:uid="{00000000-0005-0000-0000-000046170000}"/>
    <cellStyle name="Normal 74 2 3 2 4" xfId="5959" xr:uid="{00000000-0005-0000-0000-000047170000}"/>
    <cellStyle name="Normal 74 2 3 3" xfId="5960" xr:uid="{00000000-0005-0000-0000-000048170000}"/>
    <cellStyle name="Normal 74 2 3 3 2" xfId="5961" xr:uid="{00000000-0005-0000-0000-000049170000}"/>
    <cellStyle name="Normal 74 2 3 4" xfId="5962" xr:uid="{00000000-0005-0000-0000-00004A170000}"/>
    <cellStyle name="Normal 74 2 3 5" xfId="5963" xr:uid="{00000000-0005-0000-0000-00004B170000}"/>
    <cellStyle name="Normal 74 2 4" xfId="5964" xr:uid="{00000000-0005-0000-0000-00004C170000}"/>
    <cellStyle name="Normal 74 2 4 2" xfId="5965" xr:uid="{00000000-0005-0000-0000-00004D170000}"/>
    <cellStyle name="Normal 74 2 4 2 2" xfId="5966" xr:uid="{00000000-0005-0000-0000-00004E170000}"/>
    <cellStyle name="Normal 74 2 4 3" xfId="5967" xr:uid="{00000000-0005-0000-0000-00004F170000}"/>
    <cellStyle name="Normal 74 2 4 4" xfId="5968" xr:uid="{00000000-0005-0000-0000-000050170000}"/>
    <cellStyle name="Normal 74 2 5" xfId="5969" xr:uid="{00000000-0005-0000-0000-000051170000}"/>
    <cellStyle name="Normal 74 2 5 2" xfId="5970" xr:uid="{00000000-0005-0000-0000-000052170000}"/>
    <cellStyle name="Normal 74 2 5 2 2" xfId="5971" xr:uid="{00000000-0005-0000-0000-000053170000}"/>
    <cellStyle name="Normal 74 2 5 3" xfId="5972" xr:uid="{00000000-0005-0000-0000-000054170000}"/>
    <cellStyle name="Normal 74 2 5 4" xfId="5973" xr:uid="{00000000-0005-0000-0000-000055170000}"/>
    <cellStyle name="Normal 74 2 6" xfId="5974" xr:uid="{00000000-0005-0000-0000-000056170000}"/>
    <cellStyle name="Normal 74 2 6 2" xfId="5975" xr:uid="{00000000-0005-0000-0000-000057170000}"/>
    <cellStyle name="Normal 74 2 7" xfId="5976" xr:uid="{00000000-0005-0000-0000-000058170000}"/>
    <cellStyle name="Normal 74 2 7 2" xfId="5977" xr:uid="{00000000-0005-0000-0000-000059170000}"/>
    <cellStyle name="Normal 74 2 8" xfId="5978" xr:uid="{00000000-0005-0000-0000-00005A170000}"/>
    <cellStyle name="Normal 74 2 9" xfId="5979" xr:uid="{00000000-0005-0000-0000-00005B170000}"/>
    <cellStyle name="Normal 74 3" xfId="5980" xr:uid="{00000000-0005-0000-0000-00005C170000}"/>
    <cellStyle name="Normal 74 3 2" xfId="5981" xr:uid="{00000000-0005-0000-0000-00005D170000}"/>
    <cellStyle name="Normal 74 3 2 2" xfId="5982" xr:uid="{00000000-0005-0000-0000-00005E170000}"/>
    <cellStyle name="Normal 74 3 2 2 2" xfId="5983" xr:uid="{00000000-0005-0000-0000-00005F170000}"/>
    <cellStyle name="Normal 74 3 2 2 2 2" xfId="5984" xr:uid="{00000000-0005-0000-0000-000060170000}"/>
    <cellStyle name="Normal 74 3 2 2 3" xfId="5985" xr:uid="{00000000-0005-0000-0000-000061170000}"/>
    <cellStyle name="Normal 74 3 2 3" xfId="5986" xr:uid="{00000000-0005-0000-0000-000062170000}"/>
    <cellStyle name="Normal 74 3 2 3 2" xfId="5987" xr:uid="{00000000-0005-0000-0000-000063170000}"/>
    <cellStyle name="Normal 74 3 2 4" xfId="5988" xr:uid="{00000000-0005-0000-0000-000064170000}"/>
    <cellStyle name="Normal 74 3 3" xfId="5989" xr:uid="{00000000-0005-0000-0000-000065170000}"/>
    <cellStyle name="Normal 74 3 3 2" xfId="5990" xr:uid="{00000000-0005-0000-0000-000066170000}"/>
    <cellStyle name="Normal 74 3 3 2 2" xfId="5991" xr:uid="{00000000-0005-0000-0000-000067170000}"/>
    <cellStyle name="Normal 74 3 3 3" xfId="5992" xr:uid="{00000000-0005-0000-0000-000068170000}"/>
    <cellStyle name="Normal 74 3 4" xfId="5993" xr:uid="{00000000-0005-0000-0000-000069170000}"/>
    <cellStyle name="Normal 74 3 4 2" xfId="5994" xr:uid="{00000000-0005-0000-0000-00006A170000}"/>
    <cellStyle name="Normal 74 3 5" xfId="5995" xr:uid="{00000000-0005-0000-0000-00006B170000}"/>
    <cellStyle name="Normal 74 4" xfId="5996" xr:uid="{00000000-0005-0000-0000-00006C170000}"/>
    <cellStyle name="Normal 74 4 2" xfId="5997" xr:uid="{00000000-0005-0000-0000-00006D170000}"/>
    <cellStyle name="Normal 74 4 2 2" xfId="5998" xr:uid="{00000000-0005-0000-0000-00006E170000}"/>
    <cellStyle name="Normal 74 4 2 2 2" xfId="5999" xr:uid="{00000000-0005-0000-0000-00006F170000}"/>
    <cellStyle name="Normal 74 4 2 3" xfId="6000" xr:uid="{00000000-0005-0000-0000-000070170000}"/>
    <cellStyle name="Normal 74 4 3" xfId="6001" xr:uid="{00000000-0005-0000-0000-000071170000}"/>
    <cellStyle name="Normal 74 4 3 2" xfId="6002" xr:uid="{00000000-0005-0000-0000-000072170000}"/>
    <cellStyle name="Normal 74 4 4" xfId="6003" xr:uid="{00000000-0005-0000-0000-000073170000}"/>
    <cellStyle name="Normal 74 5" xfId="6004" xr:uid="{00000000-0005-0000-0000-000074170000}"/>
    <cellStyle name="Normal 74 5 2" xfId="6005" xr:uid="{00000000-0005-0000-0000-000075170000}"/>
    <cellStyle name="Normal 74 5 2 2" xfId="6006" xr:uid="{00000000-0005-0000-0000-000076170000}"/>
    <cellStyle name="Normal 74 5 2 2 2" xfId="6007" xr:uid="{00000000-0005-0000-0000-000077170000}"/>
    <cellStyle name="Normal 74 5 2 3" xfId="6008" xr:uid="{00000000-0005-0000-0000-000078170000}"/>
    <cellStyle name="Normal 74 5 3" xfId="6009" xr:uid="{00000000-0005-0000-0000-000079170000}"/>
    <cellStyle name="Normal 74 5 3 2" xfId="6010" xr:uid="{00000000-0005-0000-0000-00007A170000}"/>
    <cellStyle name="Normal 74 5 4" xfId="6011" xr:uid="{00000000-0005-0000-0000-00007B170000}"/>
    <cellStyle name="Normal 74 6" xfId="6012" xr:uid="{00000000-0005-0000-0000-00007C170000}"/>
    <cellStyle name="Normal 74 6 2" xfId="6013" xr:uid="{00000000-0005-0000-0000-00007D170000}"/>
    <cellStyle name="Normal 74 6 2 2" xfId="6014" xr:uid="{00000000-0005-0000-0000-00007E170000}"/>
    <cellStyle name="Normal 74 6 3" xfId="6015" xr:uid="{00000000-0005-0000-0000-00007F170000}"/>
    <cellStyle name="Normal 74 7" xfId="6016" xr:uid="{00000000-0005-0000-0000-000080170000}"/>
    <cellStyle name="Normal 74 7 2" xfId="6017" xr:uid="{00000000-0005-0000-0000-000081170000}"/>
    <cellStyle name="Normal 74 8" xfId="6018" xr:uid="{00000000-0005-0000-0000-000082170000}"/>
    <cellStyle name="Normal 75" xfId="6019" xr:uid="{00000000-0005-0000-0000-000083170000}"/>
    <cellStyle name="Normal 75 2" xfId="6020" xr:uid="{00000000-0005-0000-0000-000084170000}"/>
    <cellStyle name="Normal 75 2 2" xfId="6021" xr:uid="{00000000-0005-0000-0000-000085170000}"/>
    <cellStyle name="Normal 75 2 2 2" xfId="6022" xr:uid="{00000000-0005-0000-0000-000086170000}"/>
    <cellStyle name="Normal 75 2 2 2 2" xfId="6023" xr:uid="{00000000-0005-0000-0000-000087170000}"/>
    <cellStyle name="Normal 75 2 2 2 2 2" xfId="6024" xr:uid="{00000000-0005-0000-0000-000088170000}"/>
    <cellStyle name="Normal 75 2 2 2 3" xfId="6025" xr:uid="{00000000-0005-0000-0000-000089170000}"/>
    <cellStyle name="Normal 75 2 2 2 4" xfId="6026" xr:uid="{00000000-0005-0000-0000-00008A170000}"/>
    <cellStyle name="Normal 75 2 2 3" xfId="6027" xr:uid="{00000000-0005-0000-0000-00008B170000}"/>
    <cellStyle name="Normal 75 2 2 3 2" xfId="6028" xr:uid="{00000000-0005-0000-0000-00008C170000}"/>
    <cellStyle name="Normal 75 2 2 4" xfId="6029" xr:uid="{00000000-0005-0000-0000-00008D170000}"/>
    <cellStyle name="Normal 75 2 2 4 2" xfId="6030" xr:uid="{00000000-0005-0000-0000-00008E170000}"/>
    <cellStyle name="Normal 75 2 2 5" xfId="6031" xr:uid="{00000000-0005-0000-0000-00008F170000}"/>
    <cellStyle name="Normal 75 2 2 6" xfId="6032" xr:uid="{00000000-0005-0000-0000-000090170000}"/>
    <cellStyle name="Normal 75 2 3" xfId="6033" xr:uid="{00000000-0005-0000-0000-000091170000}"/>
    <cellStyle name="Normal 75 2 3 2" xfId="6034" xr:uid="{00000000-0005-0000-0000-000092170000}"/>
    <cellStyle name="Normal 75 2 3 2 2" xfId="6035" xr:uid="{00000000-0005-0000-0000-000093170000}"/>
    <cellStyle name="Normal 75 2 3 2 2 2" xfId="6036" xr:uid="{00000000-0005-0000-0000-000094170000}"/>
    <cellStyle name="Normal 75 2 3 2 3" xfId="6037" xr:uid="{00000000-0005-0000-0000-000095170000}"/>
    <cellStyle name="Normal 75 2 3 2 4" xfId="6038" xr:uid="{00000000-0005-0000-0000-000096170000}"/>
    <cellStyle name="Normal 75 2 3 3" xfId="6039" xr:uid="{00000000-0005-0000-0000-000097170000}"/>
    <cellStyle name="Normal 75 2 3 3 2" xfId="6040" xr:uid="{00000000-0005-0000-0000-000098170000}"/>
    <cellStyle name="Normal 75 2 3 4" xfId="6041" xr:uid="{00000000-0005-0000-0000-000099170000}"/>
    <cellStyle name="Normal 75 2 3 5" xfId="6042" xr:uid="{00000000-0005-0000-0000-00009A170000}"/>
    <cellStyle name="Normal 75 2 4" xfId="6043" xr:uid="{00000000-0005-0000-0000-00009B170000}"/>
    <cellStyle name="Normal 75 2 4 2" xfId="6044" xr:uid="{00000000-0005-0000-0000-00009C170000}"/>
    <cellStyle name="Normal 75 2 4 2 2" xfId="6045" xr:uid="{00000000-0005-0000-0000-00009D170000}"/>
    <cellStyle name="Normal 75 2 4 3" xfId="6046" xr:uid="{00000000-0005-0000-0000-00009E170000}"/>
    <cellStyle name="Normal 75 2 4 4" xfId="6047" xr:uid="{00000000-0005-0000-0000-00009F170000}"/>
    <cellStyle name="Normal 75 2 5" xfId="6048" xr:uid="{00000000-0005-0000-0000-0000A0170000}"/>
    <cellStyle name="Normal 75 2 5 2" xfId="6049" xr:uid="{00000000-0005-0000-0000-0000A1170000}"/>
    <cellStyle name="Normal 75 2 5 2 2" xfId="6050" xr:uid="{00000000-0005-0000-0000-0000A2170000}"/>
    <cellStyle name="Normal 75 2 5 3" xfId="6051" xr:uid="{00000000-0005-0000-0000-0000A3170000}"/>
    <cellStyle name="Normal 75 2 5 4" xfId="6052" xr:uid="{00000000-0005-0000-0000-0000A4170000}"/>
    <cellStyle name="Normal 75 2 6" xfId="6053" xr:uid="{00000000-0005-0000-0000-0000A5170000}"/>
    <cellStyle name="Normal 75 2 6 2" xfId="6054" xr:uid="{00000000-0005-0000-0000-0000A6170000}"/>
    <cellStyle name="Normal 75 2 7" xfId="6055" xr:uid="{00000000-0005-0000-0000-0000A7170000}"/>
    <cellStyle name="Normal 75 2 7 2" xfId="6056" xr:uid="{00000000-0005-0000-0000-0000A8170000}"/>
    <cellStyle name="Normal 75 2 8" xfId="6057" xr:uid="{00000000-0005-0000-0000-0000A9170000}"/>
    <cellStyle name="Normal 75 2 9" xfId="6058" xr:uid="{00000000-0005-0000-0000-0000AA170000}"/>
    <cellStyle name="Normal 75 3" xfId="6059" xr:uid="{00000000-0005-0000-0000-0000AB170000}"/>
    <cellStyle name="Normal 75 3 2" xfId="6060" xr:uid="{00000000-0005-0000-0000-0000AC170000}"/>
    <cellStyle name="Normal 75 3 2 2" xfId="6061" xr:uid="{00000000-0005-0000-0000-0000AD170000}"/>
    <cellStyle name="Normal 75 3 2 2 2" xfId="6062" xr:uid="{00000000-0005-0000-0000-0000AE170000}"/>
    <cellStyle name="Normal 75 3 2 2 2 2" xfId="6063" xr:uid="{00000000-0005-0000-0000-0000AF170000}"/>
    <cellStyle name="Normal 75 3 2 2 3" xfId="6064" xr:uid="{00000000-0005-0000-0000-0000B0170000}"/>
    <cellStyle name="Normal 75 3 2 3" xfId="6065" xr:uid="{00000000-0005-0000-0000-0000B1170000}"/>
    <cellStyle name="Normal 75 3 2 3 2" xfId="6066" xr:uid="{00000000-0005-0000-0000-0000B2170000}"/>
    <cellStyle name="Normal 75 3 2 4" xfId="6067" xr:uid="{00000000-0005-0000-0000-0000B3170000}"/>
    <cellStyle name="Normal 75 3 3" xfId="6068" xr:uid="{00000000-0005-0000-0000-0000B4170000}"/>
    <cellStyle name="Normal 75 3 3 2" xfId="6069" xr:uid="{00000000-0005-0000-0000-0000B5170000}"/>
    <cellStyle name="Normal 75 3 3 2 2" xfId="6070" xr:uid="{00000000-0005-0000-0000-0000B6170000}"/>
    <cellStyle name="Normal 75 3 3 3" xfId="6071" xr:uid="{00000000-0005-0000-0000-0000B7170000}"/>
    <cellStyle name="Normal 75 3 4" xfId="6072" xr:uid="{00000000-0005-0000-0000-0000B8170000}"/>
    <cellStyle name="Normal 75 3 4 2" xfId="6073" xr:uid="{00000000-0005-0000-0000-0000B9170000}"/>
    <cellStyle name="Normal 75 3 5" xfId="6074" xr:uid="{00000000-0005-0000-0000-0000BA170000}"/>
    <cellStyle name="Normal 75 4" xfId="6075" xr:uid="{00000000-0005-0000-0000-0000BB170000}"/>
    <cellStyle name="Normal 75 4 2" xfId="6076" xr:uid="{00000000-0005-0000-0000-0000BC170000}"/>
    <cellStyle name="Normal 75 4 2 2" xfId="6077" xr:uid="{00000000-0005-0000-0000-0000BD170000}"/>
    <cellStyle name="Normal 75 4 2 2 2" xfId="6078" xr:uid="{00000000-0005-0000-0000-0000BE170000}"/>
    <cellStyle name="Normal 75 4 2 3" xfId="6079" xr:uid="{00000000-0005-0000-0000-0000BF170000}"/>
    <cellStyle name="Normal 75 4 3" xfId="6080" xr:uid="{00000000-0005-0000-0000-0000C0170000}"/>
    <cellStyle name="Normal 75 4 3 2" xfId="6081" xr:uid="{00000000-0005-0000-0000-0000C1170000}"/>
    <cellStyle name="Normal 75 4 4" xfId="6082" xr:uid="{00000000-0005-0000-0000-0000C2170000}"/>
    <cellStyle name="Normal 75 5" xfId="6083" xr:uid="{00000000-0005-0000-0000-0000C3170000}"/>
    <cellStyle name="Normal 75 5 2" xfId="6084" xr:uid="{00000000-0005-0000-0000-0000C4170000}"/>
    <cellStyle name="Normal 75 5 2 2" xfId="6085" xr:uid="{00000000-0005-0000-0000-0000C5170000}"/>
    <cellStyle name="Normal 75 5 3" xfId="6086" xr:uid="{00000000-0005-0000-0000-0000C6170000}"/>
    <cellStyle name="Normal 75 6" xfId="6087" xr:uid="{00000000-0005-0000-0000-0000C7170000}"/>
    <cellStyle name="Normal 75 6 2" xfId="6088" xr:uid="{00000000-0005-0000-0000-0000C8170000}"/>
    <cellStyle name="Normal 75 7" xfId="6089" xr:uid="{00000000-0005-0000-0000-0000C9170000}"/>
    <cellStyle name="Normal 76" xfId="6090" xr:uid="{00000000-0005-0000-0000-0000CA170000}"/>
    <cellStyle name="Normal 76 2" xfId="6091" xr:uid="{00000000-0005-0000-0000-0000CB170000}"/>
    <cellStyle name="Normal 76 2 2" xfId="6092" xr:uid="{00000000-0005-0000-0000-0000CC170000}"/>
    <cellStyle name="Normal 76 2 2 2" xfId="6093" xr:uid="{00000000-0005-0000-0000-0000CD170000}"/>
    <cellStyle name="Normal 76 2 2 2 2" xfId="6094" xr:uid="{00000000-0005-0000-0000-0000CE170000}"/>
    <cellStyle name="Normal 76 2 2 2 2 2" xfId="6095" xr:uid="{00000000-0005-0000-0000-0000CF170000}"/>
    <cellStyle name="Normal 76 2 2 2 3" xfId="6096" xr:uid="{00000000-0005-0000-0000-0000D0170000}"/>
    <cellStyle name="Normal 76 2 2 2 4" xfId="6097" xr:uid="{00000000-0005-0000-0000-0000D1170000}"/>
    <cellStyle name="Normal 76 2 2 3" xfId="6098" xr:uid="{00000000-0005-0000-0000-0000D2170000}"/>
    <cellStyle name="Normal 76 2 2 3 2" xfId="6099" xr:uid="{00000000-0005-0000-0000-0000D3170000}"/>
    <cellStyle name="Normal 76 2 2 4" xfId="6100" xr:uid="{00000000-0005-0000-0000-0000D4170000}"/>
    <cellStyle name="Normal 76 2 2 4 2" xfId="6101" xr:uid="{00000000-0005-0000-0000-0000D5170000}"/>
    <cellStyle name="Normal 76 2 2 5" xfId="6102" xr:uid="{00000000-0005-0000-0000-0000D6170000}"/>
    <cellStyle name="Normal 76 2 2 6" xfId="6103" xr:uid="{00000000-0005-0000-0000-0000D7170000}"/>
    <cellStyle name="Normal 76 2 3" xfId="6104" xr:uid="{00000000-0005-0000-0000-0000D8170000}"/>
    <cellStyle name="Normal 76 2 3 2" xfId="6105" xr:uid="{00000000-0005-0000-0000-0000D9170000}"/>
    <cellStyle name="Normal 76 2 3 2 2" xfId="6106" xr:uid="{00000000-0005-0000-0000-0000DA170000}"/>
    <cellStyle name="Normal 76 2 3 2 2 2" xfId="6107" xr:uid="{00000000-0005-0000-0000-0000DB170000}"/>
    <cellStyle name="Normal 76 2 3 2 3" xfId="6108" xr:uid="{00000000-0005-0000-0000-0000DC170000}"/>
    <cellStyle name="Normal 76 2 3 2 4" xfId="6109" xr:uid="{00000000-0005-0000-0000-0000DD170000}"/>
    <cellStyle name="Normal 76 2 3 3" xfId="6110" xr:uid="{00000000-0005-0000-0000-0000DE170000}"/>
    <cellStyle name="Normal 76 2 3 3 2" xfId="6111" xr:uid="{00000000-0005-0000-0000-0000DF170000}"/>
    <cellStyle name="Normal 76 2 3 4" xfId="6112" xr:uid="{00000000-0005-0000-0000-0000E0170000}"/>
    <cellStyle name="Normal 76 2 3 5" xfId="6113" xr:uid="{00000000-0005-0000-0000-0000E1170000}"/>
    <cellStyle name="Normal 76 2 4" xfId="6114" xr:uid="{00000000-0005-0000-0000-0000E2170000}"/>
    <cellStyle name="Normal 76 2 4 2" xfId="6115" xr:uid="{00000000-0005-0000-0000-0000E3170000}"/>
    <cellStyle name="Normal 76 2 4 2 2" xfId="6116" xr:uid="{00000000-0005-0000-0000-0000E4170000}"/>
    <cellStyle name="Normal 76 2 4 3" xfId="6117" xr:uid="{00000000-0005-0000-0000-0000E5170000}"/>
    <cellStyle name="Normal 76 2 4 4" xfId="6118" xr:uid="{00000000-0005-0000-0000-0000E6170000}"/>
    <cellStyle name="Normal 76 2 5" xfId="6119" xr:uid="{00000000-0005-0000-0000-0000E7170000}"/>
    <cellStyle name="Normal 76 2 5 2" xfId="6120" xr:uid="{00000000-0005-0000-0000-0000E8170000}"/>
    <cellStyle name="Normal 76 2 5 2 2" xfId="6121" xr:uid="{00000000-0005-0000-0000-0000E9170000}"/>
    <cellStyle name="Normal 76 2 5 3" xfId="6122" xr:uid="{00000000-0005-0000-0000-0000EA170000}"/>
    <cellStyle name="Normal 76 2 5 4" xfId="6123" xr:uid="{00000000-0005-0000-0000-0000EB170000}"/>
    <cellStyle name="Normal 76 2 6" xfId="6124" xr:uid="{00000000-0005-0000-0000-0000EC170000}"/>
    <cellStyle name="Normal 76 2 6 2" xfId="6125" xr:uid="{00000000-0005-0000-0000-0000ED170000}"/>
    <cellStyle name="Normal 76 2 7" xfId="6126" xr:uid="{00000000-0005-0000-0000-0000EE170000}"/>
    <cellStyle name="Normal 76 2 7 2" xfId="6127" xr:uid="{00000000-0005-0000-0000-0000EF170000}"/>
    <cellStyle name="Normal 76 2 8" xfId="6128" xr:uid="{00000000-0005-0000-0000-0000F0170000}"/>
    <cellStyle name="Normal 76 2 9" xfId="6129" xr:uid="{00000000-0005-0000-0000-0000F1170000}"/>
    <cellStyle name="Normal 76 3" xfId="6130" xr:uid="{00000000-0005-0000-0000-0000F2170000}"/>
    <cellStyle name="Normal 76 3 2" xfId="6131" xr:uid="{00000000-0005-0000-0000-0000F3170000}"/>
    <cellStyle name="Normal 76 3 2 2" xfId="6132" xr:uid="{00000000-0005-0000-0000-0000F4170000}"/>
    <cellStyle name="Normal 76 3 2 2 2" xfId="6133" xr:uid="{00000000-0005-0000-0000-0000F5170000}"/>
    <cellStyle name="Normal 76 3 2 2 2 2" xfId="6134" xr:uid="{00000000-0005-0000-0000-0000F6170000}"/>
    <cellStyle name="Normal 76 3 2 2 3" xfId="6135" xr:uid="{00000000-0005-0000-0000-0000F7170000}"/>
    <cellStyle name="Normal 76 3 2 3" xfId="6136" xr:uid="{00000000-0005-0000-0000-0000F8170000}"/>
    <cellStyle name="Normal 76 3 2 3 2" xfId="6137" xr:uid="{00000000-0005-0000-0000-0000F9170000}"/>
    <cellStyle name="Normal 76 3 2 4" xfId="6138" xr:uid="{00000000-0005-0000-0000-0000FA170000}"/>
    <cellStyle name="Normal 76 3 3" xfId="6139" xr:uid="{00000000-0005-0000-0000-0000FB170000}"/>
    <cellStyle name="Normal 76 3 3 2" xfId="6140" xr:uid="{00000000-0005-0000-0000-0000FC170000}"/>
    <cellStyle name="Normal 76 3 3 2 2" xfId="6141" xr:uid="{00000000-0005-0000-0000-0000FD170000}"/>
    <cellStyle name="Normal 76 3 3 3" xfId="6142" xr:uid="{00000000-0005-0000-0000-0000FE170000}"/>
    <cellStyle name="Normal 76 3 4" xfId="6143" xr:uid="{00000000-0005-0000-0000-0000FF170000}"/>
    <cellStyle name="Normal 76 3 4 2" xfId="6144" xr:uid="{00000000-0005-0000-0000-000000180000}"/>
    <cellStyle name="Normal 76 3 5" xfId="6145" xr:uid="{00000000-0005-0000-0000-000001180000}"/>
    <cellStyle name="Normal 76 4" xfId="6146" xr:uid="{00000000-0005-0000-0000-000002180000}"/>
    <cellStyle name="Normal 76 4 2" xfId="6147" xr:uid="{00000000-0005-0000-0000-000003180000}"/>
    <cellStyle name="Normal 76 4 2 2" xfId="6148" xr:uid="{00000000-0005-0000-0000-000004180000}"/>
    <cellStyle name="Normal 76 4 2 2 2" xfId="6149" xr:uid="{00000000-0005-0000-0000-000005180000}"/>
    <cellStyle name="Normal 76 4 2 3" xfId="6150" xr:uid="{00000000-0005-0000-0000-000006180000}"/>
    <cellStyle name="Normal 76 4 3" xfId="6151" xr:uid="{00000000-0005-0000-0000-000007180000}"/>
    <cellStyle name="Normal 76 4 3 2" xfId="6152" xr:uid="{00000000-0005-0000-0000-000008180000}"/>
    <cellStyle name="Normal 76 4 4" xfId="6153" xr:uid="{00000000-0005-0000-0000-000009180000}"/>
    <cellStyle name="Normal 76 5" xfId="6154" xr:uid="{00000000-0005-0000-0000-00000A180000}"/>
    <cellStyle name="Normal 76 5 2" xfId="6155" xr:uid="{00000000-0005-0000-0000-00000B180000}"/>
    <cellStyle name="Normal 76 5 2 2" xfId="6156" xr:uid="{00000000-0005-0000-0000-00000C180000}"/>
    <cellStyle name="Normal 76 5 3" xfId="6157" xr:uid="{00000000-0005-0000-0000-00000D180000}"/>
    <cellStyle name="Normal 76 6" xfId="6158" xr:uid="{00000000-0005-0000-0000-00000E180000}"/>
    <cellStyle name="Normal 76 6 2" xfId="6159" xr:uid="{00000000-0005-0000-0000-00000F180000}"/>
    <cellStyle name="Normal 76 7" xfId="6160" xr:uid="{00000000-0005-0000-0000-000010180000}"/>
    <cellStyle name="Normal 77" xfId="6161" xr:uid="{00000000-0005-0000-0000-000011180000}"/>
    <cellStyle name="Normal 77 2" xfId="6162" xr:uid="{00000000-0005-0000-0000-000012180000}"/>
    <cellStyle name="Normal 77 2 2" xfId="6163" xr:uid="{00000000-0005-0000-0000-000013180000}"/>
    <cellStyle name="Normal 77 2 2 2" xfId="6164" xr:uid="{00000000-0005-0000-0000-000014180000}"/>
    <cellStyle name="Normal 77 2 2 2 2" xfId="6165" xr:uid="{00000000-0005-0000-0000-000015180000}"/>
    <cellStyle name="Normal 77 2 2 3" xfId="6166" xr:uid="{00000000-0005-0000-0000-000016180000}"/>
    <cellStyle name="Normal 77 2 3" xfId="6167" xr:uid="{00000000-0005-0000-0000-000017180000}"/>
    <cellStyle name="Normal 77 2 3 2" xfId="6168" xr:uid="{00000000-0005-0000-0000-000018180000}"/>
    <cellStyle name="Normal 77 2 4" xfId="6169" xr:uid="{00000000-0005-0000-0000-000019180000}"/>
    <cellStyle name="Normal 77 3" xfId="6170" xr:uid="{00000000-0005-0000-0000-00001A180000}"/>
    <cellStyle name="Normal 77 3 2" xfId="6171" xr:uid="{00000000-0005-0000-0000-00001B180000}"/>
    <cellStyle name="Normal 77 3 2 2" xfId="6172" xr:uid="{00000000-0005-0000-0000-00001C180000}"/>
    <cellStyle name="Normal 77 3 2 2 2" xfId="6173" xr:uid="{00000000-0005-0000-0000-00001D180000}"/>
    <cellStyle name="Normal 77 3 2 3" xfId="6174" xr:uid="{00000000-0005-0000-0000-00001E180000}"/>
    <cellStyle name="Normal 77 3 3" xfId="6175" xr:uid="{00000000-0005-0000-0000-00001F180000}"/>
    <cellStyle name="Normal 77 3 3 2" xfId="6176" xr:uid="{00000000-0005-0000-0000-000020180000}"/>
    <cellStyle name="Normal 77 3 4" xfId="6177" xr:uid="{00000000-0005-0000-0000-000021180000}"/>
    <cellStyle name="Normal 77 4" xfId="6178" xr:uid="{00000000-0005-0000-0000-000022180000}"/>
    <cellStyle name="Normal 77 4 2" xfId="6179" xr:uid="{00000000-0005-0000-0000-000023180000}"/>
    <cellStyle name="Normal 77 4 2 2" xfId="6180" xr:uid="{00000000-0005-0000-0000-000024180000}"/>
    <cellStyle name="Normal 77 4 3" xfId="6181" xr:uid="{00000000-0005-0000-0000-000025180000}"/>
    <cellStyle name="Normal 77 5" xfId="6182" xr:uid="{00000000-0005-0000-0000-000026180000}"/>
    <cellStyle name="Normal 77 5 2" xfId="6183" xr:uid="{00000000-0005-0000-0000-000027180000}"/>
    <cellStyle name="Normal 77 6" xfId="6184" xr:uid="{00000000-0005-0000-0000-000028180000}"/>
    <cellStyle name="Normal 78" xfId="6185" xr:uid="{00000000-0005-0000-0000-000029180000}"/>
    <cellStyle name="Normal 78 2" xfId="6186" xr:uid="{00000000-0005-0000-0000-00002A180000}"/>
    <cellStyle name="Normal 78 2 2" xfId="6187" xr:uid="{00000000-0005-0000-0000-00002B180000}"/>
    <cellStyle name="Normal 78 2 2 2" xfId="6188" xr:uid="{00000000-0005-0000-0000-00002C180000}"/>
    <cellStyle name="Normal 78 2 2 2 2" xfId="6189" xr:uid="{00000000-0005-0000-0000-00002D180000}"/>
    <cellStyle name="Normal 78 2 2 3" xfId="6190" xr:uid="{00000000-0005-0000-0000-00002E180000}"/>
    <cellStyle name="Normal 78 2 3" xfId="6191" xr:uid="{00000000-0005-0000-0000-00002F180000}"/>
    <cellStyle name="Normal 78 2 3 2" xfId="6192" xr:uid="{00000000-0005-0000-0000-000030180000}"/>
    <cellStyle name="Normal 78 2 4" xfId="6193" xr:uid="{00000000-0005-0000-0000-000031180000}"/>
    <cellStyle name="Normal 78 3" xfId="6194" xr:uid="{00000000-0005-0000-0000-000032180000}"/>
    <cellStyle name="Normal 78 3 2" xfId="6195" xr:uid="{00000000-0005-0000-0000-000033180000}"/>
    <cellStyle name="Normal 78 3 2 2" xfId="6196" xr:uid="{00000000-0005-0000-0000-000034180000}"/>
    <cellStyle name="Normal 78 3 2 2 2" xfId="6197" xr:uid="{00000000-0005-0000-0000-000035180000}"/>
    <cellStyle name="Normal 78 3 2 3" xfId="6198" xr:uid="{00000000-0005-0000-0000-000036180000}"/>
    <cellStyle name="Normal 78 3 3" xfId="6199" xr:uid="{00000000-0005-0000-0000-000037180000}"/>
    <cellStyle name="Normal 78 3 3 2" xfId="6200" xr:uid="{00000000-0005-0000-0000-000038180000}"/>
    <cellStyle name="Normal 78 3 4" xfId="6201" xr:uid="{00000000-0005-0000-0000-000039180000}"/>
    <cellStyle name="Normal 78 4" xfId="6202" xr:uid="{00000000-0005-0000-0000-00003A180000}"/>
    <cellStyle name="Normal 78 4 2" xfId="6203" xr:uid="{00000000-0005-0000-0000-00003B180000}"/>
    <cellStyle name="Normal 78 4 2 2" xfId="6204" xr:uid="{00000000-0005-0000-0000-00003C180000}"/>
    <cellStyle name="Normal 78 4 3" xfId="6205" xr:uid="{00000000-0005-0000-0000-00003D180000}"/>
    <cellStyle name="Normal 78 5" xfId="6206" xr:uid="{00000000-0005-0000-0000-00003E180000}"/>
    <cellStyle name="Normal 78 5 2" xfId="6207" xr:uid="{00000000-0005-0000-0000-00003F180000}"/>
    <cellStyle name="Normal 78 6" xfId="6208" xr:uid="{00000000-0005-0000-0000-000040180000}"/>
    <cellStyle name="Normal 79" xfId="6209" xr:uid="{00000000-0005-0000-0000-000041180000}"/>
    <cellStyle name="Normal 79 2" xfId="6210" xr:uid="{00000000-0005-0000-0000-000042180000}"/>
    <cellStyle name="Normal 79 2 2" xfId="6211" xr:uid="{00000000-0005-0000-0000-000043180000}"/>
    <cellStyle name="Normal 79 2 2 2" xfId="6212" xr:uid="{00000000-0005-0000-0000-000044180000}"/>
    <cellStyle name="Normal 79 2 2 2 2" xfId="6213" xr:uid="{00000000-0005-0000-0000-000045180000}"/>
    <cellStyle name="Normal 79 2 2 2 2 2" xfId="6214" xr:uid="{00000000-0005-0000-0000-000046180000}"/>
    <cellStyle name="Normal 79 2 2 2 3" xfId="6215" xr:uid="{00000000-0005-0000-0000-000047180000}"/>
    <cellStyle name="Normal 79 2 2 2 4" xfId="6216" xr:uid="{00000000-0005-0000-0000-000048180000}"/>
    <cellStyle name="Normal 79 2 2 3" xfId="6217" xr:uid="{00000000-0005-0000-0000-000049180000}"/>
    <cellStyle name="Normal 79 2 2 3 2" xfId="6218" xr:uid="{00000000-0005-0000-0000-00004A180000}"/>
    <cellStyle name="Normal 79 2 2 4" xfId="6219" xr:uid="{00000000-0005-0000-0000-00004B180000}"/>
    <cellStyle name="Normal 79 2 2 4 2" xfId="6220" xr:uid="{00000000-0005-0000-0000-00004C180000}"/>
    <cellStyle name="Normal 79 2 2 5" xfId="6221" xr:uid="{00000000-0005-0000-0000-00004D180000}"/>
    <cellStyle name="Normal 79 2 2 6" xfId="6222" xr:uid="{00000000-0005-0000-0000-00004E180000}"/>
    <cellStyle name="Normal 79 2 3" xfId="6223" xr:uid="{00000000-0005-0000-0000-00004F180000}"/>
    <cellStyle name="Normal 79 2 3 2" xfId="6224" xr:uid="{00000000-0005-0000-0000-000050180000}"/>
    <cellStyle name="Normal 79 2 3 2 2" xfId="6225" xr:uid="{00000000-0005-0000-0000-000051180000}"/>
    <cellStyle name="Normal 79 2 3 2 2 2" xfId="6226" xr:uid="{00000000-0005-0000-0000-000052180000}"/>
    <cellStyle name="Normal 79 2 3 2 3" xfId="6227" xr:uid="{00000000-0005-0000-0000-000053180000}"/>
    <cellStyle name="Normal 79 2 3 2 4" xfId="6228" xr:uid="{00000000-0005-0000-0000-000054180000}"/>
    <cellStyle name="Normal 79 2 3 3" xfId="6229" xr:uid="{00000000-0005-0000-0000-000055180000}"/>
    <cellStyle name="Normal 79 2 3 3 2" xfId="6230" xr:uid="{00000000-0005-0000-0000-000056180000}"/>
    <cellStyle name="Normal 79 2 3 4" xfId="6231" xr:uid="{00000000-0005-0000-0000-000057180000}"/>
    <cellStyle name="Normal 79 2 3 5" xfId="6232" xr:uid="{00000000-0005-0000-0000-000058180000}"/>
    <cellStyle name="Normal 79 2 4" xfId="6233" xr:uid="{00000000-0005-0000-0000-000059180000}"/>
    <cellStyle name="Normal 79 2 4 2" xfId="6234" xr:uid="{00000000-0005-0000-0000-00005A180000}"/>
    <cellStyle name="Normal 79 2 4 2 2" xfId="6235" xr:uid="{00000000-0005-0000-0000-00005B180000}"/>
    <cellStyle name="Normal 79 2 4 3" xfId="6236" xr:uid="{00000000-0005-0000-0000-00005C180000}"/>
    <cellStyle name="Normal 79 2 4 4" xfId="6237" xr:uid="{00000000-0005-0000-0000-00005D180000}"/>
    <cellStyle name="Normal 79 2 5" xfId="6238" xr:uid="{00000000-0005-0000-0000-00005E180000}"/>
    <cellStyle name="Normal 79 2 5 2" xfId="6239" xr:uid="{00000000-0005-0000-0000-00005F180000}"/>
    <cellStyle name="Normal 79 2 5 2 2" xfId="6240" xr:uid="{00000000-0005-0000-0000-000060180000}"/>
    <cellStyle name="Normal 79 2 5 3" xfId="6241" xr:uid="{00000000-0005-0000-0000-000061180000}"/>
    <cellStyle name="Normal 79 2 5 4" xfId="6242" xr:uid="{00000000-0005-0000-0000-000062180000}"/>
    <cellStyle name="Normal 79 2 6" xfId="6243" xr:uid="{00000000-0005-0000-0000-000063180000}"/>
    <cellStyle name="Normal 79 2 6 2" xfId="6244" xr:uid="{00000000-0005-0000-0000-000064180000}"/>
    <cellStyle name="Normal 79 2 7" xfId="6245" xr:uid="{00000000-0005-0000-0000-000065180000}"/>
    <cellStyle name="Normal 79 2 7 2" xfId="6246" xr:uid="{00000000-0005-0000-0000-000066180000}"/>
    <cellStyle name="Normal 79 2 8" xfId="6247" xr:uid="{00000000-0005-0000-0000-000067180000}"/>
    <cellStyle name="Normal 79 2 9" xfId="6248" xr:uid="{00000000-0005-0000-0000-000068180000}"/>
    <cellStyle name="Normal 79 3" xfId="6249" xr:uid="{00000000-0005-0000-0000-000069180000}"/>
    <cellStyle name="Normal 79 3 2" xfId="6250" xr:uid="{00000000-0005-0000-0000-00006A180000}"/>
    <cellStyle name="Normal 79 3 2 2" xfId="6251" xr:uid="{00000000-0005-0000-0000-00006B180000}"/>
    <cellStyle name="Normal 79 3 2 2 2" xfId="6252" xr:uid="{00000000-0005-0000-0000-00006C180000}"/>
    <cellStyle name="Normal 79 3 2 2 2 2" xfId="6253" xr:uid="{00000000-0005-0000-0000-00006D180000}"/>
    <cellStyle name="Normal 79 3 2 2 3" xfId="6254" xr:uid="{00000000-0005-0000-0000-00006E180000}"/>
    <cellStyle name="Normal 79 3 2 3" xfId="6255" xr:uid="{00000000-0005-0000-0000-00006F180000}"/>
    <cellStyle name="Normal 79 3 2 3 2" xfId="6256" xr:uid="{00000000-0005-0000-0000-000070180000}"/>
    <cellStyle name="Normal 79 3 2 4" xfId="6257" xr:uid="{00000000-0005-0000-0000-000071180000}"/>
    <cellStyle name="Normal 79 3 3" xfId="6258" xr:uid="{00000000-0005-0000-0000-000072180000}"/>
    <cellStyle name="Normal 79 3 3 2" xfId="6259" xr:uid="{00000000-0005-0000-0000-000073180000}"/>
    <cellStyle name="Normal 79 3 3 2 2" xfId="6260" xr:uid="{00000000-0005-0000-0000-000074180000}"/>
    <cellStyle name="Normal 79 3 3 3" xfId="6261" xr:uid="{00000000-0005-0000-0000-000075180000}"/>
    <cellStyle name="Normal 79 3 4" xfId="6262" xr:uid="{00000000-0005-0000-0000-000076180000}"/>
    <cellStyle name="Normal 79 3 4 2" xfId="6263" xr:uid="{00000000-0005-0000-0000-000077180000}"/>
    <cellStyle name="Normal 79 3 5" xfId="6264" xr:uid="{00000000-0005-0000-0000-000078180000}"/>
    <cellStyle name="Normal 79 4" xfId="6265" xr:uid="{00000000-0005-0000-0000-000079180000}"/>
    <cellStyle name="Normal 79 4 2" xfId="6266" xr:uid="{00000000-0005-0000-0000-00007A180000}"/>
    <cellStyle name="Normal 79 4 2 2" xfId="6267" xr:uid="{00000000-0005-0000-0000-00007B180000}"/>
    <cellStyle name="Normal 79 4 2 2 2" xfId="6268" xr:uid="{00000000-0005-0000-0000-00007C180000}"/>
    <cellStyle name="Normal 79 4 2 3" xfId="6269" xr:uid="{00000000-0005-0000-0000-00007D180000}"/>
    <cellStyle name="Normal 79 4 3" xfId="6270" xr:uid="{00000000-0005-0000-0000-00007E180000}"/>
    <cellStyle name="Normal 79 4 3 2" xfId="6271" xr:uid="{00000000-0005-0000-0000-00007F180000}"/>
    <cellStyle name="Normal 79 4 4" xfId="6272" xr:uid="{00000000-0005-0000-0000-000080180000}"/>
    <cellStyle name="Normal 79 5" xfId="6273" xr:uid="{00000000-0005-0000-0000-000081180000}"/>
    <cellStyle name="Normal 79 5 2" xfId="6274" xr:uid="{00000000-0005-0000-0000-000082180000}"/>
    <cellStyle name="Normal 79 5 2 2" xfId="6275" xr:uid="{00000000-0005-0000-0000-000083180000}"/>
    <cellStyle name="Normal 79 5 3" xfId="6276" xr:uid="{00000000-0005-0000-0000-000084180000}"/>
    <cellStyle name="Normal 79 6" xfId="6277" xr:uid="{00000000-0005-0000-0000-000085180000}"/>
    <cellStyle name="Normal 79 6 2" xfId="6278" xr:uid="{00000000-0005-0000-0000-000086180000}"/>
    <cellStyle name="Normal 79 7" xfId="6279" xr:uid="{00000000-0005-0000-0000-000087180000}"/>
    <cellStyle name="Normal 8" xfId="6280" xr:uid="{00000000-0005-0000-0000-000088180000}"/>
    <cellStyle name="Normal 8 2" xfId="6281" xr:uid="{00000000-0005-0000-0000-000089180000}"/>
    <cellStyle name="Normal 8 3" xfId="6282" xr:uid="{00000000-0005-0000-0000-00008A180000}"/>
    <cellStyle name="Normal 8 3 2" xfId="6283" xr:uid="{00000000-0005-0000-0000-00008B180000}"/>
    <cellStyle name="Normal 8_Dual_Mode_Time" xfId="6284" xr:uid="{00000000-0005-0000-0000-00008C180000}"/>
    <cellStyle name="Normal 80" xfId="6285" xr:uid="{00000000-0005-0000-0000-00008D180000}"/>
    <cellStyle name="Normal 80 2" xfId="6286" xr:uid="{00000000-0005-0000-0000-00008E180000}"/>
    <cellStyle name="Normal 80 2 2" xfId="6287" xr:uid="{00000000-0005-0000-0000-00008F180000}"/>
    <cellStyle name="Normal 80 2 2 2" xfId="6288" xr:uid="{00000000-0005-0000-0000-000090180000}"/>
    <cellStyle name="Normal 80 2 2 2 2" xfId="6289" xr:uid="{00000000-0005-0000-0000-000091180000}"/>
    <cellStyle name="Normal 80 2 2 2 2 2" xfId="6290" xr:uid="{00000000-0005-0000-0000-000092180000}"/>
    <cellStyle name="Normal 80 2 2 2 3" xfId="6291" xr:uid="{00000000-0005-0000-0000-000093180000}"/>
    <cellStyle name="Normal 80 2 2 2 4" xfId="6292" xr:uid="{00000000-0005-0000-0000-000094180000}"/>
    <cellStyle name="Normal 80 2 2 3" xfId="6293" xr:uid="{00000000-0005-0000-0000-000095180000}"/>
    <cellStyle name="Normal 80 2 2 3 2" xfId="6294" xr:uid="{00000000-0005-0000-0000-000096180000}"/>
    <cellStyle name="Normal 80 2 2 4" xfId="6295" xr:uid="{00000000-0005-0000-0000-000097180000}"/>
    <cellStyle name="Normal 80 2 2 4 2" xfId="6296" xr:uid="{00000000-0005-0000-0000-000098180000}"/>
    <cellStyle name="Normal 80 2 2 5" xfId="6297" xr:uid="{00000000-0005-0000-0000-000099180000}"/>
    <cellStyle name="Normal 80 2 2 6" xfId="6298" xr:uid="{00000000-0005-0000-0000-00009A180000}"/>
    <cellStyle name="Normal 80 2 3" xfId="6299" xr:uid="{00000000-0005-0000-0000-00009B180000}"/>
    <cellStyle name="Normal 80 2 3 2" xfId="6300" xr:uid="{00000000-0005-0000-0000-00009C180000}"/>
    <cellStyle name="Normal 80 2 3 2 2" xfId="6301" xr:uid="{00000000-0005-0000-0000-00009D180000}"/>
    <cellStyle name="Normal 80 2 3 2 2 2" xfId="6302" xr:uid="{00000000-0005-0000-0000-00009E180000}"/>
    <cellStyle name="Normal 80 2 3 2 3" xfId="6303" xr:uid="{00000000-0005-0000-0000-00009F180000}"/>
    <cellStyle name="Normal 80 2 3 2 4" xfId="6304" xr:uid="{00000000-0005-0000-0000-0000A0180000}"/>
    <cellStyle name="Normal 80 2 3 3" xfId="6305" xr:uid="{00000000-0005-0000-0000-0000A1180000}"/>
    <cellStyle name="Normal 80 2 3 3 2" xfId="6306" xr:uid="{00000000-0005-0000-0000-0000A2180000}"/>
    <cellStyle name="Normal 80 2 3 4" xfId="6307" xr:uid="{00000000-0005-0000-0000-0000A3180000}"/>
    <cellStyle name="Normal 80 2 3 5" xfId="6308" xr:uid="{00000000-0005-0000-0000-0000A4180000}"/>
    <cellStyle name="Normal 80 2 4" xfId="6309" xr:uid="{00000000-0005-0000-0000-0000A5180000}"/>
    <cellStyle name="Normal 80 2 4 2" xfId="6310" xr:uid="{00000000-0005-0000-0000-0000A6180000}"/>
    <cellStyle name="Normal 80 2 4 2 2" xfId="6311" xr:uid="{00000000-0005-0000-0000-0000A7180000}"/>
    <cellStyle name="Normal 80 2 4 3" xfId="6312" xr:uid="{00000000-0005-0000-0000-0000A8180000}"/>
    <cellStyle name="Normal 80 2 4 4" xfId="6313" xr:uid="{00000000-0005-0000-0000-0000A9180000}"/>
    <cellStyle name="Normal 80 2 5" xfId="6314" xr:uid="{00000000-0005-0000-0000-0000AA180000}"/>
    <cellStyle name="Normal 80 2 5 2" xfId="6315" xr:uid="{00000000-0005-0000-0000-0000AB180000}"/>
    <cellStyle name="Normal 80 2 5 2 2" xfId="6316" xr:uid="{00000000-0005-0000-0000-0000AC180000}"/>
    <cellStyle name="Normal 80 2 5 3" xfId="6317" xr:uid="{00000000-0005-0000-0000-0000AD180000}"/>
    <cellStyle name="Normal 80 2 5 4" xfId="6318" xr:uid="{00000000-0005-0000-0000-0000AE180000}"/>
    <cellStyle name="Normal 80 2 6" xfId="6319" xr:uid="{00000000-0005-0000-0000-0000AF180000}"/>
    <cellStyle name="Normal 80 2 6 2" xfId="6320" xr:uid="{00000000-0005-0000-0000-0000B0180000}"/>
    <cellStyle name="Normal 80 2 7" xfId="6321" xr:uid="{00000000-0005-0000-0000-0000B1180000}"/>
    <cellStyle name="Normal 80 2 7 2" xfId="6322" xr:uid="{00000000-0005-0000-0000-0000B2180000}"/>
    <cellStyle name="Normal 80 2 8" xfId="6323" xr:uid="{00000000-0005-0000-0000-0000B3180000}"/>
    <cellStyle name="Normal 80 2 9" xfId="6324" xr:uid="{00000000-0005-0000-0000-0000B4180000}"/>
    <cellStyle name="Normal 80 3" xfId="6325" xr:uid="{00000000-0005-0000-0000-0000B5180000}"/>
    <cellStyle name="Normal 80 3 2" xfId="6326" xr:uid="{00000000-0005-0000-0000-0000B6180000}"/>
    <cellStyle name="Normal 80 3 2 2" xfId="6327" xr:uid="{00000000-0005-0000-0000-0000B7180000}"/>
    <cellStyle name="Normal 80 3 2 2 2" xfId="6328" xr:uid="{00000000-0005-0000-0000-0000B8180000}"/>
    <cellStyle name="Normal 80 3 2 2 2 2" xfId="6329" xr:uid="{00000000-0005-0000-0000-0000B9180000}"/>
    <cellStyle name="Normal 80 3 2 2 3" xfId="6330" xr:uid="{00000000-0005-0000-0000-0000BA180000}"/>
    <cellStyle name="Normal 80 3 2 3" xfId="6331" xr:uid="{00000000-0005-0000-0000-0000BB180000}"/>
    <cellStyle name="Normal 80 3 2 3 2" xfId="6332" xr:uid="{00000000-0005-0000-0000-0000BC180000}"/>
    <cellStyle name="Normal 80 3 2 4" xfId="6333" xr:uid="{00000000-0005-0000-0000-0000BD180000}"/>
    <cellStyle name="Normal 80 3 3" xfId="6334" xr:uid="{00000000-0005-0000-0000-0000BE180000}"/>
    <cellStyle name="Normal 80 3 3 2" xfId="6335" xr:uid="{00000000-0005-0000-0000-0000BF180000}"/>
    <cellStyle name="Normal 80 3 3 2 2" xfId="6336" xr:uid="{00000000-0005-0000-0000-0000C0180000}"/>
    <cellStyle name="Normal 80 3 3 3" xfId="6337" xr:uid="{00000000-0005-0000-0000-0000C1180000}"/>
    <cellStyle name="Normal 80 3 4" xfId="6338" xr:uid="{00000000-0005-0000-0000-0000C2180000}"/>
    <cellStyle name="Normal 80 3 4 2" xfId="6339" xr:uid="{00000000-0005-0000-0000-0000C3180000}"/>
    <cellStyle name="Normal 80 3 5" xfId="6340" xr:uid="{00000000-0005-0000-0000-0000C4180000}"/>
    <cellStyle name="Normal 80 4" xfId="6341" xr:uid="{00000000-0005-0000-0000-0000C5180000}"/>
    <cellStyle name="Normal 80 4 2" xfId="6342" xr:uid="{00000000-0005-0000-0000-0000C6180000}"/>
    <cellStyle name="Normal 80 4 2 2" xfId="6343" xr:uid="{00000000-0005-0000-0000-0000C7180000}"/>
    <cellStyle name="Normal 80 4 2 2 2" xfId="6344" xr:uid="{00000000-0005-0000-0000-0000C8180000}"/>
    <cellStyle name="Normal 80 4 2 3" xfId="6345" xr:uid="{00000000-0005-0000-0000-0000C9180000}"/>
    <cellStyle name="Normal 80 4 3" xfId="6346" xr:uid="{00000000-0005-0000-0000-0000CA180000}"/>
    <cellStyle name="Normal 80 4 3 2" xfId="6347" xr:uid="{00000000-0005-0000-0000-0000CB180000}"/>
    <cellStyle name="Normal 80 4 4" xfId="6348" xr:uid="{00000000-0005-0000-0000-0000CC180000}"/>
    <cellStyle name="Normal 80 5" xfId="6349" xr:uid="{00000000-0005-0000-0000-0000CD180000}"/>
    <cellStyle name="Normal 80 5 2" xfId="6350" xr:uid="{00000000-0005-0000-0000-0000CE180000}"/>
    <cellStyle name="Normal 80 5 2 2" xfId="6351" xr:uid="{00000000-0005-0000-0000-0000CF180000}"/>
    <cellStyle name="Normal 80 5 3" xfId="6352" xr:uid="{00000000-0005-0000-0000-0000D0180000}"/>
    <cellStyle name="Normal 80 6" xfId="6353" xr:uid="{00000000-0005-0000-0000-0000D1180000}"/>
    <cellStyle name="Normal 80 6 2" xfId="6354" xr:uid="{00000000-0005-0000-0000-0000D2180000}"/>
    <cellStyle name="Normal 80 7" xfId="6355" xr:uid="{00000000-0005-0000-0000-0000D3180000}"/>
    <cellStyle name="Normal 81" xfId="6356" xr:uid="{00000000-0005-0000-0000-0000D4180000}"/>
    <cellStyle name="Normal 81 2" xfId="6357" xr:uid="{00000000-0005-0000-0000-0000D5180000}"/>
    <cellStyle name="Normal 81 2 2" xfId="6358" xr:uid="{00000000-0005-0000-0000-0000D6180000}"/>
    <cellStyle name="Normal 81 2 2 2" xfId="6359" xr:uid="{00000000-0005-0000-0000-0000D7180000}"/>
    <cellStyle name="Normal 81 2 2 2 2" xfId="6360" xr:uid="{00000000-0005-0000-0000-0000D8180000}"/>
    <cellStyle name="Normal 81 2 2 2 2 2" xfId="6361" xr:uid="{00000000-0005-0000-0000-0000D9180000}"/>
    <cellStyle name="Normal 81 2 2 2 3" xfId="6362" xr:uid="{00000000-0005-0000-0000-0000DA180000}"/>
    <cellStyle name="Normal 81 2 2 2 4" xfId="6363" xr:uid="{00000000-0005-0000-0000-0000DB180000}"/>
    <cellStyle name="Normal 81 2 2 3" xfId="6364" xr:uid="{00000000-0005-0000-0000-0000DC180000}"/>
    <cellStyle name="Normal 81 2 2 3 2" xfId="6365" xr:uid="{00000000-0005-0000-0000-0000DD180000}"/>
    <cellStyle name="Normal 81 2 2 4" xfId="6366" xr:uid="{00000000-0005-0000-0000-0000DE180000}"/>
    <cellStyle name="Normal 81 2 2 4 2" xfId="6367" xr:uid="{00000000-0005-0000-0000-0000DF180000}"/>
    <cellStyle name="Normal 81 2 2 5" xfId="6368" xr:uid="{00000000-0005-0000-0000-0000E0180000}"/>
    <cellStyle name="Normal 81 2 2 6" xfId="6369" xr:uid="{00000000-0005-0000-0000-0000E1180000}"/>
    <cellStyle name="Normal 81 2 3" xfId="6370" xr:uid="{00000000-0005-0000-0000-0000E2180000}"/>
    <cellStyle name="Normal 81 2 3 2" xfId="6371" xr:uid="{00000000-0005-0000-0000-0000E3180000}"/>
    <cellStyle name="Normal 81 2 3 2 2" xfId="6372" xr:uid="{00000000-0005-0000-0000-0000E4180000}"/>
    <cellStyle name="Normal 81 2 3 2 2 2" xfId="6373" xr:uid="{00000000-0005-0000-0000-0000E5180000}"/>
    <cellStyle name="Normal 81 2 3 2 3" xfId="6374" xr:uid="{00000000-0005-0000-0000-0000E6180000}"/>
    <cellStyle name="Normal 81 2 3 2 4" xfId="6375" xr:uid="{00000000-0005-0000-0000-0000E7180000}"/>
    <cellStyle name="Normal 81 2 3 3" xfId="6376" xr:uid="{00000000-0005-0000-0000-0000E8180000}"/>
    <cellStyle name="Normal 81 2 3 3 2" xfId="6377" xr:uid="{00000000-0005-0000-0000-0000E9180000}"/>
    <cellStyle name="Normal 81 2 3 4" xfId="6378" xr:uid="{00000000-0005-0000-0000-0000EA180000}"/>
    <cellStyle name="Normal 81 2 3 5" xfId="6379" xr:uid="{00000000-0005-0000-0000-0000EB180000}"/>
    <cellStyle name="Normal 81 2 4" xfId="6380" xr:uid="{00000000-0005-0000-0000-0000EC180000}"/>
    <cellStyle name="Normal 81 2 4 2" xfId="6381" xr:uid="{00000000-0005-0000-0000-0000ED180000}"/>
    <cellStyle name="Normal 81 2 4 2 2" xfId="6382" xr:uid="{00000000-0005-0000-0000-0000EE180000}"/>
    <cellStyle name="Normal 81 2 4 3" xfId="6383" xr:uid="{00000000-0005-0000-0000-0000EF180000}"/>
    <cellStyle name="Normal 81 2 4 4" xfId="6384" xr:uid="{00000000-0005-0000-0000-0000F0180000}"/>
    <cellStyle name="Normal 81 2 5" xfId="6385" xr:uid="{00000000-0005-0000-0000-0000F1180000}"/>
    <cellStyle name="Normal 81 2 5 2" xfId="6386" xr:uid="{00000000-0005-0000-0000-0000F2180000}"/>
    <cellStyle name="Normal 81 2 5 2 2" xfId="6387" xr:uid="{00000000-0005-0000-0000-0000F3180000}"/>
    <cellStyle name="Normal 81 2 5 3" xfId="6388" xr:uid="{00000000-0005-0000-0000-0000F4180000}"/>
    <cellStyle name="Normal 81 2 5 4" xfId="6389" xr:uid="{00000000-0005-0000-0000-0000F5180000}"/>
    <cellStyle name="Normal 81 2 6" xfId="6390" xr:uid="{00000000-0005-0000-0000-0000F6180000}"/>
    <cellStyle name="Normal 81 2 6 2" xfId="6391" xr:uid="{00000000-0005-0000-0000-0000F7180000}"/>
    <cellStyle name="Normal 81 2 7" xfId="6392" xr:uid="{00000000-0005-0000-0000-0000F8180000}"/>
    <cellStyle name="Normal 81 2 7 2" xfId="6393" xr:uid="{00000000-0005-0000-0000-0000F9180000}"/>
    <cellStyle name="Normal 81 2 8" xfId="6394" xr:uid="{00000000-0005-0000-0000-0000FA180000}"/>
    <cellStyle name="Normal 81 2 9" xfId="6395" xr:uid="{00000000-0005-0000-0000-0000FB180000}"/>
    <cellStyle name="Normal 81 3" xfId="6396" xr:uid="{00000000-0005-0000-0000-0000FC180000}"/>
    <cellStyle name="Normal 81 3 2" xfId="6397" xr:uid="{00000000-0005-0000-0000-0000FD180000}"/>
    <cellStyle name="Normal 81 3 2 2" xfId="6398" xr:uid="{00000000-0005-0000-0000-0000FE180000}"/>
    <cellStyle name="Normal 81 3 2 2 2" xfId="6399" xr:uid="{00000000-0005-0000-0000-0000FF180000}"/>
    <cellStyle name="Normal 81 3 2 2 2 2" xfId="6400" xr:uid="{00000000-0005-0000-0000-000000190000}"/>
    <cellStyle name="Normal 81 3 2 2 3" xfId="6401" xr:uid="{00000000-0005-0000-0000-000001190000}"/>
    <cellStyle name="Normal 81 3 2 3" xfId="6402" xr:uid="{00000000-0005-0000-0000-000002190000}"/>
    <cellStyle name="Normal 81 3 2 3 2" xfId="6403" xr:uid="{00000000-0005-0000-0000-000003190000}"/>
    <cellStyle name="Normal 81 3 2 4" xfId="6404" xr:uid="{00000000-0005-0000-0000-000004190000}"/>
    <cellStyle name="Normal 81 3 3" xfId="6405" xr:uid="{00000000-0005-0000-0000-000005190000}"/>
    <cellStyle name="Normal 81 3 3 2" xfId="6406" xr:uid="{00000000-0005-0000-0000-000006190000}"/>
    <cellStyle name="Normal 81 3 3 2 2" xfId="6407" xr:uid="{00000000-0005-0000-0000-000007190000}"/>
    <cellStyle name="Normal 81 3 3 3" xfId="6408" xr:uid="{00000000-0005-0000-0000-000008190000}"/>
    <cellStyle name="Normal 81 3 4" xfId="6409" xr:uid="{00000000-0005-0000-0000-000009190000}"/>
    <cellStyle name="Normal 81 3 4 2" xfId="6410" xr:uid="{00000000-0005-0000-0000-00000A190000}"/>
    <cellStyle name="Normal 81 3 5" xfId="6411" xr:uid="{00000000-0005-0000-0000-00000B190000}"/>
    <cellStyle name="Normal 81 4" xfId="6412" xr:uid="{00000000-0005-0000-0000-00000C190000}"/>
    <cellStyle name="Normal 81 4 2" xfId="6413" xr:uid="{00000000-0005-0000-0000-00000D190000}"/>
    <cellStyle name="Normal 81 4 2 2" xfId="6414" xr:uid="{00000000-0005-0000-0000-00000E190000}"/>
    <cellStyle name="Normal 81 4 2 2 2" xfId="6415" xr:uid="{00000000-0005-0000-0000-00000F190000}"/>
    <cellStyle name="Normal 81 4 2 3" xfId="6416" xr:uid="{00000000-0005-0000-0000-000010190000}"/>
    <cellStyle name="Normal 81 4 3" xfId="6417" xr:uid="{00000000-0005-0000-0000-000011190000}"/>
    <cellStyle name="Normal 81 4 3 2" xfId="6418" xr:uid="{00000000-0005-0000-0000-000012190000}"/>
    <cellStyle name="Normal 81 4 4" xfId="6419" xr:uid="{00000000-0005-0000-0000-000013190000}"/>
    <cellStyle name="Normal 81 5" xfId="6420" xr:uid="{00000000-0005-0000-0000-000014190000}"/>
    <cellStyle name="Normal 81 5 2" xfId="6421" xr:uid="{00000000-0005-0000-0000-000015190000}"/>
    <cellStyle name="Normal 81 5 2 2" xfId="6422" xr:uid="{00000000-0005-0000-0000-000016190000}"/>
    <cellStyle name="Normal 81 5 3" xfId="6423" xr:uid="{00000000-0005-0000-0000-000017190000}"/>
    <cellStyle name="Normal 81 6" xfId="6424" xr:uid="{00000000-0005-0000-0000-000018190000}"/>
    <cellStyle name="Normal 81 6 2" xfId="6425" xr:uid="{00000000-0005-0000-0000-000019190000}"/>
    <cellStyle name="Normal 81 7" xfId="6426" xr:uid="{00000000-0005-0000-0000-00001A190000}"/>
    <cellStyle name="Normal 82" xfId="6427" xr:uid="{00000000-0005-0000-0000-00001B190000}"/>
    <cellStyle name="Normal 82 2" xfId="6428" xr:uid="{00000000-0005-0000-0000-00001C190000}"/>
    <cellStyle name="Normal 82 2 2" xfId="6429" xr:uid="{00000000-0005-0000-0000-00001D190000}"/>
    <cellStyle name="Normal 82 2 2 2" xfId="6430" xr:uid="{00000000-0005-0000-0000-00001E190000}"/>
    <cellStyle name="Normal 82 2 2 2 2" xfId="6431" xr:uid="{00000000-0005-0000-0000-00001F190000}"/>
    <cellStyle name="Normal 82 2 2 2 2 2" xfId="6432" xr:uid="{00000000-0005-0000-0000-000020190000}"/>
    <cellStyle name="Normal 82 2 2 2 3" xfId="6433" xr:uid="{00000000-0005-0000-0000-000021190000}"/>
    <cellStyle name="Normal 82 2 2 2 4" xfId="6434" xr:uid="{00000000-0005-0000-0000-000022190000}"/>
    <cellStyle name="Normal 82 2 2 3" xfId="6435" xr:uid="{00000000-0005-0000-0000-000023190000}"/>
    <cellStyle name="Normal 82 2 2 3 2" xfId="6436" xr:uid="{00000000-0005-0000-0000-000024190000}"/>
    <cellStyle name="Normal 82 2 2 4" xfId="6437" xr:uid="{00000000-0005-0000-0000-000025190000}"/>
    <cellStyle name="Normal 82 2 2 4 2" xfId="6438" xr:uid="{00000000-0005-0000-0000-000026190000}"/>
    <cellStyle name="Normal 82 2 2 5" xfId="6439" xr:uid="{00000000-0005-0000-0000-000027190000}"/>
    <cellStyle name="Normal 82 2 2 6" xfId="6440" xr:uid="{00000000-0005-0000-0000-000028190000}"/>
    <cellStyle name="Normal 82 2 3" xfId="6441" xr:uid="{00000000-0005-0000-0000-000029190000}"/>
    <cellStyle name="Normal 82 2 3 2" xfId="6442" xr:uid="{00000000-0005-0000-0000-00002A190000}"/>
    <cellStyle name="Normal 82 2 3 2 2" xfId="6443" xr:uid="{00000000-0005-0000-0000-00002B190000}"/>
    <cellStyle name="Normal 82 2 3 2 2 2" xfId="6444" xr:uid="{00000000-0005-0000-0000-00002C190000}"/>
    <cellStyle name="Normal 82 2 3 2 3" xfId="6445" xr:uid="{00000000-0005-0000-0000-00002D190000}"/>
    <cellStyle name="Normal 82 2 3 2 4" xfId="6446" xr:uid="{00000000-0005-0000-0000-00002E190000}"/>
    <cellStyle name="Normal 82 2 3 3" xfId="6447" xr:uid="{00000000-0005-0000-0000-00002F190000}"/>
    <cellStyle name="Normal 82 2 3 3 2" xfId="6448" xr:uid="{00000000-0005-0000-0000-000030190000}"/>
    <cellStyle name="Normal 82 2 3 4" xfId="6449" xr:uid="{00000000-0005-0000-0000-000031190000}"/>
    <cellStyle name="Normal 82 2 3 5" xfId="6450" xr:uid="{00000000-0005-0000-0000-000032190000}"/>
    <cellStyle name="Normal 82 2 4" xfId="6451" xr:uid="{00000000-0005-0000-0000-000033190000}"/>
    <cellStyle name="Normal 82 2 4 2" xfId="6452" xr:uid="{00000000-0005-0000-0000-000034190000}"/>
    <cellStyle name="Normal 82 2 4 2 2" xfId="6453" xr:uid="{00000000-0005-0000-0000-000035190000}"/>
    <cellStyle name="Normal 82 2 4 3" xfId="6454" xr:uid="{00000000-0005-0000-0000-000036190000}"/>
    <cellStyle name="Normal 82 2 4 4" xfId="6455" xr:uid="{00000000-0005-0000-0000-000037190000}"/>
    <cellStyle name="Normal 82 2 5" xfId="6456" xr:uid="{00000000-0005-0000-0000-000038190000}"/>
    <cellStyle name="Normal 82 2 5 2" xfId="6457" xr:uid="{00000000-0005-0000-0000-000039190000}"/>
    <cellStyle name="Normal 82 2 5 2 2" xfId="6458" xr:uid="{00000000-0005-0000-0000-00003A190000}"/>
    <cellStyle name="Normal 82 2 5 3" xfId="6459" xr:uid="{00000000-0005-0000-0000-00003B190000}"/>
    <cellStyle name="Normal 82 2 5 4" xfId="6460" xr:uid="{00000000-0005-0000-0000-00003C190000}"/>
    <cellStyle name="Normal 82 2 6" xfId="6461" xr:uid="{00000000-0005-0000-0000-00003D190000}"/>
    <cellStyle name="Normal 82 2 6 2" xfId="6462" xr:uid="{00000000-0005-0000-0000-00003E190000}"/>
    <cellStyle name="Normal 82 2 7" xfId="6463" xr:uid="{00000000-0005-0000-0000-00003F190000}"/>
    <cellStyle name="Normal 82 2 7 2" xfId="6464" xr:uid="{00000000-0005-0000-0000-000040190000}"/>
    <cellStyle name="Normal 82 2 8" xfId="6465" xr:uid="{00000000-0005-0000-0000-000041190000}"/>
    <cellStyle name="Normal 82 2 9" xfId="6466" xr:uid="{00000000-0005-0000-0000-000042190000}"/>
    <cellStyle name="Normal 82 3" xfId="6467" xr:uid="{00000000-0005-0000-0000-000043190000}"/>
    <cellStyle name="Normal 82 3 2" xfId="6468" xr:uid="{00000000-0005-0000-0000-000044190000}"/>
    <cellStyle name="Normal 82 3 2 2" xfId="6469" xr:uid="{00000000-0005-0000-0000-000045190000}"/>
    <cellStyle name="Normal 82 3 2 2 2" xfId="6470" xr:uid="{00000000-0005-0000-0000-000046190000}"/>
    <cellStyle name="Normal 82 3 2 2 2 2" xfId="6471" xr:uid="{00000000-0005-0000-0000-000047190000}"/>
    <cellStyle name="Normal 82 3 2 2 3" xfId="6472" xr:uid="{00000000-0005-0000-0000-000048190000}"/>
    <cellStyle name="Normal 82 3 2 3" xfId="6473" xr:uid="{00000000-0005-0000-0000-000049190000}"/>
    <cellStyle name="Normal 82 3 2 3 2" xfId="6474" xr:uid="{00000000-0005-0000-0000-00004A190000}"/>
    <cellStyle name="Normal 82 3 2 4" xfId="6475" xr:uid="{00000000-0005-0000-0000-00004B190000}"/>
    <cellStyle name="Normal 82 3 3" xfId="6476" xr:uid="{00000000-0005-0000-0000-00004C190000}"/>
    <cellStyle name="Normal 82 3 3 2" xfId="6477" xr:uid="{00000000-0005-0000-0000-00004D190000}"/>
    <cellStyle name="Normal 82 3 3 2 2" xfId="6478" xr:uid="{00000000-0005-0000-0000-00004E190000}"/>
    <cellStyle name="Normal 82 3 3 3" xfId="6479" xr:uid="{00000000-0005-0000-0000-00004F190000}"/>
    <cellStyle name="Normal 82 3 4" xfId="6480" xr:uid="{00000000-0005-0000-0000-000050190000}"/>
    <cellStyle name="Normal 82 3 4 2" xfId="6481" xr:uid="{00000000-0005-0000-0000-000051190000}"/>
    <cellStyle name="Normal 82 3 5" xfId="6482" xr:uid="{00000000-0005-0000-0000-000052190000}"/>
    <cellStyle name="Normal 82 4" xfId="6483" xr:uid="{00000000-0005-0000-0000-000053190000}"/>
    <cellStyle name="Normal 82 4 2" xfId="6484" xr:uid="{00000000-0005-0000-0000-000054190000}"/>
    <cellStyle name="Normal 82 4 2 2" xfId="6485" xr:uid="{00000000-0005-0000-0000-000055190000}"/>
    <cellStyle name="Normal 82 4 2 2 2" xfId="6486" xr:uid="{00000000-0005-0000-0000-000056190000}"/>
    <cellStyle name="Normal 82 4 2 3" xfId="6487" xr:uid="{00000000-0005-0000-0000-000057190000}"/>
    <cellStyle name="Normal 82 4 3" xfId="6488" xr:uid="{00000000-0005-0000-0000-000058190000}"/>
    <cellStyle name="Normal 82 4 3 2" xfId="6489" xr:uid="{00000000-0005-0000-0000-000059190000}"/>
    <cellStyle name="Normal 82 4 4" xfId="6490" xr:uid="{00000000-0005-0000-0000-00005A190000}"/>
    <cellStyle name="Normal 82 5" xfId="6491" xr:uid="{00000000-0005-0000-0000-00005B190000}"/>
    <cellStyle name="Normal 82 5 2" xfId="6492" xr:uid="{00000000-0005-0000-0000-00005C190000}"/>
    <cellStyle name="Normal 82 5 2 2" xfId="6493" xr:uid="{00000000-0005-0000-0000-00005D190000}"/>
    <cellStyle name="Normal 82 5 3" xfId="6494" xr:uid="{00000000-0005-0000-0000-00005E190000}"/>
    <cellStyle name="Normal 82 6" xfId="6495" xr:uid="{00000000-0005-0000-0000-00005F190000}"/>
    <cellStyle name="Normal 82 6 2" xfId="6496" xr:uid="{00000000-0005-0000-0000-000060190000}"/>
    <cellStyle name="Normal 82 7" xfId="6497" xr:uid="{00000000-0005-0000-0000-000061190000}"/>
    <cellStyle name="Normal 83" xfId="6498" xr:uid="{00000000-0005-0000-0000-000062190000}"/>
    <cellStyle name="Normal 83 2" xfId="6499" xr:uid="{00000000-0005-0000-0000-000063190000}"/>
    <cellStyle name="Normal 83 2 2" xfId="6500" xr:uid="{00000000-0005-0000-0000-000064190000}"/>
    <cellStyle name="Normal 83 2 2 2" xfId="6501" xr:uid="{00000000-0005-0000-0000-000065190000}"/>
    <cellStyle name="Normal 83 2 2 2 2" xfId="6502" xr:uid="{00000000-0005-0000-0000-000066190000}"/>
    <cellStyle name="Normal 83 2 2 3" xfId="6503" xr:uid="{00000000-0005-0000-0000-000067190000}"/>
    <cellStyle name="Normal 83 2 3" xfId="6504" xr:uid="{00000000-0005-0000-0000-000068190000}"/>
    <cellStyle name="Normal 83 2 3 2" xfId="6505" xr:uid="{00000000-0005-0000-0000-000069190000}"/>
    <cellStyle name="Normal 83 2 4" xfId="6506" xr:uid="{00000000-0005-0000-0000-00006A190000}"/>
    <cellStyle name="Normal 83 3" xfId="6507" xr:uid="{00000000-0005-0000-0000-00006B190000}"/>
    <cellStyle name="Normal 83 3 2" xfId="6508" xr:uid="{00000000-0005-0000-0000-00006C190000}"/>
    <cellStyle name="Normal 83 3 2 2" xfId="6509" xr:uid="{00000000-0005-0000-0000-00006D190000}"/>
    <cellStyle name="Normal 83 3 2 2 2" xfId="6510" xr:uid="{00000000-0005-0000-0000-00006E190000}"/>
    <cellStyle name="Normal 83 3 2 3" xfId="6511" xr:uid="{00000000-0005-0000-0000-00006F190000}"/>
    <cellStyle name="Normal 83 3 3" xfId="6512" xr:uid="{00000000-0005-0000-0000-000070190000}"/>
    <cellStyle name="Normal 83 3 3 2" xfId="6513" xr:uid="{00000000-0005-0000-0000-000071190000}"/>
    <cellStyle name="Normal 83 3 4" xfId="6514" xr:uid="{00000000-0005-0000-0000-000072190000}"/>
    <cellStyle name="Normal 83 4" xfId="6515" xr:uid="{00000000-0005-0000-0000-000073190000}"/>
    <cellStyle name="Normal 83 4 2" xfId="6516" xr:uid="{00000000-0005-0000-0000-000074190000}"/>
    <cellStyle name="Normal 83 4 2 2" xfId="6517" xr:uid="{00000000-0005-0000-0000-000075190000}"/>
    <cellStyle name="Normal 83 4 3" xfId="6518" xr:uid="{00000000-0005-0000-0000-000076190000}"/>
    <cellStyle name="Normal 83 5" xfId="6519" xr:uid="{00000000-0005-0000-0000-000077190000}"/>
    <cellStyle name="Normal 83 5 2" xfId="6520" xr:uid="{00000000-0005-0000-0000-000078190000}"/>
    <cellStyle name="Normal 83 6" xfId="6521" xr:uid="{00000000-0005-0000-0000-000079190000}"/>
    <cellStyle name="Normal 84" xfId="6522" xr:uid="{00000000-0005-0000-0000-00007A190000}"/>
    <cellStyle name="Normal 84 2" xfId="6523" xr:uid="{00000000-0005-0000-0000-00007B190000}"/>
    <cellStyle name="Normal 84 2 2" xfId="6524" xr:uid="{00000000-0005-0000-0000-00007C190000}"/>
    <cellStyle name="Normal 84 2 2 2" xfId="6525" xr:uid="{00000000-0005-0000-0000-00007D190000}"/>
    <cellStyle name="Normal 84 2 2 2 2" xfId="6526" xr:uid="{00000000-0005-0000-0000-00007E190000}"/>
    <cellStyle name="Normal 84 2 2 3" xfId="6527" xr:uid="{00000000-0005-0000-0000-00007F190000}"/>
    <cellStyle name="Normal 84 2 3" xfId="6528" xr:uid="{00000000-0005-0000-0000-000080190000}"/>
    <cellStyle name="Normal 84 2 3 2" xfId="6529" xr:uid="{00000000-0005-0000-0000-000081190000}"/>
    <cellStyle name="Normal 84 2 4" xfId="6530" xr:uid="{00000000-0005-0000-0000-000082190000}"/>
    <cellStyle name="Normal 84 3" xfId="6531" xr:uid="{00000000-0005-0000-0000-000083190000}"/>
    <cellStyle name="Normal 84 3 2" xfId="6532" xr:uid="{00000000-0005-0000-0000-000084190000}"/>
    <cellStyle name="Normal 84 3 2 2" xfId="6533" xr:uid="{00000000-0005-0000-0000-000085190000}"/>
    <cellStyle name="Normal 84 3 2 2 2" xfId="6534" xr:uid="{00000000-0005-0000-0000-000086190000}"/>
    <cellStyle name="Normal 84 3 2 3" xfId="6535" xr:uid="{00000000-0005-0000-0000-000087190000}"/>
    <cellStyle name="Normal 84 3 3" xfId="6536" xr:uid="{00000000-0005-0000-0000-000088190000}"/>
    <cellStyle name="Normal 84 3 3 2" xfId="6537" xr:uid="{00000000-0005-0000-0000-000089190000}"/>
    <cellStyle name="Normal 84 3 4" xfId="6538" xr:uid="{00000000-0005-0000-0000-00008A190000}"/>
    <cellStyle name="Normal 84 4" xfId="6539" xr:uid="{00000000-0005-0000-0000-00008B190000}"/>
    <cellStyle name="Normal 84 4 2" xfId="6540" xr:uid="{00000000-0005-0000-0000-00008C190000}"/>
    <cellStyle name="Normal 84 4 2 2" xfId="6541" xr:uid="{00000000-0005-0000-0000-00008D190000}"/>
    <cellStyle name="Normal 84 4 3" xfId="6542" xr:uid="{00000000-0005-0000-0000-00008E190000}"/>
    <cellStyle name="Normal 84 5" xfId="6543" xr:uid="{00000000-0005-0000-0000-00008F190000}"/>
    <cellStyle name="Normal 84 5 2" xfId="6544" xr:uid="{00000000-0005-0000-0000-000090190000}"/>
    <cellStyle name="Normal 84 6" xfId="6545" xr:uid="{00000000-0005-0000-0000-000091190000}"/>
    <cellStyle name="Normal 85" xfId="6546" xr:uid="{00000000-0005-0000-0000-000092190000}"/>
    <cellStyle name="Normal 85 2" xfId="6547" xr:uid="{00000000-0005-0000-0000-000093190000}"/>
    <cellStyle name="Normal 85 2 2" xfId="6548" xr:uid="{00000000-0005-0000-0000-000094190000}"/>
    <cellStyle name="Normal 85 2 2 2" xfId="6549" xr:uid="{00000000-0005-0000-0000-000095190000}"/>
    <cellStyle name="Normal 85 2 2 2 2" xfId="6550" xr:uid="{00000000-0005-0000-0000-000096190000}"/>
    <cellStyle name="Normal 85 2 2 3" xfId="6551" xr:uid="{00000000-0005-0000-0000-000097190000}"/>
    <cellStyle name="Normal 85 2 3" xfId="6552" xr:uid="{00000000-0005-0000-0000-000098190000}"/>
    <cellStyle name="Normal 85 2 3 2" xfId="6553" xr:uid="{00000000-0005-0000-0000-000099190000}"/>
    <cellStyle name="Normal 85 2 4" xfId="6554" xr:uid="{00000000-0005-0000-0000-00009A190000}"/>
    <cellStyle name="Normal 85 3" xfId="6555" xr:uid="{00000000-0005-0000-0000-00009B190000}"/>
    <cellStyle name="Normal 85 3 2" xfId="6556" xr:uid="{00000000-0005-0000-0000-00009C190000}"/>
    <cellStyle name="Normal 85 3 2 2" xfId="6557" xr:uid="{00000000-0005-0000-0000-00009D190000}"/>
    <cellStyle name="Normal 85 3 2 2 2" xfId="6558" xr:uid="{00000000-0005-0000-0000-00009E190000}"/>
    <cellStyle name="Normal 85 3 2 3" xfId="6559" xr:uid="{00000000-0005-0000-0000-00009F190000}"/>
    <cellStyle name="Normal 85 3 3" xfId="6560" xr:uid="{00000000-0005-0000-0000-0000A0190000}"/>
    <cellStyle name="Normal 85 3 3 2" xfId="6561" xr:uid="{00000000-0005-0000-0000-0000A1190000}"/>
    <cellStyle name="Normal 85 3 4" xfId="6562" xr:uid="{00000000-0005-0000-0000-0000A2190000}"/>
    <cellStyle name="Normal 85 4" xfId="6563" xr:uid="{00000000-0005-0000-0000-0000A3190000}"/>
    <cellStyle name="Normal 85 4 2" xfId="6564" xr:uid="{00000000-0005-0000-0000-0000A4190000}"/>
    <cellStyle name="Normal 85 4 2 2" xfId="6565" xr:uid="{00000000-0005-0000-0000-0000A5190000}"/>
    <cellStyle name="Normal 85 4 3" xfId="6566" xr:uid="{00000000-0005-0000-0000-0000A6190000}"/>
    <cellStyle name="Normal 85 5" xfId="6567" xr:uid="{00000000-0005-0000-0000-0000A7190000}"/>
    <cellStyle name="Normal 85 5 2" xfId="6568" xr:uid="{00000000-0005-0000-0000-0000A8190000}"/>
    <cellStyle name="Normal 85 6" xfId="6569" xr:uid="{00000000-0005-0000-0000-0000A9190000}"/>
    <cellStyle name="Normal 86" xfId="6570" xr:uid="{00000000-0005-0000-0000-0000AA190000}"/>
    <cellStyle name="Normal 86 2" xfId="6571" xr:uid="{00000000-0005-0000-0000-0000AB190000}"/>
    <cellStyle name="Normal 86 2 2" xfId="6572" xr:uid="{00000000-0005-0000-0000-0000AC190000}"/>
    <cellStyle name="Normal 86 2 2 2" xfId="6573" xr:uid="{00000000-0005-0000-0000-0000AD190000}"/>
    <cellStyle name="Normal 86 2 2 2 2" xfId="6574" xr:uid="{00000000-0005-0000-0000-0000AE190000}"/>
    <cellStyle name="Normal 86 2 2 2 2 2" xfId="6575" xr:uid="{00000000-0005-0000-0000-0000AF190000}"/>
    <cellStyle name="Normal 86 2 2 2 3" xfId="6576" xr:uid="{00000000-0005-0000-0000-0000B0190000}"/>
    <cellStyle name="Normal 86 2 2 2 4" xfId="6577" xr:uid="{00000000-0005-0000-0000-0000B1190000}"/>
    <cellStyle name="Normal 86 2 2 3" xfId="6578" xr:uid="{00000000-0005-0000-0000-0000B2190000}"/>
    <cellStyle name="Normal 86 2 2 3 2" xfId="6579" xr:uid="{00000000-0005-0000-0000-0000B3190000}"/>
    <cellStyle name="Normal 86 2 2 4" xfId="6580" xr:uid="{00000000-0005-0000-0000-0000B4190000}"/>
    <cellStyle name="Normal 86 2 2 4 2" xfId="6581" xr:uid="{00000000-0005-0000-0000-0000B5190000}"/>
    <cellStyle name="Normal 86 2 2 5" xfId="6582" xr:uid="{00000000-0005-0000-0000-0000B6190000}"/>
    <cellStyle name="Normal 86 2 2 6" xfId="6583" xr:uid="{00000000-0005-0000-0000-0000B7190000}"/>
    <cellStyle name="Normal 86 2 3" xfId="6584" xr:uid="{00000000-0005-0000-0000-0000B8190000}"/>
    <cellStyle name="Normal 86 2 3 2" xfId="6585" xr:uid="{00000000-0005-0000-0000-0000B9190000}"/>
    <cellStyle name="Normal 86 2 3 2 2" xfId="6586" xr:uid="{00000000-0005-0000-0000-0000BA190000}"/>
    <cellStyle name="Normal 86 2 3 2 2 2" xfId="6587" xr:uid="{00000000-0005-0000-0000-0000BB190000}"/>
    <cellStyle name="Normal 86 2 3 2 3" xfId="6588" xr:uid="{00000000-0005-0000-0000-0000BC190000}"/>
    <cellStyle name="Normal 86 2 3 2 4" xfId="6589" xr:uid="{00000000-0005-0000-0000-0000BD190000}"/>
    <cellStyle name="Normal 86 2 3 3" xfId="6590" xr:uid="{00000000-0005-0000-0000-0000BE190000}"/>
    <cellStyle name="Normal 86 2 3 3 2" xfId="6591" xr:uid="{00000000-0005-0000-0000-0000BF190000}"/>
    <cellStyle name="Normal 86 2 3 4" xfId="6592" xr:uid="{00000000-0005-0000-0000-0000C0190000}"/>
    <cellStyle name="Normal 86 2 3 5" xfId="6593" xr:uid="{00000000-0005-0000-0000-0000C1190000}"/>
    <cellStyle name="Normal 86 2 4" xfId="6594" xr:uid="{00000000-0005-0000-0000-0000C2190000}"/>
    <cellStyle name="Normal 86 2 4 2" xfId="6595" xr:uid="{00000000-0005-0000-0000-0000C3190000}"/>
    <cellStyle name="Normal 86 2 4 2 2" xfId="6596" xr:uid="{00000000-0005-0000-0000-0000C4190000}"/>
    <cellStyle name="Normal 86 2 4 3" xfId="6597" xr:uid="{00000000-0005-0000-0000-0000C5190000}"/>
    <cellStyle name="Normal 86 2 4 4" xfId="6598" xr:uid="{00000000-0005-0000-0000-0000C6190000}"/>
    <cellStyle name="Normal 86 2 5" xfId="6599" xr:uid="{00000000-0005-0000-0000-0000C7190000}"/>
    <cellStyle name="Normal 86 2 5 2" xfId="6600" xr:uid="{00000000-0005-0000-0000-0000C8190000}"/>
    <cellStyle name="Normal 86 2 5 2 2" xfId="6601" xr:uid="{00000000-0005-0000-0000-0000C9190000}"/>
    <cellStyle name="Normal 86 2 5 3" xfId="6602" xr:uid="{00000000-0005-0000-0000-0000CA190000}"/>
    <cellStyle name="Normal 86 2 5 4" xfId="6603" xr:uid="{00000000-0005-0000-0000-0000CB190000}"/>
    <cellStyle name="Normal 86 2 6" xfId="6604" xr:uid="{00000000-0005-0000-0000-0000CC190000}"/>
    <cellStyle name="Normal 86 2 6 2" xfId="6605" xr:uid="{00000000-0005-0000-0000-0000CD190000}"/>
    <cellStyle name="Normal 86 2 7" xfId="6606" xr:uid="{00000000-0005-0000-0000-0000CE190000}"/>
    <cellStyle name="Normal 86 2 7 2" xfId="6607" xr:uid="{00000000-0005-0000-0000-0000CF190000}"/>
    <cellStyle name="Normal 86 2 8" xfId="6608" xr:uid="{00000000-0005-0000-0000-0000D0190000}"/>
    <cellStyle name="Normal 86 2 9" xfId="6609" xr:uid="{00000000-0005-0000-0000-0000D1190000}"/>
    <cellStyle name="Normal 86 3" xfId="6610" xr:uid="{00000000-0005-0000-0000-0000D2190000}"/>
    <cellStyle name="Normal 86 3 2" xfId="6611" xr:uid="{00000000-0005-0000-0000-0000D3190000}"/>
    <cellStyle name="Normal 86 3 2 2" xfId="6612" xr:uid="{00000000-0005-0000-0000-0000D4190000}"/>
    <cellStyle name="Normal 86 3 2 2 2" xfId="6613" xr:uid="{00000000-0005-0000-0000-0000D5190000}"/>
    <cellStyle name="Normal 86 3 2 2 2 2" xfId="6614" xr:uid="{00000000-0005-0000-0000-0000D6190000}"/>
    <cellStyle name="Normal 86 3 2 2 3" xfId="6615" xr:uid="{00000000-0005-0000-0000-0000D7190000}"/>
    <cellStyle name="Normal 86 3 2 3" xfId="6616" xr:uid="{00000000-0005-0000-0000-0000D8190000}"/>
    <cellStyle name="Normal 86 3 2 3 2" xfId="6617" xr:uid="{00000000-0005-0000-0000-0000D9190000}"/>
    <cellStyle name="Normal 86 3 2 4" xfId="6618" xr:uid="{00000000-0005-0000-0000-0000DA190000}"/>
    <cellStyle name="Normal 86 3 3" xfId="6619" xr:uid="{00000000-0005-0000-0000-0000DB190000}"/>
    <cellStyle name="Normal 86 3 3 2" xfId="6620" xr:uid="{00000000-0005-0000-0000-0000DC190000}"/>
    <cellStyle name="Normal 86 3 3 2 2" xfId="6621" xr:uid="{00000000-0005-0000-0000-0000DD190000}"/>
    <cellStyle name="Normal 86 3 3 3" xfId="6622" xr:uid="{00000000-0005-0000-0000-0000DE190000}"/>
    <cellStyle name="Normal 86 3 4" xfId="6623" xr:uid="{00000000-0005-0000-0000-0000DF190000}"/>
    <cellStyle name="Normal 86 3 4 2" xfId="6624" xr:uid="{00000000-0005-0000-0000-0000E0190000}"/>
    <cellStyle name="Normal 86 3 5" xfId="6625" xr:uid="{00000000-0005-0000-0000-0000E1190000}"/>
    <cellStyle name="Normal 86 4" xfId="6626" xr:uid="{00000000-0005-0000-0000-0000E2190000}"/>
    <cellStyle name="Normal 86 4 2" xfId="6627" xr:uid="{00000000-0005-0000-0000-0000E3190000}"/>
    <cellStyle name="Normal 86 4 2 2" xfId="6628" xr:uid="{00000000-0005-0000-0000-0000E4190000}"/>
    <cellStyle name="Normal 86 4 2 2 2" xfId="6629" xr:uid="{00000000-0005-0000-0000-0000E5190000}"/>
    <cellStyle name="Normal 86 4 2 3" xfId="6630" xr:uid="{00000000-0005-0000-0000-0000E6190000}"/>
    <cellStyle name="Normal 86 4 3" xfId="6631" xr:uid="{00000000-0005-0000-0000-0000E7190000}"/>
    <cellStyle name="Normal 86 4 3 2" xfId="6632" xr:uid="{00000000-0005-0000-0000-0000E8190000}"/>
    <cellStyle name="Normal 86 4 4" xfId="6633" xr:uid="{00000000-0005-0000-0000-0000E9190000}"/>
    <cellStyle name="Normal 86 5" xfId="6634" xr:uid="{00000000-0005-0000-0000-0000EA190000}"/>
    <cellStyle name="Normal 86 5 2" xfId="6635" xr:uid="{00000000-0005-0000-0000-0000EB190000}"/>
    <cellStyle name="Normal 86 5 2 2" xfId="6636" xr:uid="{00000000-0005-0000-0000-0000EC190000}"/>
    <cellStyle name="Normal 86 5 3" xfId="6637" xr:uid="{00000000-0005-0000-0000-0000ED190000}"/>
    <cellStyle name="Normal 86 6" xfId="6638" xr:uid="{00000000-0005-0000-0000-0000EE190000}"/>
    <cellStyle name="Normal 86 6 2" xfId="6639" xr:uid="{00000000-0005-0000-0000-0000EF190000}"/>
    <cellStyle name="Normal 86 7" xfId="6640" xr:uid="{00000000-0005-0000-0000-0000F0190000}"/>
    <cellStyle name="Normal 87" xfId="6641" xr:uid="{00000000-0005-0000-0000-0000F1190000}"/>
    <cellStyle name="Normal 87 2" xfId="6642" xr:uid="{00000000-0005-0000-0000-0000F2190000}"/>
    <cellStyle name="Normal 87 2 2" xfId="6643" xr:uid="{00000000-0005-0000-0000-0000F3190000}"/>
    <cellStyle name="Normal 87 2 2 2" xfId="6644" xr:uid="{00000000-0005-0000-0000-0000F4190000}"/>
    <cellStyle name="Normal 87 2 2 2 2" xfId="6645" xr:uid="{00000000-0005-0000-0000-0000F5190000}"/>
    <cellStyle name="Normal 87 2 2 2 2 2" xfId="6646" xr:uid="{00000000-0005-0000-0000-0000F6190000}"/>
    <cellStyle name="Normal 87 2 2 2 3" xfId="6647" xr:uid="{00000000-0005-0000-0000-0000F7190000}"/>
    <cellStyle name="Normal 87 2 2 2 4" xfId="6648" xr:uid="{00000000-0005-0000-0000-0000F8190000}"/>
    <cellStyle name="Normal 87 2 2 3" xfId="6649" xr:uid="{00000000-0005-0000-0000-0000F9190000}"/>
    <cellStyle name="Normal 87 2 2 3 2" xfId="6650" xr:uid="{00000000-0005-0000-0000-0000FA190000}"/>
    <cellStyle name="Normal 87 2 2 4" xfId="6651" xr:uid="{00000000-0005-0000-0000-0000FB190000}"/>
    <cellStyle name="Normal 87 2 2 4 2" xfId="6652" xr:uid="{00000000-0005-0000-0000-0000FC190000}"/>
    <cellStyle name="Normal 87 2 2 5" xfId="6653" xr:uid="{00000000-0005-0000-0000-0000FD190000}"/>
    <cellStyle name="Normal 87 2 2 6" xfId="6654" xr:uid="{00000000-0005-0000-0000-0000FE190000}"/>
    <cellStyle name="Normal 87 2 3" xfId="6655" xr:uid="{00000000-0005-0000-0000-0000FF190000}"/>
    <cellStyle name="Normal 87 2 3 2" xfId="6656" xr:uid="{00000000-0005-0000-0000-0000001A0000}"/>
    <cellStyle name="Normal 87 2 3 2 2" xfId="6657" xr:uid="{00000000-0005-0000-0000-0000011A0000}"/>
    <cellStyle name="Normal 87 2 3 2 2 2" xfId="6658" xr:uid="{00000000-0005-0000-0000-0000021A0000}"/>
    <cellStyle name="Normal 87 2 3 2 3" xfId="6659" xr:uid="{00000000-0005-0000-0000-0000031A0000}"/>
    <cellStyle name="Normal 87 2 3 2 4" xfId="6660" xr:uid="{00000000-0005-0000-0000-0000041A0000}"/>
    <cellStyle name="Normal 87 2 3 3" xfId="6661" xr:uid="{00000000-0005-0000-0000-0000051A0000}"/>
    <cellStyle name="Normal 87 2 3 3 2" xfId="6662" xr:uid="{00000000-0005-0000-0000-0000061A0000}"/>
    <cellStyle name="Normal 87 2 3 4" xfId="6663" xr:uid="{00000000-0005-0000-0000-0000071A0000}"/>
    <cellStyle name="Normal 87 2 3 5" xfId="6664" xr:uid="{00000000-0005-0000-0000-0000081A0000}"/>
    <cellStyle name="Normal 87 2 4" xfId="6665" xr:uid="{00000000-0005-0000-0000-0000091A0000}"/>
    <cellStyle name="Normal 87 2 4 2" xfId="6666" xr:uid="{00000000-0005-0000-0000-00000A1A0000}"/>
    <cellStyle name="Normal 87 2 4 2 2" xfId="6667" xr:uid="{00000000-0005-0000-0000-00000B1A0000}"/>
    <cellStyle name="Normal 87 2 4 3" xfId="6668" xr:uid="{00000000-0005-0000-0000-00000C1A0000}"/>
    <cellStyle name="Normal 87 2 4 4" xfId="6669" xr:uid="{00000000-0005-0000-0000-00000D1A0000}"/>
    <cellStyle name="Normal 87 2 5" xfId="6670" xr:uid="{00000000-0005-0000-0000-00000E1A0000}"/>
    <cellStyle name="Normal 87 2 5 2" xfId="6671" xr:uid="{00000000-0005-0000-0000-00000F1A0000}"/>
    <cellStyle name="Normal 87 2 5 2 2" xfId="6672" xr:uid="{00000000-0005-0000-0000-0000101A0000}"/>
    <cellStyle name="Normal 87 2 5 3" xfId="6673" xr:uid="{00000000-0005-0000-0000-0000111A0000}"/>
    <cellStyle name="Normal 87 2 5 4" xfId="6674" xr:uid="{00000000-0005-0000-0000-0000121A0000}"/>
    <cellStyle name="Normal 87 2 6" xfId="6675" xr:uid="{00000000-0005-0000-0000-0000131A0000}"/>
    <cellStyle name="Normal 87 2 6 2" xfId="6676" xr:uid="{00000000-0005-0000-0000-0000141A0000}"/>
    <cellStyle name="Normal 87 2 7" xfId="6677" xr:uid="{00000000-0005-0000-0000-0000151A0000}"/>
    <cellStyle name="Normal 87 2 7 2" xfId="6678" xr:uid="{00000000-0005-0000-0000-0000161A0000}"/>
    <cellStyle name="Normal 87 2 8" xfId="6679" xr:uid="{00000000-0005-0000-0000-0000171A0000}"/>
    <cellStyle name="Normal 87 2 9" xfId="6680" xr:uid="{00000000-0005-0000-0000-0000181A0000}"/>
    <cellStyle name="Normal 87 3" xfId="6681" xr:uid="{00000000-0005-0000-0000-0000191A0000}"/>
    <cellStyle name="Normal 87 3 2" xfId="6682" xr:uid="{00000000-0005-0000-0000-00001A1A0000}"/>
    <cellStyle name="Normal 87 3 2 2" xfId="6683" xr:uid="{00000000-0005-0000-0000-00001B1A0000}"/>
    <cellStyle name="Normal 87 3 2 2 2" xfId="6684" xr:uid="{00000000-0005-0000-0000-00001C1A0000}"/>
    <cellStyle name="Normal 87 3 2 2 2 2" xfId="6685" xr:uid="{00000000-0005-0000-0000-00001D1A0000}"/>
    <cellStyle name="Normal 87 3 2 2 3" xfId="6686" xr:uid="{00000000-0005-0000-0000-00001E1A0000}"/>
    <cellStyle name="Normal 87 3 2 3" xfId="6687" xr:uid="{00000000-0005-0000-0000-00001F1A0000}"/>
    <cellStyle name="Normal 87 3 2 3 2" xfId="6688" xr:uid="{00000000-0005-0000-0000-0000201A0000}"/>
    <cellStyle name="Normal 87 3 2 4" xfId="6689" xr:uid="{00000000-0005-0000-0000-0000211A0000}"/>
    <cellStyle name="Normal 87 3 3" xfId="6690" xr:uid="{00000000-0005-0000-0000-0000221A0000}"/>
    <cellStyle name="Normal 87 3 3 2" xfId="6691" xr:uid="{00000000-0005-0000-0000-0000231A0000}"/>
    <cellStyle name="Normal 87 3 3 2 2" xfId="6692" xr:uid="{00000000-0005-0000-0000-0000241A0000}"/>
    <cellStyle name="Normal 87 3 3 3" xfId="6693" xr:uid="{00000000-0005-0000-0000-0000251A0000}"/>
    <cellStyle name="Normal 87 3 4" xfId="6694" xr:uid="{00000000-0005-0000-0000-0000261A0000}"/>
    <cellStyle name="Normal 87 3 4 2" xfId="6695" xr:uid="{00000000-0005-0000-0000-0000271A0000}"/>
    <cellStyle name="Normal 87 3 5" xfId="6696" xr:uid="{00000000-0005-0000-0000-0000281A0000}"/>
    <cellStyle name="Normal 87 4" xfId="6697" xr:uid="{00000000-0005-0000-0000-0000291A0000}"/>
    <cellStyle name="Normal 87 4 2" xfId="6698" xr:uid="{00000000-0005-0000-0000-00002A1A0000}"/>
    <cellStyle name="Normal 87 4 2 2" xfId="6699" xr:uid="{00000000-0005-0000-0000-00002B1A0000}"/>
    <cellStyle name="Normal 87 4 2 2 2" xfId="6700" xr:uid="{00000000-0005-0000-0000-00002C1A0000}"/>
    <cellStyle name="Normal 87 4 2 3" xfId="6701" xr:uid="{00000000-0005-0000-0000-00002D1A0000}"/>
    <cellStyle name="Normal 87 4 3" xfId="6702" xr:uid="{00000000-0005-0000-0000-00002E1A0000}"/>
    <cellStyle name="Normal 87 4 3 2" xfId="6703" xr:uid="{00000000-0005-0000-0000-00002F1A0000}"/>
    <cellStyle name="Normal 87 4 4" xfId="6704" xr:uid="{00000000-0005-0000-0000-0000301A0000}"/>
    <cellStyle name="Normal 87 5" xfId="6705" xr:uid="{00000000-0005-0000-0000-0000311A0000}"/>
    <cellStyle name="Normal 87 5 2" xfId="6706" xr:uid="{00000000-0005-0000-0000-0000321A0000}"/>
    <cellStyle name="Normal 87 5 2 2" xfId="6707" xr:uid="{00000000-0005-0000-0000-0000331A0000}"/>
    <cellStyle name="Normal 87 5 2 2 2" xfId="6708" xr:uid="{00000000-0005-0000-0000-0000341A0000}"/>
    <cellStyle name="Normal 87 5 2 3" xfId="6709" xr:uid="{00000000-0005-0000-0000-0000351A0000}"/>
    <cellStyle name="Normal 87 5 3" xfId="6710" xr:uid="{00000000-0005-0000-0000-0000361A0000}"/>
    <cellStyle name="Normal 87 5 3 2" xfId="6711" xr:uid="{00000000-0005-0000-0000-0000371A0000}"/>
    <cellStyle name="Normal 87 5 4" xfId="6712" xr:uid="{00000000-0005-0000-0000-0000381A0000}"/>
    <cellStyle name="Normal 87 6" xfId="6713" xr:uid="{00000000-0005-0000-0000-0000391A0000}"/>
    <cellStyle name="Normal 87 6 2" xfId="6714" xr:uid="{00000000-0005-0000-0000-00003A1A0000}"/>
    <cellStyle name="Normal 87 6 2 2" xfId="6715" xr:uid="{00000000-0005-0000-0000-00003B1A0000}"/>
    <cellStyle name="Normal 87 6 3" xfId="6716" xr:uid="{00000000-0005-0000-0000-00003C1A0000}"/>
    <cellStyle name="Normal 87 7" xfId="6717" xr:uid="{00000000-0005-0000-0000-00003D1A0000}"/>
    <cellStyle name="Normal 87 7 2" xfId="6718" xr:uid="{00000000-0005-0000-0000-00003E1A0000}"/>
    <cellStyle name="Normal 87 8" xfId="6719" xr:uid="{00000000-0005-0000-0000-00003F1A0000}"/>
    <cellStyle name="Normal 88" xfId="6720" xr:uid="{00000000-0005-0000-0000-0000401A0000}"/>
    <cellStyle name="Normal 88 2" xfId="6721" xr:uid="{00000000-0005-0000-0000-0000411A0000}"/>
    <cellStyle name="Normal 88 2 2" xfId="6722" xr:uid="{00000000-0005-0000-0000-0000421A0000}"/>
    <cellStyle name="Normal 88 2 2 2" xfId="6723" xr:uid="{00000000-0005-0000-0000-0000431A0000}"/>
    <cellStyle name="Normal 88 2 2 2 2" xfId="6724" xr:uid="{00000000-0005-0000-0000-0000441A0000}"/>
    <cellStyle name="Normal 88 2 2 2 2 2" xfId="6725" xr:uid="{00000000-0005-0000-0000-0000451A0000}"/>
    <cellStyle name="Normal 88 2 2 2 3" xfId="6726" xr:uid="{00000000-0005-0000-0000-0000461A0000}"/>
    <cellStyle name="Normal 88 2 2 2 4" xfId="6727" xr:uid="{00000000-0005-0000-0000-0000471A0000}"/>
    <cellStyle name="Normal 88 2 2 3" xfId="6728" xr:uid="{00000000-0005-0000-0000-0000481A0000}"/>
    <cellStyle name="Normal 88 2 2 3 2" xfId="6729" xr:uid="{00000000-0005-0000-0000-0000491A0000}"/>
    <cellStyle name="Normal 88 2 2 4" xfId="6730" xr:uid="{00000000-0005-0000-0000-00004A1A0000}"/>
    <cellStyle name="Normal 88 2 2 4 2" xfId="6731" xr:uid="{00000000-0005-0000-0000-00004B1A0000}"/>
    <cellStyle name="Normal 88 2 2 5" xfId="6732" xr:uid="{00000000-0005-0000-0000-00004C1A0000}"/>
    <cellStyle name="Normal 88 2 2 6" xfId="6733" xr:uid="{00000000-0005-0000-0000-00004D1A0000}"/>
    <cellStyle name="Normal 88 2 3" xfId="6734" xr:uid="{00000000-0005-0000-0000-00004E1A0000}"/>
    <cellStyle name="Normal 88 2 3 2" xfId="6735" xr:uid="{00000000-0005-0000-0000-00004F1A0000}"/>
    <cellStyle name="Normal 88 2 3 2 2" xfId="6736" xr:uid="{00000000-0005-0000-0000-0000501A0000}"/>
    <cellStyle name="Normal 88 2 3 2 2 2" xfId="6737" xr:uid="{00000000-0005-0000-0000-0000511A0000}"/>
    <cellStyle name="Normal 88 2 3 2 3" xfId="6738" xr:uid="{00000000-0005-0000-0000-0000521A0000}"/>
    <cellStyle name="Normal 88 2 3 2 4" xfId="6739" xr:uid="{00000000-0005-0000-0000-0000531A0000}"/>
    <cellStyle name="Normal 88 2 3 3" xfId="6740" xr:uid="{00000000-0005-0000-0000-0000541A0000}"/>
    <cellStyle name="Normal 88 2 3 3 2" xfId="6741" xr:uid="{00000000-0005-0000-0000-0000551A0000}"/>
    <cellStyle name="Normal 88 2 3 4" xfId="6742" xr:uid="{00000000-0005-0000-0000-0000561A0000}"/>
    <cellStyle name="Normal 88 2 3 5" xfId="6743" xr:uid="{00000000-0005-0000-0000-0000571A0000}"/>
    <cellStyle name="Normal 88 2 4" xfId="6744" xr:uid="{00000000-0005-0000-0000-0000581A0000}"/>
    <cellStyle name="Normal 88 2 4 2" xfId="6745" xr:uid="{00000000-0005-0000-0000-0000591A0000}"/>
    <cellStyle name="Normal 88 2 4 2 2" xfId="6746" xr:uid="{00000000-0005-0000-0000-00005A1A0000}"/>
    <cellStyle name="Normal 88 2 4 3" xfId="6747" xr:uid="{00000000-0005-0000-0000-00005B1A0000}"/>
    <cellStyle name="Normal 88 2 4 4" xfId="6748" xr:uid="{00000000-0005-0000-0000-00005C1A0000}"/>
    <cellStyle name="Normal 88 2 5" xfId="6749" xr:uid="{00000000-0005-0000-0000-00005D1A0000}"/>
    <cellStyle name="Normal 88 2 5 2" xfId="6750" xr:uid="{00000000-0005-0000-0000-00005E1A0000}"/>
    <cellStyle name="Normal 88 2 5 2 2" xfId="6751" xr:uid="{00000000-0005-0000-0000-00005F1A0000}"/>
    <cellStyle name="Normal 88 2 5 3" xfId="6752" xr:uid="{00000000-0005-0000-0000-0000601A0000}"/>
    <cellStyle name="Normal 88 2 5 4" xfId="6753" xr:uid="{00000000-0005-0000-0000-0000611A0000}"/>
    <cellStyle name="Normal 88 2 6" xfId="6754" xr:uid="{00000000-0005-0000-0000-0000621A0000}"/>
    <cellStyle name="Normal 88 2 6 2" xfId="6755" xr:uid="{00000000-0005-0000-0000-0000631A0000}"/>
    <cellStyle name="Normal 88 2 7" xfId="6756" xr:uid="{00000000-0005-0000-0000-0000641A0000}"/>
    <cellStyle name="Normal 88 2 7 2" xfId="6757" xr:uid="{00000000-0005-0000-0000-0000651A0000}"/>
    <cellStyle name="Normal 88 2 8" xfId="6758" xr:uid="{00000000-0005-0000-0000-0000661A0000}"/>
    <cellStyle name="Normal 88 2 9" xfId="6759" xr:uid="{00000000-0005-0000-0000-0000671A0000}"/>
    <cellStyle name="Normal 88 3" xfId="6760" xr:uid="{00000000-0005-0000-0000-0000681A0000}"/>
    <cellStyle name="Normal 88 3 2" xfId="6761" xr:uid="{00000000-0005-0000-0000-0000691A0000}"/>
    <cellStyle name="Normal 88 3 2 2" xfId="6762" xr:uid="{00000000-0005-0000-0000-00006A1A0000}"/>
    <cellStyle name="Normal 88 3 2 2 2" xfId="6763" xr:uid="{00000000-0005-0000-0000-00006B1A0000}"/>
    <cellStyle name="Normal 88 3 2 2 2 2" xfId="6764" xr:uid="{00000000-0005-0000-0000-00006C1A0000}"/>
    <cellStyle name="Normal 88 3 2 2 3" xfId="6765" xr:uid="{00000000-0005-0000-0000-00006D1A0000}"/>
    <cellStyle name="Normal 88 3 2 3" xfId="6766" xr:uid="{00000000-0005-0000-0000-00006E1A0000}"/>
    <cellStyle name="Normal 88 3 2 3 2" xfId="6767" xr:uid="{00000000-0005-0000-0000-00006F1A0000}"/>
    <cellStyle name="Normal 88 3 2 4" xfId="6768" xr:uid="{00000000-0005-0000-0000-0000701A0000}"/>
    <cellStyle name="Normal 88 3 3" xfId="6769" xr:uid="{00000000-0005-0000-0000-0000711A0000}"/>
    <cellStyle name="Normal 88 3 3 2" xfId="6770" xr:uid="{00000000-0005-0000-0000-0000721A0000}"/>
    <cellStyle name="Normal 88 3 3 2 2" xfId="6771" xr:uid="{00000000-0005-0000-0000-0000731A0000}"/>
    <cellStyle name="Normal 88 3 3 3" xfId="6772" xr:uid="{00000000-0005-0000-0000-0000741A0000}"/>
    <cellStyle name="Normal 88 3 4" xfId="6773" xr:uid="{00000000-0005-0000-0000-0000751A0000}"/>
    <cellStyle name="Normal 88 3 4 2" xfId="6774" xr:uid="{00000000-0005-0000-0000-0000761A0000}"/>
    <cellStyle name="Normal 88 3 5" xfId="6775" xr:uid="{00000000-0005-0000-0000-0000771A0000}"/>
    <cellStyle name="Normal 88 4" xfId="6776" xr:uid="{00000000-0005-0000-0000-0000781A0000}"/>
    <cellStyle name="Normal 88 4 2" xfId="6777" xr:uid="{00000000-0005-0000-0000-0000791A0000}"/>
    <cellStyle name="Normal 88 4 2 2" xfId="6778" xr:uid="{00000000-0005-0000-0000-00007A1A0000}"/>
    <cellStyle name="Normal 88 4 2 2 2" xfId="6779" xr:uid="{00000000-0005-0000-0000-00007B1A0000}"/>
    <cellStyle name="Normal 88 4 2 3" xfId="6780" xr:uid="{00000000-0005-0000-0000-00007C1A0000}"/>
    <cellStyle name="Normal 88 4 3" xfId="6781" xr:uid="{00000000-0005-0000-0000-00007D1A0000}"/>
    <cellStyle name="Normal 88 4 3 2" xfId="6782" xr:uid="{00000000-0005-0000-0000-00007E1A0000}"/>
    <cellStyle name="Normal 88 4 4" xfId="6783" xr:uid="{00000000-0005-0000-0000-00007F1A0000}"/>
    <cellStyle name="Normal 88 5" xfId="6784" xr:uid="{00000000-0005-0000-0000-0000801A0000}"/>
    <cellStyle name="Normal 88 5 2" xfId="6785" xr:uid="{00000000-0005-0000-0000-0000811A0000}"/>
    <cellStyle name="Normal 88 5 2 2" xfId="6786" xr:uid="{00000000-0005-0000-0000-0000821A0000}"/>
    <cellStyle name="Normal 88 5 2 2 2" xfId="6787" xr:uid="{00000000-0005-0000-0000-0000831A0000}"/>
    <cellStyle name="Normal 88 5 2 3" xfId="6788" xr:uid="{00000000-0005-0000-0000-0000841A0000}"/>
    <cellStyle name="Normal 88 5 3" xfId="6789" xr:uid="{00000000-0005-0000-0000-0000851A0000}"/>
    <cellStyle name="Normal 88 5 3 2" xfId="6790" xr:uid="{00000000-0005-0000-0000-0000861A0000}"/>
    <cellStyle name="Normal 88 5 4" xfId="6791" xr:uid="{00000000-0005-0000-0000-0000871A0000}"/>
    <cellStyle name="Normal 88 6" xfId="6792" xr:uid="{00000000-0005-0000-0000-0000881A0000}"/>
    <cellStyle name="Normal 88 6 2" xfId="6793" xr:uid="{00000000-0005-0000-0000-0000891A0000}"/>
    <cellStyle name="Normal 88 6 2 2" xfId="6794" xr:uid="{00000000-0005-0000-0000-00008A1A0000}"/>
    <cellStyle name="Normal 88 6 3" xfId="6795" xr:uid="{00000000-0005-0000-0000-00008B1A0000}"/>
    <cellStyle name="Normal 88 7" xfId="6796" xr:uid="{00000000-0005-0000-0000-00008C1A0000}"/>
    <cellStyle name="Normal 88 7 2" xfId="6797" xr:uid="{00000000-0005-0000-0000-00008D1A0000}"/>
    <cellStyle name="Normal 88 8" xfId="6798" xr:uid="{00000000-0005-0000-0000-00008E1A0000}"/>
    <cellStyle name="Normal 89" xfId="6799" xr:uid="{00000000-0005-0000-0000-00008F1A0000}"/>
    <cellStyle name="Normal 89 2" xfId="6800" xr:uid="{00000000-0005-0000-0000-0000901A0000}"/>
    <cellStyle name="Normal 89 2 2" xfId="6801" xr:uid="{00000000-0005-0000-0000-0000911A0000}"/>
    <cellStyle name="Normal 89 2 2 2" xfId="6802" xr:uid="{00000000-0005-0000-0000-0000921A0000}"/>
    <cellStyle name="Normal 89 2 2 2 2" xfId="6803" xr:uid="{00000000-0005-0000-0000-0000931A0000}"/>
    <cellStyle name="Normal 89 2 2 2 2 2" xfId="6804" xr:uid="{00000000-0005-0000-0000-0000941A0000}"/>
    <cellStyle name="Normal 89 2 2 2 3" xfId="6805" xr:uid="{00000000-0005-0000-0000-0000951A0000}"/>
    <cellStyle name="Normal 89 2 2 2 4" xfId="6806" xr:uid="{00000000-0005-0000-0000-0000961A0000}"/>
    <cellStyle name="Normal 89 2 2 3" xfId="6807" xr:uid="{00000000-0005-0000-0000-0000971A0000}"/>
    <cellStyle name="Normal 89 2 2 3 2" xfId="6808" xr:uid="{00000000-0005-0000-0000-0000981A0000}"/>
    <cellStyle name="Normal 89 2 2 4" xfId="6809" xr:uid="{00000000-0005-0000-0000-0000991A0000}"/>
    <cellStyle name="Normal 89 2 2 4 2" xfId="6810" xr:uid="{00000000-0005-0000-0000-00009A1A0000}"/>
    <cellStyle name="Normal 89 2 2 5" xfId="6811" xr:uid="{00000000-0005-0000-0000-00009B1A0000}"/>
    <cellStyle name="Normal 89 2 2 6" xfId="6812" xr:uid="{00000000-0005-0000-0000-00009C1A0000}"/>
    <cellStyle name="Normal 89 2 3" xfId="6813" xr:uid="{00000000-0005-0000-0000-00009D1A0000}"/>
    <cellStyle name="Normal 89 2 3 2" xfId="6814" xr:uid="{00000000-0005-0000-0000-00009E1A0000}"/>
    <cellStyle name="Normal 89 2 3 2 2" xfId="6815" xr:uid="{00000000-0005-0000-0000-00009F1A0000}"/>
    <cellStyle name="Normal 89 2 3 2 2 2" xfId="6816" xr:uid="{00000000-0005-0000-0000-0000A01A0000}"/>
    <cellStyle name="Normal 89 2 3 2 3" xfId="6817" xr:uid="{00000000-0005-0000-0000-0000A11A0000}"/>
    <cellStyle name="Normal 89 2 3 2 4" xfId="6818" xr:uid="{00000000-0005-0000-0000-0000A21A0000}"/>
    <cellStyle name="Normal 89 2 3 3" xfId="6819" xr:uid="{00000000-0005-0000-0000-0000A31A0000}"/>
    <cellStyle name="Normal 89 2 3 3 2" xfId="6820" xr:uid="{00000000-0005-0000-0000-0000A41A0000}"/>
    <cellStyle name="Normal 89 2 3 4" xfId="6821" xr:uid="{00000000-0005-0000-0000-0000A51A0000}"/>
    <cellStyle name="Normal 89 2 3 5" xfId="6822" xr:uid="{00000000-0005-0000-0000-0000A61A0000}"/>
    <cellStyle name="Normal 89 2 4" xfId="6823" xr:uid="{00000000-0005-0000-0000-0000A71A0000}"/>
    <cellStyle name="Normal 89 2 4 2" xfId="6824" xr:uid="{00000000-0005-0000-0000-0000A81A0000}"/>
    <cellStyle name="Normal 89 2 4 2 2" xfId="6825" xr:uid="{00000000-0005-0000-0000-0000A91A0000}"/>
    <cellStyle name="Normal 89 2 4 3" xfId="6826" xr:uid="{00000000-0005-0000-0000-0000AA1A0000}"/>
    <cellStyle name="Normal 89 2 4 4" xfId="6827" xr:uid="{00000000-0005-0000-0000-0000AB1A0000}"/>
    <cellStyle name="Normal 89 2 5" xfId="6828" xr:uid="{00000000-0005-0000-0000-0000AC1A0000}"/>
    <cellStyle name="Normal 89 2 5 2" xfId="6829" xr:uid="{00000000-0005-0000-0000-0000AD1A0000}"/>
    <cellStyle name="Normal 89 2 5 2 2" xfId="6830" xr:uid="{00000000-0005-0000-0000-0000AE1A0000}"/>
    <cellStyle name="Normal 89 2 5 3" xfId="6831" xr:uid="{00000000-0005-0000-0000-0000AF1A0000}"/>
    <cellStyle name="Normal 89 2 5 4" xfId="6832" xr:uid="{00000000-0005-0000-0000-0000B01A0000}"/>
    <cellStyle name="Normal 89 2 6" xfId="6833" xr:uid="{00000000-0005-0000-0000-0000B11A0000}"/>
    <cellStyle name="Normal 89 2 6 2" xfId="6834" xr:uid="{00000000-0005-0000-0000-0000B21A0000}"/>
    <cellStyle name="Normal 89 2 7" xfId="6835" xr:uid="{00000000-0005-0000-0000-0000B31A0000}"/>
    <cellStyle name="Normal 89 2 7 2" xfId="6836" xr:uid="{00000000-0005-0000-0000-0000B41A0000}"/>
    <cellStyle name="Normal 89 2 8" xfId="6837" xr:uid="{00000000-0005-0000-0000-0000B51A0000}"/>
    <cellStyle name="Normal 89 2 9" xfId="6838" xr:uid="{00000000-0005-0000-0000-0000B61A0000}"/>
    <cellStyle name="Normal 89 3" xfId="6839" xr:uid="{00000000-0005-0000-0000-0000B71A0000}"/>
    <cellStyle name="Normal 89 3 2" xfId="6840" xr:uid="{00000000-0005-0000-0000-0000B81A0000}"/>
    <cellStyle name="Normal 89 3 2 2" xfId="6841" xr:uid="{00000000-0005-0000-0000-0000B91A0000}"/>
    <cellStyle name="Normal 89 3 2 2 2" xfId="6842" xr:uid="{00000000-0005-0000-0000-0000BA1A0000}"/>
    <cellStyle name="Normal 89 3 2 2 2 2" xfId="6843" xr:uid="{00000000-0005-0000-0000-0000BB1A0000}"/>
    <cellStyle name="Normal 89 3 2 2 3" xfId="6844" xr:uid="{00000000-0005-0000-0000-0000BC1A0000}"/>
    <cellStyle name="Normal 89 3 2 3" xfId="6845" xr:uid="{00000000-0005-0000-0000-0000BD1A0000}"/>
    <cellStyle name="Normal 89 3 2 3 2" xfId="6846" xr:uid="{00000000-0005-0000-0000-0000BE1A0000}"/>
    <cellStyle name="Normal 89 3 2 4" xfId="6847" xr:uid="{00000000-0005-0000-0000-0000BF1A0000}"/>
    <cellStyle name="Normal 89 3 3" xfId="6848" xr:uid="{00000000-0005-0000-0000-0000C01A0000}"/>
    <cellStyle name="Normal 89 3 3 2" xfId="6849" xr:uid="{00000000-0005-0000-0000-0000C11A0000}"/>
    <cellStyle name="Normal 89 3 3 2 2" xfId="6850" xr:uid="{00000000-0005-0000-0000-0000C21A0000}"/>
    <cellStyle name="Normal 89 3 3 3" xfId="6851" xr:uid="{00000000-0005-0000-0000-0000C31A0000}"/>
    <cellStyle name="Normal 89 3 4" xfId="6852" xr:uid="{00000000-0005-0000-0000-0000C41A0000}"/>
    <cellStyle name="Normal 89 3 4 2" xfId="6853" xr:uid="{00000000-0005-0000-0000-0000C51A0000}"/>
    <cellStyle name="Normal 89 3 5" xfId="6854" xr:uid="{00000000-0005-0000-0000-0000C61A0000}"/>
    <cellStyle name="Normal 89 4" xfId="6855" xr:uid="{00000000-0005-0000-0000-0000C71A0000}"/>
    <cellStyle name="Normal 89 4 2" xfId="6856" xr:uid="{00000000-0005-0000-0000-0000C81A0000}"/>
    <cellStyle name="Normal 89 4 2 2" xfId="6857" xr:uid="{00000000-0005-0000-0000-0000C91A0000}"/>
    <cellStyle name="Normal 89 4 2 2 2" xfId="6858" xr:uid="{00000000-0005-0000-0000-0000CA1A0000}"/>
    <cellStyle name="Normal 89 4 2 3" xfId="6859" xr:uid="{00000000-0005-0000-0000-0000CB1A0000}"/>
    <cellStyle name="Normal 89 4 3" xfId="6860" xr:uid="{00000000-0005-0000-0000-0000CC1A0000}"/>
    <cellStyle name="Normal 89 4 3 2" xfId="6861" xr:uid="{00000000-0005-0000-0000-0000CD1A0000}"/>
    <cellStyle name="Normal 89 4 4" xfId="6862" xr:uid="{00000000-0005-0000-0000-0000CE1A0000}"/>
    <cellStyle name="Normal 89 5" xfId="6863" xr:uid="{00000000-0005-0000-0000-0000CF1A0000}"/>
    <cellStyle name="Normal 89 5 2" xfId="6864" xr:uid="{00000000-0005-0000-0000-0000D01A0000}"/>
    <cellStyle name="Normal 89 5 2 2" xfId="6865" xr:uid="{00000000-0005-0000-0000-0000D11A0000}"/>
    <cellStyle name="Normal 89 5 2 2 2" xfId="6866" xr:uid="{00000000-0005-0000-0000-0000D21A0000}"/>
    <cellStyle name="Normal 89 5 2 3" xfId="6867" xr:uid="{00000000-0005-0000-0000-0000D31A0000}"/>
    <cellStyle name="Normal 89 5 3" xfId="6868" xr:uid="{00000000-0005-0000-0000-0000D41A0000}"/>
    <cellStyle name="Normal 89 5 3 2" xfId="6869" xr:uid="{00000000-0005-0000-0000-0000D51A0000}"/>
    <cellStyle name="Normal 89 5 4" xfId="6870" xr:uid="{00000000-0005-0000-0000-0000D61A0000}"/>
    <cellStyle name="Normal 89 6" xfId="6871" xr:uid="{00000000-0005-0000-0000-0000D71A0000}"/>
    <cellStyle name="Normal 89 6 2" xfId="6872" xr:uid="{00000000-0005-0000-0000-0000D81A0000}"/>
    <cellStyle name="Normal 89 6 2 2" xfId="6873" xr:uid="{00000000-0005-0000-0000-0000D91A0000}"/>
    <cellStyle name="Normal 89 6 3" xfId="6874" xr:uid="{00000000-0005-0000-0000-0000DA1A0000}"/>
    <cellStyle name="Normal 89 7" xfId="6875" xr:uid="{00000000-0005-0000-0000-0000DB1A0000}"/>
    <cellStyle name="Normal 89 7 2" xfId="6876" xr:uid="{00000000-0005-0000-0000-0000DC1A0000}"/>
    <cellStyle name="Normal 89 8" xfId="6877" xr:uid="{00000000-0005-0000-0000-0000DD1A0000}"/>
    <cellStyle name="Normal 9" xfId="6878" xr:uid="{00000000-0005-0000-0000-0000DE1A0000}"/>
    <cellStyle name="Normal 9 2" xfId="6879" xr:uid="{00000000-0005-0000-0000-0000DF1A0000}"/>
    <cellStyle name="Normal 9 3" xfId="6880" xr:uid="{00000000-0005-0000-0000-0000E01A0000}"/>
    <cellStyle name="Normal 9_Dual_Mode_Time" xfId="6881" xr:uid="{00000000-0005-0000-0000-0000E11A0000}"/>
    <cellStyle name="Normal 90" xfId="6882" xr:uid="{00000000-0005-0000-0000-0000E21A0000}"/>
    <cellStyle name="Normal 90 2" xfId="6883" xr:uid="{00000000-0005-0000-0000-0000E31A0000}"/>
    <cellStyle name="Normal 90 2 2" xfId="6884" xr:uid="{00000000-0005-0000-0000-0000E41A0000}"/>
    <cellStyle name="Normal 90 2 2 2" xfId="6885" xr:uid="{00000000-0005-0000-0000-0000E51A0000}"/>
    <cellStyle name="Normal 90 2 2 2 2" xfId="6886" xr:uid="{00000000-0005-0000-0000-0000E61A0000}"/>
    <cellStyle name="Normal 90 2 2 2 2 2" xfId="6887" xr:uid="{00000000-0005-0000-0000-0000E71A0000}"/>
    <cellStyle name="Normal 90 2 2 2 3" xfId="6888" xr:uid="{00000000-0005-0000-0000-0000E81A0000}"/>
    <cellStyle name="Normal 90 2 2 2 4" xfId="6889" xr:uid="{00000000-0005-0000-0000-0000E91A0000}"/>
    <cellStyle name="Normal 90 2 2 3" xfId="6890" xr:uid="{00000000-0005-0000-0000-0000EA1A0000}"/>
    <cellStyle name="Normal 90 2 2 3 2" xfId="6891" xr:uid="{00000000-0005-0000-0000-0000EB1A0000}"/>
    <cellStyle name="Normal 90 2 2 4" xfId="6892" xr:uid="{00000000-0005-0000-0000-0000EC1A0000}"/>
    <cellStyle name="Normal 90 2 2 4 2" xfId="6893" xr:uid="{00000000-0005-0000-0000-0000ED1A0000}"/>
    <cellStyle name="Normal 90 2 2 5" xfId="6894" xr:uid="{00000000-0005-0000-0000-0000EE1A0000}"/>
    <cellStyle name="Normal 90 2 2 6" xfId="6895" xr:uid="{00000000-0005-0000-0000-0000EF1A0000}"/>
    <cellStyle name="Normal 90 2 3" xfId="6896" xr:uid="{00000000-0005-0000-0000-0000F01A0000}"/>
    <cellStyle name="Normal 90 2 3 2" xfId="6897" xr:uid="{00000000-0005-0000-0000-0000F11A0000}"/>
    <cellStyle name="Normal 90 2 3 2 2" xfId="6898" xr:uid="{00000000-0005-0000-0000-0000F21A0000}"/>
    <cellStyle name="Normal 90 2 3 2 2 2" xfId="6899" xr:uid="{00000000-0005-0000-0000-0000F31A0000}"/>
    <cellStyle name="Normal 90 2 3 2 3" xfId="6900" xr:uid="{00000000-0005-0000-0000-0000F41A0000}"/>
    <cellStyle name="Normal 90 2 3 2 4" xfId="6901" xr:uid="{00000000-0005-0000-0000-0000F51A0000}"/>
    <cellStyle name="Normal 90 2 3 3" xfId="6902" xr:uid="{00000000-0005-0000-0000-0000F61A0000}"/>
    <cellStyle name="Normal 90 2 3 3 2" xfId="6903" xr:uid="{00000000-0005-0000-0000-0000F71A0000}"/>
    <cellStyle name="Normal 90 2 3 4" xfId="6904" xr:uid="{00000000-0005-0000-0000-0000F81A0000}"/>
    <cellStyle name="Normal 90 2 3 5" xfId="6905" xr:uid="{00000000-0005-0000-0000-0000F91A0000}"/>
    <cellStyle name="Normal 90 2 4" xfId="6906" xr:uid="{00000000-0005-0000-0000-0000FA1A0000}"/>
    <cellStyle name="Normal 90 2 4 2" xfId="6907" xr:uid="{00000000-0005-0000-0000-0000FB1A0000}"/>
    <cellStyle name="Normal 90 2 4 2 2" xfId="6908" xr:uid="{00000000-0005-0000-0000-0000FC1A0000}"/>
    <cellStyle name="Normal 90 2 4 3" xfId="6909" xr:uid="{00000000-0005-0000-0000-0000FD1A0000}"/>
    <cellStyle name="Normal 90 2 4 4" xfId="6910" xr:uid="{00000000-0005-0000-0000-0000FE1A0000}"/>
    <cellStyle name="Normal 90 2 5" xfId="6911" xr:uid="{00000000-0005-0000-0000-0000FF1A0000}"/>
    <cellStyle name="Normal 90 2 5 2" xfId="6912" xr:uid="{00000000-0005-0000-0000-0000001B0000}"/>
    <cellStyle name="Normal 90 2 5 2 2" xfId="6913" xr:uid="{00000000-0005-0000-0000-0000011B0000}"/>
    <cellStyle name="Normal 90 2 5 3" xfId="6914" xr:uid="{00000000-0005-0000-0000-0000021B0000}"/>
    <cellStyle name="Normal 90 2 5 4" xfId="6915" xr:uid="{00000000-0005-0000-0000-0000031B0000}"/>
    <cellStyle name="Normal 90 2 6" xfId="6916" xr:uid="{00000000-0005-0000-0000-0000041B0000}"/>
    <cellStyle name="Normal 90 2 6 2" xfId="6917" xr:uid="{00000000-0005-0000-0000-0000051B0000}"/>
    <cellStyle name="Normal 90 2 7" xfId="6918" xr:uid="{00000000-0005-0000-0000-0000061B0000}"/>
    <cellStyle name="Normal 90 2 7 2" xfId="6919" xr:uid="{00000000-0005-0000-0000-0000071B0000}"/>
    <cellStyle name="Normal 90 2 8" xfId="6920" xr:uid="{00000000-0005-0000-0000-0000081B0000}"/>
    <cellStyle name="Normal 90 2 9" xfId="6921" xr:uid="{00000000-0005-0000-0000-0000091B0000}"/>
    <cellStyle name="Normal 90 3" xfId="6922" xr:uid="{00000000-0005-0000-0000-00000A1B0000}"/>
    <cellStyle name="Normal 90 3 2" xfId="6923" xr:uid="{00000000-0005-0000-0000-00000B1B0000}"/>
    <cellStyle name="Normal 90 3 2 2" xfId="6924" xr:uid="{00000000-0005-0000-0000-00000C1B0000}"/>
    <cellStyle name="Normal 90 3 2 2 2" xfId="6925" xr:uid="{00000000-0005-0000-0000-00000D1B0000}"/>
    <cellStyle name="Normal 90 3 2 2 2 2" xfId="6926" xr:uid="{00000000-0005-0000-0000-00000E1B0000}"/>
    <cellStyle name="Normal 90 3 2 2 3" xfId="6927" xr:uid="{00000000-0005-0000-0000-00000F1B0000}"/>
    <cellStyle name="Normal 90 3 2 3" xfId="6928" xr:uid="{00000000-0005-0000-0000-0000101B0000}"/>
    <cellStyle name="Normal 90 3 2 3 2" xfId="6929" xr:uid="{00000000-0005-0000-0000-0000111B0000}"/>
    <cellStyle name="Normal 90 3 2 4" xfId="6930" xr:uid="{00000000-0005-0000-0000-0000121B0000}"/>
    <cellStyle name="Normal 90 3 3" xfId="6931" xr:uid="{00000000-0005-0000-0000-0000131B0000}"/>
    <cellStyle name="Normal 90 3 3 2" xfId="6932" xr:uid="{00000000-0005-0000-0000-0000141B0000}"/>
    <cellStyle name="Normal 90 3 3 2 2" xfId="6933" xr:uid="{00000000-0005-0000-0000-0000151B0000}"/>
    <cellStyle name="Normal 90 3 3 3" xfId="6934" xr:uid="{00000000-0005-0000-0000-0000161B0000}"/>
    <cellStyle name="Normal 90 3 4" xfId="6935" xr:uid="{00000000-0005-0000-0000-0000171B0000}"/>
    <cellStyle name="Normal 90 3 4 2" xfId="6936" xr:uid="{00000000-0005-0000-0000-0000181B0000}"/>
    <cellStyle name="Normal 90 3 5" xfId="6937" xr:uid="{00000000-0005-0000-0000-0000191B0000}"/>
    <cellStyle name="Normal 90 4" xfId="6938" xr:uid="{00000000-0005-0000-0000-00001A1B0000}"/>
    <cellStyle name="Normal 90 4 2" xfId="6939" xr:uid="{00000000-0005-0000-0000-00001B1B0000}"/>
    <cellStyle name="Normal 90 4 2 2" xfId="6940" xr:uid="{00000000-0005-0000-0000-00001C1B0000}"/>
    <cellStyle name="Normal 90 4 2 2 2" xfId="6941" xr:uid="{00000000-0005-0000-0000-00001D1B0000}"/>
    <cellStyle name="Normal 90 4 2 3" xfId="6942" xr:uid="{00000000-0005-0000-0000-00001E1B0000}"/>
    <cellStyle name="Normal 90 4 3" xfId="6943" xr:uid="{00000000-0005-0000-0000-00001F1B0000}"/>
    <cellStyle name="Normal 90 4 3 2" xfId="6944" xr:uid="{00000000-0005-0000-0000-0000201B0000}"/>
    <cellStyle name="Normal 90 4 4" xfId="6945" xr:uid="{00000000-0005-0000-0000-0000211B0000}"/>
    <cellStyle name="Normal 90 5" xfId="6946" xr:uid="{00000000-0005-0000-0000-0000221B0000}"/>
    <cellStyle name="Normal 90 5 2" xfId="6947" xr:uid="{00000000-0005-0000-0000-0000231B0000}"/>
    <cellStyle name="Normal 90 5 2 2" xfId="6948" xr:uid="{00000000-0005-0000-0000-0000241B0000}"/>
    <cellStyle name="Normal 90 5 2 2 2" xfId="6949" xr:uid="{00000000-0005-0000-0000-0000251B0000}"/>
    <cellStyle name="Normal 90 5 2 3" xfId="6950" xr:uid="{00000000-0005-0000-0000-0000261B0000}"/>
    <cellStyle name="Normal 90 5 3" xfId="6951" xr:uid="{00000000-0005-0000-0000-0000271B0000}"/>
    <cellStyle name="Normal 90 5 3 2" xfId="6952" xr:uid="{00000000-0005-0000-0000-0000281B0000}"/>
    <cellStyle name="Normal 90 5 4" xfId="6953" xr:uid="{00000000-0005-0000-0000-0000291B0000}"/>
    <cellStyle name="Normal 90 6" xfId="6954" xr:uid="{00000000-0005-0000-0000-00002A1B0000}"/>
    <cellStyle name="Normal 90 6 2" xfId="6955" xr:uid="{00000000-0005-0000-0000-00002B1B0000}"/>
    <cellStyle name="Normal 90 6 2 2" xfId="6956" xr:uid="{00000000-0005-0000-0000-00002C1B0000}"/>
    <cellStyle name="Normal 90 6 3" xfId="6957" xr:uid="{00000000-0005-0000-0000-00002D1B0000}"/>
    <cellStyle name="Normal 90 7" xfId="6958" xr:uid="{00000000-0005-0000-0000-00002E1B0000}"/>
    <cellStyle name="Normal 90 7 2" xfId="6959" xr:uid="{00000000-0005-0000-0000-00002F1B0000}"/>
    <cellStyle name="Normal 90 8" xfId="6960" xr:uid="{00000000-0005-0000-0000-0000301B0000}"/>
    <cellStyle name="Normal 91" xfId="6961" xr:uid="{00000000-0005-0000-0000-0000311B0000}"/>
    <cellStyle name="Normal 91 2" xfId="6962" xr:uid="{00000000-0005-0000-0000-0000321B0000}"/>
    <cellStyle name="Normal 91 2 2" xfId="6963" xr:uid="{00000000-0005-0000-0000-0000331B0000}"/>
    <cellStyle name="Normal 91 2 2 2" xfId="6964" xr:uid="{00000000-0005-0000-0000-0000341B0000}"/>
    <cellStyle name="Normal 91 2 2 2 2" xfId="6965" xr:uid="{00000000-0005-0000-0000-0000351B0000}"/>
    <cellStyle name="Normal 91 2 2 2 2 2" xfId="6966" xr:uid="{00000000-0005-0000-0000-0000361B0000}"/>
    <cellStyle name="Normal 91 2 2 2 3" xfId="6967" xr:uid="{00000000-0005-0000-0000-0000371B0000}"/>
    <cellStyle name="Normal 91 2 2 2 4" xfId="6968" xr:uid="{00000000-0005-0000-0000-0000381B0000}"/>
    <cellStyle name="Normal 91 2 2 3" xfId="6969" xr:uid="{00000000-0005-0000-0000-0000391B0000}"/>
    <cellStyle name="Normal 91 2 2 3 2" xfId="6970" xr:uid="{00000000-0005-0000-0000-00003A1B0000}"/>
    <cellStyle name="Normal 91 2 2 4" xfId="6971" xr:uid="{00000000-0005-0000-0000-00003B1B0000}"/>
    <cellStyle name="Normal 91 2 2 4 2" xfId="6972" xr:uid="{00000000-0005-0000-0000-00003C1B0000}"/>
    <cellStyle name="Normal 91 2 2 5" xfId="6973" xr:uid="{00000000-0005-0000-0000-00003D1B0000}"/>
    <cellStyle name="Normal 91 2 2 6" xfId="6974" xr:uid="{00000000-0005-0000-0000-00003E1B0000}"/>
    <cellStyle name="Normal 91 2 3" xfId="6975" xr:uid="{00000000-0005-0000-0000-00003F1B0000}"/>
    <cellStyle name="Normal 91 2 3 2" xfId="6976" xr:uid="{00000000-0005-0000-0000-0000401B0000}"/>
    <cellStyle name="Normal 91 2 3 2 2" xfId="6977" xr:uid="{00000000-0005-0000-0000-0000411B0000}"/>
    <cellStyle name="Normal 91 2 3 2 2 2" xfId="6978" xr:uid="{00000000-0005-0000-0000-0000421B0000}"/>
    <cellStyle name="Normal 91 2 3 2 3" xfId="6979" xr:uid="{00000000-0005-0000-0000-0000431B0000}"/>
    <cellStyle name="Normal 91 2 3 2 4" xfId="6980" xr:uid="{00000000-0005-0000-0000-0000441B0000}"/>
    <cellStyle name="Normal 91 2 3 3" xfId="6981" xr:uid="{00000000-0005-0000-0000-0000451B0000}"/>
    <cellStyle name="Normal 91 2 3 3 2" xfId="6982" xr:uid="{00000000-0005-0000-0000-0000461B0000}"/>
    <cellStyle name="Normal 91 2 3 4" xfId="6983" xr:uid="{00000000-0005-0000-0000-0000471B0000}"/>
    <cellStyle name="Normal 91 2 3 5" xfId="6984" xr:uid="{00000000-0005-0000-0000-0000481B0000}"/>
    <cellStyle name="Normal 91 2 4" xfId="6985" xr:uid="{00000000-0005-0000-0000-0000491B0000}"/>
    <cellStyle name="Normal 91 2 4 2" xfId="6986" xr:uid="{00000000-0005-0000-0000-00004A1B0000}"/>
    <cellStyle name="Normal 91 2 4 2 2" xfId="6987" xr:uid="{00000000-0005-0000-0000-00004B1B0000}"/>
    <cellStyle name="Normal 91 2 4 3" xfId="6988" xr:uid="{00000000-0005-0000-0000-00004C1B0000}"/>
    <cellStyle name="Normal 91 2 4 4" xfId="6989" xr:uid="{00000000-0005-0000-0000-00004D1B0000}"/>
    <cellStyle name="Normal 91 2 5" xfId="6990" xr:uid="{00000000-0005-0000-0000-00004E1B0000}"/>
    <cellStyle name="Normal 91 2 5 2" xfId="6991" xr:uid="{00000000-0005-0000-0000-00004F1B0000}"/>
    <cellStyle name="Normal 91 2 5 2 2" xfId="6992" xr:uid="{00000000-0005-0000-0000-0000501B0000}"/>
    <cellStyle name="Normal 91 2 5 3" xfId="6993" xr:uid="{00000000-0005-0000-0000-0000511B0000}"/>
    <cellStyle name="Normal 91 2 5 4" xfId="6994" xr:uid="{00000000-0005-0000-0000-0000521B0000}"/>
    <cellStyle name="Normal 91 2 6" xfId="6995" xr:uid="{00000000-0005-0000-0000-0000531B0000}"/>
    <cellStyle name="Normal 91 2 6 2" xfId="6996" xr:uid="{00000000-0005-0000-0000-0000541B0000}"/>
    <cellStyle name="Normal 91 2 7" xfId="6997" xr:uid="{00000000-0005-0000-0000-0000551B0000}"/>
    <cellStyle name="Normal 91 2 7 2" xfId="6998" xr:uid="{00000000-0005-0000-0000-0000561B0000}"/>
    <cellStyle name="Normal 91 2 8" xfId="6999" xr:uid="{00000000-0005-0000-0000-0000571B0000}"/>
    <cellStyle name="Normal 91 2 9" xfId="7000" xr:uid="{00000000-0005-0000-0000-0000581B0000}"/>
    <cellStyle name="Normal 91 3" xfId="7001" xr:uid="{00000000-0005-0000-0000-0000591B0000}"/>
    <cellStyle name="Normal 91 3 2" xfId="7002" xr:uid="{00000000-0005-0000-0000-00005A1B0000}"/>
    <cellStyle name="Normal 91 3 2 2" xfId="7003" xr:uid="{00000000-0005-0000-0000-00005B1B0000}"/>
    <cellStyle name="Normal 91 3 2 2 2" xfId="7004" xr:uid="{00000000-0005-0000-0000-00005C1B0000}"/>
    <cellStyle name="Normal 91 3 2 2 2 2" xfId="7005" xr:uid="{00000000-0005-0000-0000-00005D1B0000}"/>
    <cellStyle name="Normal 91 3 2 2 3" xfId="7006" xr:uid="{00000000-0005-0000-0000-00005E1B0000}"/>
    <cellStyle name="Normal 91 3 2 3" xfId="7007" xr:uid="{00000000-0005-0000-0000-00005F1B0000}"/>
    <cellStyle name="Normal 91 3 2 3 2" xfId="7008" xr:uid="{00000000-0005-0000-0000-0000601B0000}"/>
    <cellStyle name="Normal 91 3 2 4" xfId="7009" xr:uid="{00000000-0005-0000-0000-0000611B0000}"/>
    <cellStyle name="Normal 91 3 3" xfId="7010" xr:uid="{00000000-0005-0000-0000-0000621B0000}"/>
    <cellStyle name="Normal 91 3 3 2" xfId="7011" xr:uid="{00000000-0005-0000-0000-0000631B0000}"/>
    <cellStyle name="Normal 91 3 3 2 2" xfId="7012" xr:uid="{00000000-0005-0000-0000-0000641B0000}"/>
    <cellStyle name="Normal 91 3 3 3" xfId="7013" xr:uid="{00000000-0005-0000-0000-0000651B0000}"/>
    <cellStyle name="Normal 91 3 4" xfId="7014" xr:uid="{00000000-0005-0000-0000-0000661B0000}"/>
    <cellStyle name="Normal 91 3 4 2" xfId="7015" xr:uid="{00000000-0005-0000-0000-0000671B0000}"/>
    <cellStyle name="Normal 91 3 5" xfId="7016" xr:uid="{00000000-0005-0000-0000-0000681B0000}"/>
    <cellStyle name="Normal 91 4" xfId="7017" xr:uid="{00000000-0005-0000-0000-0000691B0000}"/>
    <cellStyle name="Normal 91 4 2" xfId="7018" xr:uid="{00000000-0005-0000-0000-00006A1B0000}"/>
    <cellStyle name="Normal 91 4 2 2" xfId="7019" xr:uid="{00000000-0005-0000-0000-00006B1B0000}"/>
    <cellStyle name="Normal 91 4 2 2 2" xfId="7020" xr:uid="{00000000-0005-0000-0000-00006C1B0000}"/>
    <cellStyle name="Normal 91 4 2 3" xfId="7021" xr:uid="{00000000-0005-0000-0000-00006D1B0000}"/>
    <cellStyle name="Normal 91 4 3" xfId="7022" xr:uid="{00000000-0005-0000-0000-00006E1B0000}"/>
    <cellStyle name="Normal 91 4 3 2" xfId="7023" xr:uid="{00000000-0005-0000-0000-00006F1B0000}"/>
    <cellStyle name="Normal 91 4 4" xfId="7024" xr:uid="{00000000-0005-0000-0000-0000701B0000}"/>
    <cellStyle name="Normal 91 5" xfId="7025" xr:uid="{00000000-0005-0000-0000-0000711B0000}"/>
    <cellStyle name="Normal 91 5 2" xfId="7026" xr:uid="{00000000-0005-0000-0000-0000721B0000}"/>
    <cellStyle name="Normal 91 5 2 2" xfId="7027" xr:uid="{00000000-0005-0000-0000-0000731B0000}"/>
    <cellStyle name="Normal 91 5 2 2 2" xfId="7028" xr:uid="{00000000-0005-0000-0000-0000741B0000}"/>
    <cellStyle name="Normal 91 5 2 3" xfId="7029" xr:uid="{00000000-0005-0000-0000-0000751B0000}"/>
    <cellStyle name="Normal 91 5 3" xfId="7030" xr:uid="{00000000-0005-0000-0000-0000761B0000}"/>
    <cellStyle name="Normal 91 5 3 2" xfId="7031" xr:uid="{00000000-0005-0000-0000-0000771B0000}"/>
    <cellStyle name="Normal 91 5 4" xfId="7032" xr:uid="{00000000-0005-0000-0000-0000781B0000}"/>
    <cellStyle name="Normal 91 6" xfId="7033" xr:uid="{00000000-0005-0000-0000-0000791B0000}"/>
    <cellStyle name="Normal 91 6 2" xfId="7034" xr:uid="{00000000-0005-0000-0000-00007A1B0000}"/>
    <cellStyle name="Normal 91 6 2 2" xfId="7035" xr:uid="{00000000-0005-0000-0000-00007B1B0000}"/>
    <cellStyle name="Normal 91 6 3" xfId="7036" xr:uid="{00000000-0005-0000-0000-00007C1B0000}"/>
    <cellStyle name="Normal 91 7" xfId="7037" xr:uid="{00000000-0005-0000-0000-00007D1B0000}"/>
    <cellStyle name="Normal 91 7 2" xfId="7038" xr:uid="{00000000-0005-0000-0000-00007E1B0000}"/>
    <cellStyle name="Normal 91 8" xfId="7039" xr:uid="{00000000-0005-0000-0000-00007F1B0000}"/>
    <cellStyle name="Normal 92" xfId="7040" xr:uid="{00000000-0005-0000-0000-0000801B0000}"/>
    <cellStyle name="Normal 92 2" xfId="7041" xr:uid="{00000000-0005-0000-0000-0000811B0000}"/>
    <cellStyle name="Normal 92 2 2" xfId="7042" xr:uid="{00000000-0005-0000-0000-0000821B0000}"/>
    <cellStyle name="Normal 92 2 2 2" xfId="7043" xr:uid="{00000000-0005-0000-0000-0000831B0000}"/>
    <cellStyle name="Normal 92 2 2 2 2" xfId="7044" xr:uid="{00000000-0005-0000-0000-0000841B0000}"/>
    <cellStyle name="Normal 92 2 2 3" xfId="7045" xr:uid="{00000000-0005-0000-0000-0000851B0000}"/>
    <cellStyle name="Normal 92 2 3" xfId="7046" xr:uid="{00000000-0005-0000-0000-0000861B0000}"/>
    <cellStyle name="Normal 92 2 3 2" xfId="7047" xr:uid="{00000000-0005-0000-0000-0000871B0000}"/>
    <cellStyle name="Normal 92 2 4" xfId="7048" xr:uid="{00000000-0005-0000-0000-0000881B0000}"/>
    <cellStyle name="Normal 92 3" xfId="7049" xr:uid="{00000000-0005-0000-0000-0000891B0000}"/>
    <cellStyle name="Normal 92 3 2" xfId="7050" xr:uid="{00000000-0005-0000-0000-00008A1B0000}"/>
    <cellStyle name="Normal 92 3 2 2" xfId="7051" xr:uid="{00000000-0005-0000-0000-00008B1B0000}"/>
    <cellStyle name="Normal 92 3 2 2 2" xfId="7052" xr:uid="{00000000-0005-0000-0000-00008C1B0000}"/>
    <cellStyle name="Normal 92 3 2 3" xfId="7053" xr:uid="{00000000-0005-0000-0000-00008D1B0000}"/>
    <cellStyle name="Normal 92 3 3" xfId="7054" xr:uid="{00000000-0005-0000-0000-00008E1B0000}"/>
    <cellStyle name="Normal 92 3 3 2" xfId="7055" xr:uid="{00000000-0005-0000-0000-00008F1B0000}"/>
    <cellStyle name="Normal 92 3 4" xfId="7056" xr:uid="{00000000-0005-0000-0000-0000901B0000}"/>
    <cellStyle name="Normal 92 4" xfId="7057" xr:uid="{00000000-0005-0000-0000-0000911B0000}"/>
    <cellStyle name="Normal 92 4 2" xfId="7058" xr:uid="{00000000-0005-0000-0000-0000921B0000}"/>
    <cellStyle name="Normal 92 4 2 2" xfId="7059" xr:uid="{00000000-0005-0000-0000-0000931B0000}"/>
    <cellStyle name="Normal 92 4 3" xfId="7060" xr:uid="{00000000-0005-0000-0000-0000941B0000}"/>
    <cellStyle name="Normal 92 5" xfId="7061" xr:uid="{00000000-0005-0000-0000-0000951B0000}"/>
    <cellStyle name="Normal 92 5 2" xfId="7062" xr:uid="{00000000-0005-0000-0000-0000961B0000}"/>
    <cellStyle name="Normal 92 6" xfId="7063" xr:uid="{00000000-0005-0000-0000-0000971B0000}"/>
    <cellStyle name="Normal 93" xfId="7064" xr:uid="{00000000-0005-0000-0000-0000981B0000}"/>
    <cellStyle name="Normal 94" xfId="7065" xr:uid="{00000000-0005-0000-0000-0000991B0000}"/>
    <cellStyle name="Normal 94 2" xfId="7066" xr:uid="{00000000-0005-0000-0000-00009A1B0000}"/>
    <cellStyle name="Normal 94 2 2" xfId="7067" xr:uid="{00000000-0005-0000-0000-00009B1B0000}"/>
    <cellStyle name="Normal 94 2 2 2" xfId="7068" xr:uid="{00000000-0005-0000-0000-00009C1B0000}"/>
    <cellStyle name="Normal 94 2 3" xfId="7069" xr:uid="{00000000-0005-0000-0000-00009D1B0000}"/>
    <cellStyle name="Normal 94 3" xfId="7070" xr:uid="{00000000-0005-0000-0000-00009E1B0000}"/>
    <cellStyle name="Normal 94 3 2" xfId="7071" xr:uid="{00000000-0005-0000-0000-00009F1B0000}"/>
    <cellStyle name="Normal 94 4" xfId="7072" xr:uid="{00000000-0005-0000-0000-0000A01B0000}"/>
    <cellStyle name="Normal 95" xfId="7073" xr:uid="{00000000-0005-0000-0000-0000A11B0000}"/>
    <cellStyle name="Normal 95 2" xfId="7074" xr:uid="{00000000-0005-0000-0000-0000A21B0000}"/>
    <cellStyle name="Normal 95 2 2" xfId="7075" xr:uid="{00000000-0005-0000-0000-0000A31B0000}"/>
    <cellStyle name="Normal 95 2 2 2" xfId="7076" xr:uid="{00000000-0005-0000-0000-0000A41B0000}"/>
    <cellStyle name="Normal 95 2 3" xfId="7077" xr:uid="{00000000-0005-0000-0000-0000A51B0000}"/>
    <cellStyle name="Normal 95 3" xfId="7078" xr:uid="{00000000-0005-0000-0000-0000A61B0000}"/>
    <cellStyle name="Normal 95 3 2" xfId="7079" xr:uid="{00000000-0005-0000-0000-0000A71B0000}"/>
    <cellStyle name="Normal 95 4" xfId="7080" xr:uid="{00000000-0005-0000-0000-0000A81B0000}"/>
    <cellStyle name="Normal 96" xfId="7081" xr:uid="{00000000-0005-0000-0000-0000A91B0000}"/>
    <cellStyle name="Normal 96 2" xfId="7082" xr:uid="{00000000-0005-0000-0000-0000AA1B0000}"/>
    <cellStyle name="Normal 96 2 2" xfId="7083" xr:uid="{00000000-0005-0000-0000-0000AB1B0000}"/>
    <cellStyle name="Normal 96 2 2 2" xfId="7084" xr:uid="{00000000-0005-0000-0000-0000AC1B0000}"/>
    <cellStyle name="Normal 96 2 3" xfId="7085" xr:uid="{00000000-0005-0000-0000-0000AD1B0000}"/>
    <cellStyle name="Normal 96 3" xfId="7086" xr:uid="{00000000-0005-0000-0000-0000AE1B0000}"/>
    <cellStyle name="Normal 96 3 2" xfId="7087" xr:uid="{00000000-0005-0000-0000-0000AF1B0000}"/>
    <cellStyle name="Normal 96 4" xfId="7088" xr:uid="{00000000-0005-0000-0000-0000B01B0000}"/>
    <cellStyle name="Normal 97" xfId="7089" xr:uid="{00000000-0005-0000-0000-0000B11B0000}"/>
    <cellStyle name="Normal 97 2" xfId="7090" xr:uid="{00000000-0005-0000-0000-0000B21B0000}"/>
    <cellStyle name="Normal 97 2 2" xfId="7091" xr:uid="{00000000-0005-0000-0000-0000B31B0000}"/>
    <cellStyle name="Normal 97 2 2 2" xfId="7092" xr:uid="{00000000-0005-0000-0000-0000B41B0000}"/>
    <cellStyle name="Normal 97 2 3" xfId="7093" xr:uid="{00000000-0005-0000-0000-0000B51B0000}"/>
    <cellStyle name="Normal 97 3" xfId="7094" xr:uid="{00000000-0005-0000-0000-0000B61B0000}"/>
    <cellStyle name="Normal 97 3 2" xfId="7095" xr:uid="{00000000-0005-0000-0000-0000B71B0000}"/>
    <cellStyle name="Normal 97 4" xfId="7096" xr:uid="{00000000-0005-0000-0000-0000B81B0000}"/>
    <cellStyle name="Normal 98" xfId="7097" xr:uid="{00000000-0005-0000-0000-0000B91B0000}"/>
    <cellStyle name="Normal 98 2" xfId="7098" xr:uid="{00000000-0005-0000-0000-0000BA1B0000}"/>
    <cellStyle name="Normal 98 2 2" xfId="7099" xr:uid="{00000000-0005-0000-0000-0000BB1B0000}"/>
    <cellStyle name="Normal 98 2 2 2" xfId="7100" xr:uid="{00000000-0005-0000-0000-0000BC1B0000}"/>
    <cellStyle name="Normal 98 2 3" xfId="7101" xr:uid="{00000000-0005-0000-0000-0000BD1B0000}"/>
    <cellStyle name="Normal 98 3" xfId="7102" xr:uid="{00000000-0005-0000-0000-0000BE1B0000}"/>
    <cellStyle name="Normal 98 3 2" xfId="7103" xr:uid="{00000000-0005-0000-0000-0000BF1B0000}"/>
    <cellStyle name="Normal 98 4" xfId="7104" xr:uid="{00000000-0005-0000-0000-0000C01B0000}"/>
    <cellStyle name="Normal 99" xfId="7105" xr:uid="{00000000-0005-0000-0000-0000C11B0000}"/>
    <cellStyle name="Normal 99 2" xfId="7106" xr:uid="{00000000-0005-0000-0000-0000C21B0000}"/>
    <cellStyle name="Normal 99 2 2" xfId="7107" xr:uid="{00000000-0005-0000-0000-0000C31B0000}"/>
    <cellStyle name="Normal 99 2 2 2" xfId="7108" xr:uid="{00000000-0005-0000-0000-0000C41B0000}"/>
    <cellStyle name="Normal 99 2 3" xfId="7109" xr:uid="{00000000-0005-0000-0000-0000C51B0000}"/>
    <cellStyle name="Normal 99 3" xfId="7110" xr:uid="{00000000-0005-0000-0000-0000C61B0000}"/>
    <cellStyle name="Normal 99 3 2" xfId="7111" xr:uid="{00000000-0005-0000-0000-0000C71B0000}"/>
    <cellStyle name="Normal 99 4" xfId="7112" xr:uid="{00000000-0005-0000-0000-0000C81B0000}"/>
    <cellStyle name="Note 2" xfId="7113" xr:uid="{00000000-0005-0000-0000-0000C91B0000}"/>
    <cellStyle name="Note 2 2" xfId="7114" xr:uid="{00000000-0005-0000-0000-0000CA1B0000}"/>
    <cellStyle name="Note 2 3" xfId="7115" xr:uid="{00000000-0005-0000-0000-0000CB1B0000}"/>
    <cellStyle name="Note 3" xfId="7116" xr:uid="{00000000-0005-0000-0000-0000CC1B0000}"/>
    <cellStyle name="Note 3 2" xfId="7117" xr:uid="{00000000-0005-0000-0000-0000CD1B0000}"/>
    <cellStyle name="Note 3 2 2" xfId="7118" xr:uid="{00000000-0005-0000-0000-0000CE1B0000}"/>
    <cellStyle name="Note 3 2 2 2" xfId="7119" xr:uid="{00000000-0005-0000-0000-0000CF1B0000}"/>
    <cellStyle name="Note 3 2 2 2 2" xfId="7120" xr:uid="{00000000-0005-0000-0000-0000D01B0000}"/>
    <cellStyle name="Note 3 2 2 2 2 2" xfId="7121" xr:uid="{00000000-0005-0000-0000-0000D11B0000}"/>
    <cellStyle name="Note 3 2 2 2 3" xfId="7122" xr:uid="{00000000-0005-0000-0000-0000D21B0000}"/>
    <cellStyle name="Note 3 2 2 3" xfId="7123" xr:uid="{00000000-0005-0000-0000-0000D31B0000}"/>
    <cellStyle name="Note 3 2 2 3 2" xfId="7124" xr:uid="{00000000-0005-0000-0000-0000D41B0000}"/>
    <cellStyle name="Note 3 2 2 4" xfId="7125" xr:uid="{00000000-0005-0000-0000-0000D51B0000}"/>
    <cellStyle name="Note 3 2 3" xfId="7126" xr:uid="{00000000-0005-0000-0000-0000D61B0000}"/>
    <cellStyle name="Note 3 2 3 2" xfId="7127" xr:uid="{00000000-0005-0000-0000-0000D71B0000}"/>
    <cellStyle name="Note 3 2 3 2 2" xfId="7128" xr:uid="{00000000-0005-0000-0000-0000D81B0000}"/>
    <cellStyle name="Note 3 2 3 2 2 2" xfId="7129" xr:uid="{00000000-0005-0000-0000-0000D91B0000}"/>
    <cellStyle name="Note 3 2 3 2 3" xfId="7130" xr:uid="{00000000-0005-0000-0000-0000DA1B0000}"/>
    <cellStyle name="Note 3 2 3 3" xfId="7131" xr:uid="{00000000-0005-0000-0000-0000DB1B0000}"/>
    <cellStyle name="Note 3 2 3 3 2" xfId="7132" xr:uid="{00000000-0005-0000-0000-0000DC1B0000}"/>
    <cellStyle name="Note 3 2 3 4" xfId="7133" xr:uid="{00000000-0005-0000-0000-0000DD1B0000}"/>
    <cellStyle name="Note 3 2 4" xfId="7134" xr:uid="{00000000-0005-0000-0000-0000DE1B0000}"/>
    <cellStyle name="Note 3 2 4 2" xfId="7135" xr:uid="{00000000-0005-0000-0000-0000DF1B0000}"/>
    <cellStyle name="Note 3 2 4 2 2" xfId="7136" xr:uid="{00000000-0005-0000-0000-0000E01B0000}"/>
    <cellStyle name="Note 3 2 4 3" xfId="7137" xr:uid="{00000000-0005-0000-0000-0000E11B0000}"/>
    <cellStyle name="Note 3 2 5" xfId="7138" xr:uid="{00000000-0005-0000-0000-0000E21B0000}"/>
    <cellStyle name="Note 3 2 5 2" xfId="7139" xr:uid="{00000000-0005-0000-0000-0000E31B0000}"/>
    <cellStyle name="Note 3 2 6" xfId="7140" xr:uid="{00000000-0005-0000-0000-0000E41B0000}"/>
    <cellStyle name="Note 3 3" xfId="7141" xr:uid="{00000000-0005-0000-0000-0000E51B0000}"/>
    <cellStyle name="Note 3 4" xfId="7142" xr:uid="{00000000-0005-0000-0000-0000E61B0000}"/>
    <cellStyle name="Note 3 4 2" xfId="7143" xr:uid="{00000000-0005-0000-0000-0000E71B0000}"/>
    <cellStyle name="Note 3 4 2 2" xfId="7144" xr:uid="{00000000-0005-0000-0000-0000E81B0000}"/>
    <cellStyle name="Note 3 4 2 2 2" xfId="7145" xr:uid="{00000000-0005-0000-0000-0000E91B0000}"/>
    <cellStyle name="Note 3 4 2 3" xfId="7146" xr:uid="{00000000-0005-0000-0000-0000EA1B0000}"/>
    <cellStyle name="Note 3 4 3" xfId="7147" xr:uid="{00000000-0005-0000-0000-0000EB1B0000}"/>
    <cellStyle name="Note 3 4 3 2" xfId="7148" xr:uid="{00000000-0005-0000-0000-0000EC1B0000}"/>
    <cellStyle name="Note 3 4 4" xfId="7149" xr:uid="{00000000-0005-0000-0000-0000ED1B0000}"/>
    <cellStyle name="Note 3 5" xfId="7150" xr:uid="{00000000-0005-0000-0000-0000EE1B0000}"/>
    <cellStyle name="Note 3 5 2" xfId="7151" xr:uid="{00000000-0005-0000-0000-0000EF1B0000}"/>
    <cellStyle name="Note 3 5 2 2" xfId="7152" xr:uid="{00000000-0005-0000-0000-0000F01B0000}"/>
    <cellStyle name="Note 3 5 2 2 2" xfId="7153" xr:uid="{00000000-0005-0000-0000-0000F11B0000}"/>
    <cellStyle name="Note 3 5 2 3" xfId="7154" xr:uid="{00000000-0005-0000-0000-0000F21B0000}"/>
    <cellStyle name="Note 3 5 3" xfId="7155" xr:uid="{00000000-0005-0000-0000-0000F31B0000}"/>
    <cellStyle name="Note 3 5 3 2" xfId="7156" xr:uid="{00000000-0005-0000-0000-0000F41B0000}"/>
    <cellStyle name="Note 3 5 4" xfId="7157" xr:uid="{00000000-0005-0000-0000-0000F51B0000}"/>
    <cellStyle name="Output 2" xfId="7158" xr:uid="{00000000-0005-0000-0000-0000F61B0000}"/>
    <cellStyle name="Percent 2" xfId="7159" xr:uid="{00000000-0005-0000-0000-0000F71B0000}"/>
    <cellStyle name="Result" xfId="7160" xr:uid="{00000000-0005-0000-0000-0000F81B0000}"/>
    <cellStyle name="Result2" xfId="7161" xr:uid="{00000000-0005-0000-0000-0000F91B0000}"/>
    <cellStyle name="terColOpt" xfId="7162" xr:uid="{00000000-0005-0000-0000-0000FA1B0000}"/>
    <cellStyle name="terColOpt 2" xfId="7163" xr:uid="{00000000-0005-0000-0000-0000FB1B0000}"/>
    <cellStyle name="terColOpt 3" xfId="7164" xr:uid="{00000000-0005-0000-0000-0000FC1B0000}"/>
    <cellStyle name="terColReqd" xfId="7165" xr:uid="{00000000-0005-0000-0000-0000FD1B0000}"/>
    <cellStyle name="terEngrBack" xfId="7166" xr:uid="{00000000-0005-0000-0000-0000FE1B0000}"/>
    <cellStyle name="terEngrFore" xfId="7167" xr:uid="{00000000-0005-0000-0000-0000FF1B0000}"/>
    <cellStyle name="terError" xfId="7168" xr:uid="{00000000-0005-0000-0000-0000001C0000}"/>
    <cellStyle name="terGroupBack" xfId="7169" xr:uid="{00000000-0005-0000-0000-0000011C0000}"/>
    <cellStyle name="terGroupFore" xfId="7170" xr:uid="{00000000-0005-0000-0000-0000021C0000}"/>
    <cellStyle name="terNormal" xfId="7171" xr:uid="{00000000-0005-0000-0000-0000031C0000}"/>
    <cellStyle name="terNormalReadOnly" xfId="7172" xr:uid="{00000000-0005-0000-0000-0000041C0000}"/>
    <cellStyle name="terReadOnly" xfId="7173" xr:uid="{00000000-0005-0000-0000-0000051C0000}"/>
    <cellStyle name="terText" xfId="7174" xr:uid="{00000000-0005-0000-0000-0000061C0000}"/>
    <cellStyle name="terTextBack" xfId="7175" xr:uid="{00000000-0005-0000-0000-0000071C0000}"/>
    <cellStyle name="terTitle" xfId="7176" xr:uid="{00000000-0005-0000-0000-0000081C0000}"/>
    <cellStyle name="terTitleBar" xfId="7177" xr:uid="{00000000-0005-0000-0000-0000091C0000}"/>
    <cellStyle name="Title 2" xfId="7178" xr:uid="{00000000-0005-0000-0000-00000A1C0000}"/>
    <cellStyle name="Total 2" xfId="7179" xr:uid="{00000000-0005-0000-0000-00000B1C0000}"/>
    <cellStyle name="Warning Text 2" xfId="7180" xr:uid="{00000000-0005-0000-0000-00000C1C0000}"/>
  </cellStyles>
  <dxfs count="1074">
    <dxf>
      <numFmt numFmtId="166" formatCode="0.000"/>
      <alignment horizontal="center" vertical="center" textRotation="0" wrapText="1" indent="0" justifyLastLine="0" shrinkToFit="0" readingOrder="0"/>
      <protection locked="1" hidden="0"/>
    </dxf>
    <dxf>
      <numFmt numFmtId="0" formatCode="General"/>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numFmt numFmtId="0" formatCode="General"/>
      <alignment horizontal="center" vertical="center" textRotation="0" wrapText="1" indent="0" justifyLastLine="0" shrinkToFit="0" readingOrder="0"/>
      <protection locked="0" hidden="0"/>
    </dxf>
    <dxf>
      <alignment horizontal="general" vertical="center" textRotation="0" wrapText="1" indent="0" justifyLastLine="0" shrinkToFit="0" readingOrder="0"/>
      <protection locked="1" hidden="0"/>
    </dxf>
    <dxf>
      <alignment horizontal="general" vertical="center" textRotation="0" wrapText="1" relativeIndent="0" justifyLastLine="0" shrinkToFit="0" readingOrder="0"/>
      <protection locked="1" hidden="0"/>
    </dxf>
    <dxf>
      <numFmt numFmtId="166" formatCode="0.000"/>
      <fill>
        <patternFill patternType="solid">
          <fgColor indexed="64"/>
          <bgColor rgb="FF00B050"/>
        </patternFill>
      </fill>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1" hidden="0"/>
    </dxf>
    <dxf>
      <numFmt numFmtId="13" formatCode="0%"/>
      <alignment horizontal="center" vertical="center" textRotation="0" wrapText="1" indent="0" justifyLastLine="0" shrinkToFit="0" readingOrder="0"/>
      <protection locked="1" hidden="0"/>
    </dxf>
    <dxf>
      <alignment horizontal="left" vertical="center" textRotation="0" wrapText="1" indent="0" justifyLastLine="0" shrinkToFit="0" readingOrder="0"/>
      <protection locked="1" hidden="0"/>
    </dxf>
    <dxf>
      <numFmt numFmtId="0" formatCode="General"/>
      <alignment horizontal="left"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alignment horizontal="center" vertical="center" textRotation="0" wrapText="1" indent="0" justifyLastLine="0" shrinkToFit="0" readingOrder="0"/>
      <protection locked="0" hidden="0"/>
    </dxf>
    <dxf>
      <alignment horizontal="center" vertical="center" textRotation="0" wrapText="1" indent="0" justifyLastLine="0" shrinkToFit="0" readingOrder="0"/>
      <protection locked="1" hidden="0"/>
    </dxf>
    <dxf>
      <alignment horizontal="center" vertical="center" textRotation="0" wrapText="1" relativeIndent="0" justifyLastLine="0" shrinkToFit="0" readingOrder="0"/>
      <protection locked="1" hidden="0"/>
    </dxf>
    <dxf>
      <alignment horizontal="center" vertical="center" textRotation="0" wrapText="1" indent="0" justifyLastLine="0" shrinkToFit="0" readingOrder="0"/>
      <protection locked="0" hidden="0"/>
    </dxf>
    <dxf>
      <alignment horizontal="center" vertical="center" textRotation="0" wrapText="1" relativeIndent="0" justifyLastLine="0" shrinkToFit="0" readingOrder="0"/>
      <protection locked="0" hidden="0"/>
    </dxf>
    <dxf>
      <numFmt numFmtId="166" formatCode="0.000"/>
      <fill>
        <patternFill patternType="solid">
          <fgColor indexed="64"/>
          <bgColor theme="3" tint="0.39997558519241921"/>
        </patternFill>
      </fill>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1" hidden="0"/>
    </dxf>
    <dxf>
      <numFmt numFmtId="13" formatCode="0%"/>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1" hidden="0"/>
    </dxf>
    <dxf>
      <numFmt numFmtId="0" formatCode="General"/>
      <alignment horizontal="center" vertical="center" textRotation="0" wrapText="1" indent="0" justifyLastLine="0" shrinkToFit="0" readingOrder="0"/>
      <protection locked="1" hidden="0"/>
    </dxf>
    <dxf>
      <alignment horizontal="general" vertical="center" textRotation="0" wrapText="1" indent="0" justifyLastLine="0" shrinkToFit="0" readingOrder="0"/>
      <protection locked="1" hidden="0"/>
    </dxf>
    <dxf>
      <numFmt numFmtId="0" formatCode="General"/>
      <alignment vertical="center" textRotation="0" wrapText="1" relativeIndent="0" justifyLastLine="0" shrinkToFit="0" readingOrder="0"/>
      <protection locked="1" hidden="0"/>
    </dxf>
    <dxf>
      <alignment horizontal="center" vertical="center" textRotation="0" wrapText="1" indent="0" justifyLastLine="0" shrinkToFit="0" readingOrder="0"/>
      <protection locked="0" hidden="0"/>
    </dxf>
    <dxf>
      <alignment horizontal="center" vertical="center" textRotation="0" wrapText="1" indent="0" justifyLastLine="0" shrinkToFit="0" readingOrder="0"/>
      <protection locked="0" hidden="0"/>
    </dxf>
    <dxf>
      <numFmt numFmtId="166" formatCode="0.000"/>
      <fill>
        <patternFill patternType="solid">
          <fgColor indexed="64"/>
          <bgColor rgb="FFFF0000"/>
        </patternFill>
      </fill>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1" hidden="0"/>
    </dxf>
    <dxf>
      <numFmt numFmtId="164" formatCode="0.0%"/>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protection locked="1" hidden="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protection locked="1" hidden="0"/>
    </dxf>
    <dxf>
      <numFmt numFmtId="166" formatCode="0.000"/>
      <alignment horizontal="center" vertical="center" textRotation="0" wrapText="1" indent="0" justifyLastLine="0" shrinkToFit="0" readingOrder="0"/>
      <protection locked="1" hidden="0"/>
    </dxf>
    <dxf>
      <numFmt numFmtId="166" formatCode="0.000"/>
      <alignment horizontal="center" vertical="center" textRotation="0" wrapText="1" indent="0" justifyLastLine="0" shrinkToFit="0" readingOrder="0"/>
      <protection locked="1" hidden="0"/>
    </dxf>
    <dxf>
      <alignment horizontal="general" vertical="center" textRotation="0" wrapText="1" indent="0" justifyLastLine="0" shrinkToFit="0" readingOrder="0"/>
      <protection locked="1" hidden="0"/>
    </dxf>
    <dxf>
      <alignment horizontal="general" vertical="center" textRotation="0" wrapText="1" relativeIndent="0" justifyLastLine="0" shrinkToFit="0" readingOrder="0"/>
      <protection locked="1" hidden="0"/>
    </dxf>
    <dxf>
      <alignment horizontal="general" vertical="center" textRotation="0" wrapText="1" indent="0" justifyLastLine="0" shrinkToFit="0" readingOrder="0"/>
      <protection locked="1" hidden="0"/>
    </dxf>
    <dxf>
      <alignment horizontal="general" vertical="center" textRotation="0" wrapText="1" relativeIndent="0" justifyLastLine="0" shrinkToFit="0" readingOrder="0"/>
      <protection locked="1" hidden="0"/>
    </dxf>
    <dxf>
      <alignment horizontal="general" vertical="center" textRotation="0" wrapText="1" indent="0" justifyLastLine="0" shrinkToFit="0" readingOrder="0"/>
      <protection locked="1" hidden="0"/>
    </dxf>
    <dxf>
      <alignment horizontal="general" vertical="center" textRotation="0" wrapText="1" relativeIndent="0" justifyLastLine="0" shrinkToFit="0" readingOrder="0"/>
      <protection locked="1" hidden="0"/>
    </dxf>
    <dxf>
      <alignment horizontal="general" vertical="center" textRotation="0" wrapText="1" indent="0" justifyLastLine="0" shrinkToFit="0" readingOrder="0"/>
      <protection locked="1" hidden="0"/>
    </dxf>
    <dxf>
      <alignment horizontal="general" vertical="center" textRotation="0" wrapText="1" relativeIndent="0" justifyLastLine="0" shrinkToFit="0" readingOrder="0"/>
      <protection locked="1" hidden="0"/>
    </dxf>
    <dxf>
      <alignment vertical="top" textRotation="0" wrapText="0" indent="0" justifyLastLine="0" shrinkToFit="0" readingOrder="0"/>
      <protection locked="1" hidden="0"/>
    </dxf>
    <dxf>
      <alignment vertical="center" textRotation="0" wrapText="1" relativeIndent="0" justifyLastLine="0" shrinkToFit="0" readingOrder="0"/>
      <protection locked="1" hidden="0"/>
    </dxf>
    <dxf>
      <alignment horizontal="center" vertical="center" textRotation="0" wrapText="1" indent="0" justifyLastLine="0" shrinkToFit="0" readingOrder="0"/>
      <protection locked="1" hidden="0"/>
    </dxf>
    <dxf>
      <numFmt numFmtId="171" formatCode=";;;"/>
    </dxf>
    <dxf>
      <numFmt numFmtId="171" formatCode=";;;"/>
    </dxf>
    <dxf>
      <numFmt numFmtId="171" formatCode=";;;"/>
    </dxf>
    <dxf>
      <numFmt numFmtId="171" formatCode=";;;"/>
    </dxf>
    <dxf>
      <fill>
        <patternFill patternType="gray125"/>
      </fill>
    </dxf>
    <dxf>
      <numFmt numFmtId="171" formatCode=";;;"/>
    </dxf>
    <dxf>
      <numFmt numFmtId="171" formatCode=";;;"/>
    </dxf>
    <dxf>
      <numFmt numFmtId="171" formatCode=";;;"/>
    </dxf>
    <dxf>
      <numFmt numFmtId="171" formatCode=";;;"/>
    </dxf>
    <dxf>
      <numFmt numFmtId="171" formatCode=";;;"/>
    </dxf>
    <dxf>
      <numFmt numFmtId="171" formatCode=";;;"/>
    </dxf>
    <dxf>
      <numFmt numFmtId="171" formatCode=";;;"/>
    </dxf>
    <dxf>
      <fill>
        <patternFill patternType="gray125"/>
      </fill>
    </dxf>
    <dxf>
      <numFmt numFmtId="171" formatCode=";;;"/>
      <fill>
        <patternFill patternType="gray125"/>
      </fill>
    </dxf>
    <dxf>
      <fill>
        <patternFill patternType="gray125"/>
      </fill>
    </dxf>
    <dxf>
      <numFmt numFmtId="171" formatCode=";;;"/>
    </dxf>
    <dxf>
      <numFmt numFmtId="171" formatCode=";;;"/>
    </dxf>
    <dxf>
      <numFmt numFmtId="171" formatCode=";;;"/>
    </dxf>
    <dxf>
      <numFmt numFmtId="171" formatCode=";;;"/>
      <fill>
        <patternFill patternType="gray125"/>
      </fill>
    </dxf>
    <dxf>
      <numFmt numFmtId="171" formatCode=";;;"/>
      <fill>
        <patternFill patternType="gray125"/>
      </fill>
    </dxf>
    <dxf>
      <numFmt numFmtId="171" formatCode=";;;"/>
    </dxf>
    <dxf>
      <numFmt numFmtId="171" formatCode=";;;"/>
    </dxf>
    <dxf>
      <numFmt numFmtId="171" formatCode=";;;"/>
    </dxf>
    <dxf>
      <numFmt numFmtId="171" formatCode=";;;"/>
    </dxf>
    <dxf>
      <numFmt numFmtId="171" formatCode=";;;"/>
    </dxf>
    <dxf>
      <numFmt numFmtId="171" formatCode=";;;"/>
    </dxf>
    <dxf>
      <numFmt numFmtId="171" formatCode=";;;"/>
      <fill>
        <patternFill patternType="gray125"/>
      </fill>
    </dxf>
    <dxf>
      <numFmt numFmtId="171" formatCode=";;;"/>
      <fill>
        <patternFill patternType="gray125"/>
      </fill>
    </dxf>
    <dxf>
      <numFmt numFmtId="171" formatCode=";;;"/>
      <fill>
        <patternFill patternType="gray125"/>
      </fill>
    </dxf>
    <dxf>
      <fill>
        <patternFill patternType="gray125"/>
      </fill>
    </dxf>
    <dxf>
      <numFmt numFmtId="171" formatCode=";;;"/>
    </dxf>
    <dxf>
      <numFmt numFmtId="171" formatCode=";;;"/>
    </dxf>
    <dxf>
      <numFmt numFmtId="171" formatCode=";;;"/>
    </dxf>
    <dxf>
      <numFmt numFmtId="171" formatCode=";;;"/>
    </dxf>
    <dxf>
      <numFmt numFmtId="171" formatCode=";;;"/>
    </dxf>
    <dxf>
      <fill>
        <patternFill patternType="gray125"/>
      </fill>
    </dxf>
    <dxf>
      <fill>
        <patternFill patternType="gray125"/>
      </fill>
    </dxf>
    <dxf>
      <fill>
        <patternFill patternType="gray125"/>
      </fill>
    </dxf>
    <dxf>
      <fill>
        <patternFill patternType="gray125"/>
      </fill>
    </dxf>
    <dxf>
      <numFmt numFmtId="171" formatCode=";;;"/>
    </dxf>
    <dxf>
      <numFmt numFmtId="171" formatCode=";;;"/>
    </dxf>
    <dxf>
      <numFmt numFmtId="171" formatCode=";;;"/>
    </dxf>
    <dxf>
      <numFmt numFmtId="171" formatCode=";;;"/>
      <fill>
        <patternFill patternType="gray125"/>
      </fill>
    </dxf>
    <dxf>
      <fill>
        <patternFill patternType="gray125"/>
      </fill>
    </dxf>
    <dxf>
      <numFmt numFmtId="171" formatCode=";;;"/>
    </dxf>
    <dxf>
      <numFmt numFmtId="171" formatCode=";;;"/>
    </dxf>
    <dxf>
      <numFmt numFmtId="171" formatCode=";;;"/>
      <fill>
        <patternFill patternType="gray125"/>
      </fill>
    </dxf>
    <dxf>
      <fill>
        <patternFill patternType="gray125"/>
      </fill>
    </dxf>
    <dxf>
      <numFmt numFmtId="171" formatCode=";;;"/>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fill>
        <patternFill patternType="gray125"/>
      </fill>
    </dxf>
    <dxf>
      <fill>
        <patternFill patternType="gray125"/>
      </fill>
    </dxf>
    <dxf>
      <fill>
        <patternFill patternType="gray125"/>
      </fill>
    </dxf>
    <dxf>
      <numFmt numFmtId="171" formatCode=";;;"/>
      <fill>
        <patternFill patternType="gray125"/>
      </fill>
    </dxf>
    <dxf>
      <fill>
        <patternFill patternType="gray125"/>
      </fill>
    </dxf>
    <dxf>
      <fill>
        <patternFill patternType="gray125"/>
      </fill>
    </dxf>
    <dxf>
      <numFmt numFmtId="171" formatCode=";;;"/>
      <fill>
        <patternFill patternType="gray125"/>
      </fill>
    </dxf>
    <dxf>
      <fill>
        <patternFill patternType="gray125"/>
      </fill>
    </dxf>
    <dxf>
      <fill>
        <patternFill patternType="gray125"/>
      </fill>
    </dxf>
    <dxf>
      <fill>
        <patternFill patternType="gray125"/>
      </fill>
    </dxf>
    <dxf>
      <numFmt numFmtId="171" formatCode=";;;"/>
      <fill>
        <patternFill patternType="gray125"/>
      </fill>
    </dxf>
    <dxf>
      <fill>
        <patternFill patternType="gray125"/>
      </fill>
    </dxf>
    <dxf>
      <fill>
        <patternFill patternType="gray125"/>
      </fill>
    </dxf>
    <dxf>
      <numFmt numFmtId="171" formatCode=";;;"/>
      <fill>
        <patternFill patternType="gray125"/>
      </fill>
    </dxf>
    <dxf>
      <fill>
        <patternFill patternType="gray125"/>
      </fill>
    </dxf>
    <dxf>
      <numFmt numFmtId="171" formatCode=";;;"/>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fill>
        <patternFill patternType="gray125"/>
      </fill>
    </dxf>
    <dxf>
      <numFmt numFmtId="171" formatCode=";;;"/>
    </dxf>
    <dxf>
      <numFmt numFmtId="171" formatCode=";;;"/>
    </dxf>
    <dxf>
      <fill>
        <patternFill patternType="gray125"/>
      </fill>
    </dxf>
    <dxf>
      <fill>
        <patternFill patternType="gray125"/>
      </fill>
    </dxf>
    <dxf>
      <fill>
        <patternFill patternType="gray125"/>
      </fill>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fill>
        <patternFill patternType="gray125"/>
      </fill>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fill>
        <patternFill patternType="gray125"/>
      </fill>
    </dxf>
    <dxf>
      <fill>
        <patternFill patternType="gray125"/>
      </fill>
    </dxf>
    <dxf>
      <fill>
        <patternFill patternType="gray125"/>
      </fill>
    </dxf>
    <dxf>
      <numFmt numFmtId="171" formatCode=";;;"/>
      <fill>
        <patternFill patternType="gray125"/>
      </fill>
    </dxf>
    <dxf>
      <fill>
        <patternFill patternType="gray125"/>
      </fill>
    </dxf>
    <dxf>
      <numFmt numFmtId="171" formatCode=";;;"/>
      <fill>
        <patternFill patternType="gray125"/>
      </fill>
    </dxf>
    <dxf>
      <fill>
        <patternFill patternType="gray125"/>
      </fill>
    </dxf>
    <dxf>
      <numFmt numFmtId="171" formatCode=";;;"/>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numFmt numFmtId="171" formatCode=";;;"/>
      <fill>
        <patternFill patternType="gray125"/>
      </fill>
    </dxf>
    <dxf>
      <fill>
        <patternFill patternType="gray125"/>
      </fill>
    </dxf>
    <dxf>
      <numFmt numFmtId="171" formatCode=";;;"/>
    </dxf>
    <dxf>
      <numFmt numFmtId="171" formatCode=";;;"/>
    </dxf>
    <dxf>
      <numFmt numFmtId="171" formatCode=";;;"/>
      <fill>
        <patternFill patternType="gray125"/>
      </fill>
    </dxf>
    <dxf>
      <fill>
        <patternFill patternType="gray125"/>
      </fill>
    </dxf>
    <dxf>
      <numFmt numFmtId="171" formatCode=";;;"/>
    </dxf>
    <dxf>
      <numFmt numFmtId="171" formatCode=";;;"/>
    </dxf>
    <dxf>
      <numFmt numFmtId="171" formatCode=";;;"/>
    </dxf>
    <dxf>
      <numFmt numFmtId="171" formatCode=";;;"/>
    </dxf>
    <dxf>
      <fill>
        <patternFill patternType="gray125"/>
      </fill>
    </dxf>
    <dxf>
      <numFmt numFmtId="171" formatCode=";;;"/>
    </dxf>
    <dxf>
      <numFmt numFmtId="171" formatCode=";;;"/>
    </dxf>
    <dxf>
      <fill>
        <patternFill patternType="gray125"/>
      </fill>
    </dxf>
    <dxf>
      <numFmt numFmtId="171" formatCode=";;;"/>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fill>
        <patternFill patternType="gray125"/>
      </fill>
    </dxf>
    <dxf>
      <fill>
        <patternFill patternType="gray125"/>
      </fill>
    </dxf>
    <dxf>
      <fill>
        <patternFill patternType="gray125"/>
      </fill>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fill>
        <patternFill patternType="gray125"/>
      </fill>
    </dxf>
    <dxf>
      <numFmt numFmtId="171" formatCode=";;;"/>
    </dxf>
    <dxf>
      <fill>
        <patternFill patternType="gray125"/>
      </fill>
    </dxf>
    <dxf>
      <numFmt numFmtId="171" formatCode=";;;"/>
    </dxf>
    <dxf>
      <numFmt numFmtId="171" formatCode=";;;"/>
    </dxf>
    <dxf>
      <numFmt numFmtId="166" formatCode="0.000"/>
      <alignment horizontal="center" vertical="center" textRotation="0" wrapText="1" indent="0" justifyLastLine="0" shrinkToFit="0" readingOrder="0"/>
      <protection locked="1" hidden="0"/>
    </dxf>
    <dxf>
      <numFmt numFmtId="0" formatCode="General"/>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numFmt numFmtId="0" formatCode="General"/>
      <alignment horizontal="center" vertical="center" textRotation="0" wrapText="1" indent="0" justifyLastLine="0" shrinkToFit="0" readingOrder="0"/>
      <protection locked="0" hidden="0"/>
    </dxf>
    <dxf>
      <alignment horizontal="general" vertical="center" textRotation="0" wrapText="1" indent="0" justifyLastLine="0" shrinkToFit="0" readingOrder="0"/>
      <protection locked="1" hidden="0"/>
    </dxf>
    <dxf>
      <alignment horizontal="general" vertical="center" textRotation="0" wrapText="1" relativeIndent="0" justifyLastLine="0" shrinkToFit="0" readingOrder="0"/>
      <protection locked="1" hidden="0"/>
    </dxf>
    <dxf>
      <numFmt numFmtId="166" formatCode="0.000"/>
      <fill>
        <patternFill patternType="solid">
          <fgColor indexed="64"/>
          <bgColor rgb="FF00B050"/>
        </patternFill>
      </fill>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1" hidden="0"/>
    </dxf>
    <dxf>
      <numFmt numFmtId="13" formatCode="0%"/>
      <alignment horizontal="center" vertical="center" textRotation="0" wrapText="1" indent="0" justifyLastLine="0" shrinkToFit="0" readingOrder="0"/>
      <protection locked="1" hidden="0"/>
    </dxf>
    <dxf>
      <alignment horizontal="left" vertical="center" textRotation="0" wrapText="1" indent="0" justifyLastLine="0" shrinkToFit="0" readingOrder="0"/>
      <protection locked="1" hidden="0"/>
    </dxf>
    <dxf>
      <numFmt numFmtId="0" formatCode="General"/>
      <alignment horizontal="left"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alignment horizontal="center" vertical="center" textRotation="0" wrapText="1" indent="0" justifyLastLine="0" shrinkToFit="0" readingOrder="0"/>
      <protection locked="0" hidden="0"/>
    </dxf>
    <dxf>
      <alignment horizontal="center" vertical="center" textRotation="0" wrapText="1" indent="0" justifyLastLine="0" shrinkToFit="0" readingOrder="0"/>
      <protection locked="1" hidden="0"/>
    </dxf>
    <dxf>
      <alignment horizontal="center" vertical="center" textRotation="0" wrapText="1" relativeIndent="0" justifyLastLine="0" shrinkToFit="0" readingOrder="0"/>
      <protection locked="1" hidden="0"/>
    </dxf>
    <dxf>
      <alignment horizontal="center" vertical="center" textRotation="0" wrapText="1" indent="0" justifyLastLine="0" shrinkToFit="0" readingOrder="0"/>
      <protection locked="0" hidden="0"/>
    </dxf>
    <dxf>
      <alignment horizontal="center" vertical="center" textRotation="0" wrapText="1" relativeIndent="0" justifyLastLine="0" shrinkToFit="0" readingOrder="0"/>
      <protection locked="0" hidden="0"/>
    </dxf>
    <dxf>
      <numFmt numFmtId="166" formatCode="0.000"/>
      <fill>
        <patternFill patternType="solid">
          <fgColor indexed="64"/>
          <bgColor theme="3" tint="0.39997558519241921"/>
        </patternFill>
      </fill>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1" hidden="0"/>
    </dxf>
    <dxf>
      <numFmt numFmtId="13" formatCode="0%"/>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1" hidden="0"/>
    </dxf>
    <dxf>
      <numFmt numFmtId="0" formatCode="General"/>
      <alignment horizontal="center" vertical="center" textRotation="0" wrapText="1" indent="0" justifyLastLine="0" shrinkToFit="0" readingOrder="0"/>
      <protection locked="1" hidden="0"/>
    </dxf>
    <dxf>
      <alignment horizontal="general" vertical="center" textRotation="0" wrapText="1" indent="0" justifyLastLine="0" shrinkToFit="0" readingOrder="0"/>
      <protection locked="1" hidden="0"/>
    </dxf>
    <dxf>
      <numFmt numFmtId="0" formatCode="General"/>
      <alignment vertical="center" textRotation="0" wrapText="1" relativeIndent="0" justifyLastLine="0" shrinkToFit="0" readingOrder="0"/>
      <protection locked="1" hidden="0"/>
    </dxf>
    <dxf>
      <alignment horizontal="center" vertical="center" textRotation="0" wrapText="1" indent="0" justifyLastLine="0" shrinkToFit="0" readingOrder="0"/>
      <protection locked="0" hidden="0"/>
    </dxf>
    <dxf>
      <alignment horizontal="center" vertical="center" textRotation="0" wrapText="1" indent="0" justifyLastLine="0" shrinkToFit="0" readingOrder="0"/>
      <protection locked="0" hidden="0"/>
    </dxf>
    <dxf>
      <numFmt numFmtId="166" formatCode="0.000"/>
      <fill>
        <patternFill patternType="solid">
          <fgColor indexed="64"/>
          <bgColor rgb="FFFF0000"/>
        </patternFill>
      </fill>
      <alignment horizontal="center" vertical="center" textRotation="0" wrapText="1" indent="0" justifyLastLine="0" shrinkToFit="0" readingOrder="0"/>
      <protection locked="1" hidden="0"/>
    </dxf>
    <dxf>
      <numFmt numFmtId="166" formatCode="0.000"/>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1" hidden="0"/>
    </dxf>
    <dxf>
      <numFmt numFmtId="164" formatCode="0.0%"/>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protection locked="1" hidden="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protection locked="1" hidden="0"/>
    </dxf>
    <dxf>
      <numFmt numFmtId="166" formatCode="0.000"/>
      <alignment horizontal="center" vertical="center" textRotation="0" wrapText="1" indent="0" justifyLastLine="0" shrinkToFit="0" readingOrder="0"/>
      <protection locked="1" hidden="0"/>
    </dxf>
    <dxf>
      <numFmt numFmtId="166" formatCode="0.000"/>
      <alignment horizontal="center" vertical="center" textRotation="0" wrapText="1" indent="0" justifyLastLine="0" shrinkToFit="0" readingOrder="0"/>
      <protection locked="1" hidden="0"/>
    </dxf>
    <dxf>
      <alignment horizontal="general" vertical="center" textRotation="0" wrapText="1" indent="0" justifyLastLine="0" shrinkToFit="0" readingOrder="0"/>
      <protection locked="1" hidden="0"/>
    </dxf>
    <dxf>
      <alignment horizontal="general" vertical="center" textRotation="0" wrapText="1" relativeIndent="0" justifyLastLine="0" shrinkToFit="0" readingOrder="0"/>
      <protection locked="1" hidden="0"/>
    </dxf>
    <dxf>
      <alignment horizontal="general" vertical="center" textRotation="0" wrapText="1" indent="0" justifyLastLine="0" shrinkToFit="0" readingOrder="0"/>
      <protection locked="1" hidden="0"/>
    </dxf>
    <dxf>
      <alignment horizontal="general" vertical="center" textRotation="0" wrapText="1" relativeIndent="0" justifyLastLine="0" shrinkToFit="0" readingOrder="0"/>
      <protection locked="1" hidden="0"/>
    </dxf>
    <dxf>
      <alignment horizontal="general" vertical="center" textRotation="0" wrapText="1" indent="0" justifyLastLine="0" shrinkToFit="0" readingOrder="0"/>
      <protection locked="1" hidden="0"/>
    </dxf>
    <dxf>
      <alignment horizontal="general" vertical="center" textRotation="0" wrapText="1" relativeIndent="0" justifyLastLine="0" shrinkToFit="0" readingOrder="0"/>
      <protection locked="1" hidden="0"/>
    </dxf>
    <dxf>
      <alignment horizontal="general" vertical="center" textRotation="0" wrapText="1" indent="0" justifyLastLine="0" shrinkToFit="0" readingOrder="0"/>
      <protection locked="1" hidden="0"/>
    </dxf>
    <dxf>
      <alignment horizontal="general" vertical="center" textRotation="0" wrapText="1" relativeIndent="0" justifyLastLine="0" shrinkToFit="0" readingOrder="0"/>
      <protection locked="1" hidden="0"/>
    </dxf>
    <dxf>
      <alignment vertical="top" textRotation="0" wrapText="0" indent="0" justifyLastLine="0" shrinkToFit="0" readingOrder="0"/>
      <protection locked="1" hidden="0"/>
    </dxf>
    <dxf>
      <alignment vertical="center" textRotation="0" wrapText="1" relativeIndent="0" justifyLastLine="0" shrinkToFit="0" readingOrder="0"/>
      <protection locked="1" hidden="0"/>
    </dxf>
    <dxf>
      <alignment horizontal="center" vertical="center" textRotation="0" wrapText="1" indent="0" justifyLastLine="0" shrinkToFit="0" readingOrder="0"/>
      <protection locked="1" hidden="0"/>
    </dxf>
    <dxf>
      <numFmt numFmtId="171" formatCode=";;;"/>
    </dxf>
    <dxf>
      <numFmt numFmtId="171" formatCode=";;;"/>
      <fill>
        <patternFill patternType="gray125"/>
      </fill>
    </dxf>
    <dxf>
      <fill>
        <patternFill patternType="gray125"/>
      </fill>
    </dxf>
    <dxf>
      <numFmt numFmtId="171" formatCode=";;;"/>
    </dxf>
    <dxf>
      <numFmt numFmtId="171" formatCode=";;;"/>
    </dxf>
    <dxf>
      <fill>
        <patternFill patternType="gray125"/>
      </fill>
    </dxf>
    <dxf>
      <numFmt numFmtId="171" formatCode=";;;"/>
      <fill>
        <patternFill patternType="gray125"/>
      </fill>
    </dxf>
    <dxf>
      <fill>
        <patternFill patternType="gray125"/>
      </fill>
    </dxf>
    <dxf>
      <fill>
        <patternFill patternType="gray125"/>
      </fill>
    </dxf>
    <dxf>
      <fill>
        <patternFill patternType="gray125"/>
      </fill>
    </dxf>
    <dxf>
      <fill>
        <patternFill patternType="gray125"/>
      </fill>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fill>
        <patternFill patternType="gray125"/>
      </fill>
    </dxf>
    <dxf>
      <numFmt numFmtId="171" formatCode=";;;"/>
      <fill>
        <patternFill patternType="gray125"/>
      </fill>
    </dxf>
    <dxf>
      <fill>
        <patternFill patternType="gray125"/>
      </fill>
    </dxf>
    <dxf>
      <fill>
        <patternFill patternType="gray125"/>
      </fill>
    </dxf>
    <dxf>
      <numFmt numFmtId="171" formatCode=";;;"/>
      <fill>
        <patternFill patternType="gray125"/>
      </fill>
    </dxf>
    <dxf>
      <fill>
        <patternFill patternType="gray125"/>
      </fill>
    </dxf>
    <dxf>
      <fill>
        <patternFill patternType="gray125"/>
      </fill>
    </dxf>
    <dxf>
      <fill>
        <patternFill patternType="gray125"/>
      </fill>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fill>
        <patternFill patternType="gray125"/>
      </fill>
    </dxf>
    <dxf>
      <numFmt numFmtId="171" formatCode=";;;"/>
    </dxf>
    <dxf>
      <numFmt numFmtId="171" formatCode=";;;"/>
      <fill>
        <patternFill patternType="gray125"/>
      </fill>
    </dxf>
    <dxf>
      <fill>
        <patternFill patternType="gray125"/>
      </fill>
    </dxf>
    <dxf>
      <numFmt numFmtId="171" formatCode=";;;"/>
    </dxf>
    <dxf>
      <numFmt numFmtId="171" formatCode=";;;"/>
    </dxf>
    <dxf>
      <numFmt numFmtId="171" formatCode=";;;"/>
      <fill>
        <patternFill patternType="gray125"/>
      </fill>
    </dxf>
    <dxf>
      <fill>
        <patternFill patternType="gray125"/>
      </fill>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fill>
        <patternFill patternType="gray125"/>
      </fill>
    </dxf>
    <dxf>
      <fill>
        <patternFill patternType="gray125"/>
      </fill>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fill>
        <patternFill patternType="gray125"/>
      </fill>
    </dxf>
    <dxf>
      <fill>
        <patternFill patternType="gray125"/>
      </fill>
    </dxf>
    <dxf>
      <fill>
        <patternFill patternType="gray125"/>
      </fill>
    </dxf>
    <dxf>
      <fill>
        <patternFill patternType="gray125"/>
      </fill>
    </dxf>
    <dxf>
      <fill>
        <patternFill patternType="gray125"/>
      </fill>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fill>
        <patternFill patternType="gray125"/>
      </fill>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numFmt numFmtId="171" formatCode=";;;"/>
      <fill>
        <patternFill patternType="gray125"/>
      </fill>
    </dxf>
    <dxf>
      <fill>
        <patternFill patternType="gray125"/>
      </fill>
    </dxf>
    <dxf>
      <numFmt numFmtId="171" formatCode=";;;"/>
      <fill>
        <patternFill patternType="gray125"/>
      </fill>
    </dxf>
    <dxf>
      <fill>
        <patternFill patternType="gray125"/>
      </fill>
    </dxf>
    <dxf>
      <numFmt numFmtId="171" formatCode=";;;"/>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numFmt numFmtId="171" formatCode=";;;"/>
      <fill>
        <patternFill patternType="gray125"/>
      </fill>
    </dxf>
    <dxf>
      <fill>
        <patternFill patternType="gray125"/>
      </fill>
    </dxf>
    <dxf>
      <numFmt numFmtId="171" formatCode=";;;"/>
    </dxf>
    <dxf>
      <numFmt numFmtId="171" formatCode=";;;"/>
    </dxf>
    <dxf>
      <numFmt numFmtId="171" formatCode=";;;"/>
      <fill>
        <patternFill patternType="gray125"/>
      </fill>
    </dxf>
    <dxf>
      <fill>
        <patternFill patternType="gray125"/>
      </fill>
    </dxf>
    <dxf>
      <numFmt numFmtId="171" formatCode=";;;"/>
    </dxf>
    <dxf>
      <numFmt numFmtId="171" formatCode=";;;"/>
    </dxf>
    <dxf>
      <numFmt numFmtId="171" formatCode=";;;"/>
    </dxf>
    <dxf>
      <numFmt numFmtId="171" formatCode=";;;"/>
      <fill>
        <patternFill patternType="gray125"/>
      </fill>
    </dxf>
    <dxf>
      <numFmt numFmtId="171" formatCode=";;;"/>
    </dxf>
    <dxf>
      <fill>
        <patternFill patternType="gray125"/>
      </fill>
    </dxf>
    <dxf>
      <numFmt numFmtId="171" formatCode=";;;"/>
    </dxf>
    <dxf>
      <numFmt numFmtId="171" formatCode=";;;"/>
    </dxf>
    <dxf>
      <fill>
        <patternFill patternType="gray125"/>
      </fill>
    </dxf>
    <dxf>
      <fill>
        <patternFill patternType="gray125"/>
      </fill>
    </dxf>
    <dxf>
      <fill>
        <patternFill patternType="gray125"/>
      </fill>
    </dxf>
    <dxf>
      <numFmt numFmtId="171" formatCode=";;;"/>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numFmt numFmtId="171" formatCode=";;;"/>
      <fill>
        <patternFill patternType="gray125"/>
      </fill>
    </dxf>
    <dxf>
      <fill>
        <patternFill patternType="gray125"/>
      </fill>
    </dxf>
    <dxf>
      <fill>
        <patternFill patternType="gray125"/>
      </fill>
    </dxf>
    <dxf>
      <fill>
        <patternFill patternType="gray125"/>
      </fill>
    </dxf>
    <dxf>
      <fill>
        <patternFill patternType="gray125"/>
      </fill>
    </dxf>
    <dxf>
      <fill>
        <patternFill patternType="gray125"/>
      </fill>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fill>
        <patternFill patternType="gray125"/>
      </fill>
    </dxf>
    <dxf>
      <numFmt numFmtId="171" formatCode=";;;"/>
    </dxf>
    <dxf>
      <numFmt numFmtId="171" formatCode=";;;"/>
    </dxf>
    <dxf>
      <numFmt numFmtId="171" formatCode=";;;"/>
    </dxf>
    <dxf>
      <numFmt numFmtId="171" formatCode=";;;"/>
    </dxf>
    <dxf>
      <numFmt numFmtId="171" formatCode=";;;"/>
    </dxf>
    <dxf>
      <numFmt numFmtId="171" formatCode=";;;"/>
    </dxf>
    <dxf>
      <numFmt numFmtId="171" formatCode=";;;"/>
    </dxf>
    <dxf>
      <fill>
        <patternFill patternType="gray125"/>
      </fill>
    </dxf>
    <dxf>
      <fill>
        <patternFill patternType="gray125"/>
      </fill>
    </dxf>
    <dxf>
      <fill>
        <patternFill patternType="gray125"/>
      </fill>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fill>
        <patternFill patternType="gray125"/>
      </fill>
    </dxf>
    <dxf>
      <numFmt numFmtId="171" formatCode=";;;"/>
    </dxf>
    <dxf>
      <fill>
        <patternFill patternType="gray125"/>
      </fill>
    </dxf>
    <dxf>
      <numFmt numFmtId="171" formatCode=";;;"/>
    </dxf>
    <dxf>
      <numFmt numFmtId="171" formatCode=";;;"/>
    </dxf>
    <dxf>
      <alignment horizontal="center" vertical="center" textRotation="0" wrapText="1" indent="0" justifyLastLine="0" shrinkToFit="0" readingOrder="0"/>
      <protection locked="1" hidden="1"/>
    </dxf>
    <dxf>
      <alignment horizontal="center" vertical="center" textRotation="0" wrapText="1" indent="0" justifyLastLine="0" shrinkToFit="0" readingOrder="0"/>
      <protection locked="1" hidden="1"/>
    </dxf>
    <dxf>
      <numFmt numFmtId="13" formatCode="0%"/>
      <alignment horizontal="center" vertical="center" textRotation="0" wrapText="1" indent="0" justifyLastLine="0" shrinkToFit="0" readingOrder="0"/>
      <protection locked="1" hidden="1"/>
    </dxf>
    <dxf>
      <font>
        <b/>
        <strike val="0"/>
        <outline val="0"/>
        <shadow val="0"/>
        <u val="none"/>
        <vertAlign val="baseline"/>
        <sz val="11"/>
        <color auto="1"/>
        <name val="Calibri"/>
        <scheme val="minor"/>
      </font>
      <alignment horizontal="center" vertical="center" textRotation="0" wrapText="1" indent="0" justifyLastLine="0" shrinkToFit="0" readingOrder="0"/>
      <protection locked="1" hidden="1"/>
    </dxf>
    <dxf>
      <alignment horizontal="center" vertical="center" textRotation="0" wrapText="1" indent="0" justifyLastLine="0" shrinkToFit="0" readingOrder="0"/>
      <protection locked="1" hidden="1"/>
    </dxf>
    <dxf>
      <alignment horizontal="center" vertical="center" textRotation="0" wrapText="1" indent="0" justifyLastLine="0" shrinkToFit="0" readingOrder="0"/>
      <protection locked="1" hidden="1"/>
    </dxf>
    <dxf>
      <alignment horizontal="left" vertical="center" textRotation="0" wrapText="1" indent="0" justifyLastLine="0" shrinkToFit="0" readingOrder="0"/>
      <protection locked="1" hidden="1"/>
    </dxf>
    <dxf>
      <alignment horizontal="center" vertical="center" textRotation="0" wrapText="1" indent="0" justifyLastLine="0" shrinkToFit="0" readingOrder="0"/>
      <protection locked="1" hidden="1"/>
    </dxf>
    <dxf>
      <alignment vertical="center" textRotation="0" wrapText="1" indent="0" justifyLastLine="0" shrinkToFit="0" readingOrder="0"/>
      <border diagonalUp="0" diagonalDown="0" outline="0">
        <left style="thin">
          <color indexed="64"/>
        </left>
        <right style="thin">
          <color indexed="64"/>
        </right>
        <top/>
        <bottom/>
      </border>
      <protection locked="1" hidden="1"/>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indexed="64"/>
        </left>
        <right style="thin">
          <color indexed="64"/>
        </right>
        <top/>
        <bottom/>
      </border>
      <protection locked="1" hidden="1"/>
    </dxf>
    <dxf>
      <font>
        <b/>
        <i val="0"/>
        <strike val="0"/>
        <color rgb="FF00B050"/>
      </font>
    </dxf>
    <dxf>
      <font>
        <b/>
        <i val="0"/>
        <color rgb="FFFF0000"/>
      </font>
    </dxf>
    <dxf>
      <font>
        <b/>
        <i val="0"/>
        <strike val="0"/>
        <color rgb="FF00B050"/>
      </font>
    </dxf>
    <dxf>
      <font>
        <b/>
        <i val="0"/>
        <color rgb="FFFF0000"/>
      </font>
    </dxf>
    <dxf>
      <font>
        <b/>
        <i val="0"/>
        <strike val="0"/>
        <color rgb="FF00B050"/>
      </font>
    </dxf>
    <dxf>
      <font>
        <b/>
        <i val="0"/>
        <color rgb="FFFF0000"/>
      </font>
    </dxf>
    <dxf>
      <font>
        <b/>
        <i val="0"/>
        <strike val="0"/>
        <color rgb="FF00B050"/>
      </font>
    </dxf>
    <dxf>
      <font>
        <b/>
        <i val="0"/>
        <color rgb="FFFF0000"/>
      </font>
    </dxf>
    <dxf>
      <font>
        <b/>
        <i val="0"/>
        <strike val="0"/>
        <color rgb="FF00B050"/>
      </font>
    </dxf>
    <dxf>
      <font>
        <b/>
        <i val="0"/>
        <color rgb="FFFF0000"/>
      </font>
    </dxf>
    <dxf>
      <font>
        <b/>
        <i val="0"/>
        <strike val="0"/>
        <color rgb="FF00B050"/>
      </font>
    </dxf>
    <dxf>
      <font>
        <b/>
        <i val="0"/>
        <color rgb="FFFF0000"/>
      </font>
    </dxf>
    <dxf>
      <font>
        <b/>
        <i val="0"/>
        <strike val="0"/>
        <color rgb="FF00B050"/>
      </font>
    </dxf>
    <dxf>
      <font>
        <b/>
        <i val="0"/>
        <color rgb="FFFF0000"/>
      </font>
    </dxf>
    <dxf>
      <font>
        <b/>
        <i val="0"/>
        <strike val="0"/>
        <color rgb="FF00B050"/>
      </font>
    </dxf>
    <dxf>
      <font>
        <b/>
        <i val="0"/>
        <color rgb="FFFF0000"/>
      </font>
    </dxf>
    <dxf>
      <font>
        <b/>
        <i val="0"/>
        <strike val="0"/>
        <color rgb="FF00B050"/>
      </font>
    </dxf>
    <dxf>
      <font>
        <b/>
        <i val="0"/>
        <color rgb="FFFF0000"/>
      </font>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vertical="center" textRotation="0" wrapText="1" indent="0" justifyLastLine="0" shrinkToFit="0" readingOrder="0"/>
    </dxf>
    <dxf>
      <alignment horizontal="center"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horizontal="center" vertical="center" textRotation="0" wrapText="1" indent="0" justifyLastLine="0" shrinkToFit="0" readingOrder="0"/>
    </dxf>
    <dxf>
      <alignment vertical="center" textRotation="0" wrapText="1" indent="0" justifyLastLine="0" shrinkToFit="0" readingOrder="0"/>
    </dxf>
    <dxf>
      <alignment horizontal="center" vertical="center" textRotation="0" wrapText="1" indent="0" justifyLastLine="0" shrinkToFit="0" readingOrder="0"/>
    </dxf>
    <dxf>
      <protection locked="1" hidden="1"/>
    </dxf>
    <dxf>
      <alignment vertical="center" textRotation="0" wrapText="1" indent="0" justifyLastLine="0" shrinkToFit="0" readingOrder="0"/>
      <protection locked="1" hidden="1"/>
    </dxf>
    <dxf>
      <numFmt numFmtId="166" formatCode="0.000"/>
      <fill>
        <patternFill patternType="solid">
          <fgColor indexed="64"/>
          <bgColor rgb="FFFF0000"/>
        </patternFill>
      </fill>
      <alignment horizontal="center" vertical="center" textRotation="0" wrapText="1" indent="0" justifyLastLine="0" shrinkToFit="0" readingOrder="0"/>
      <protection locked="1" hidden="1"/>
    </dxf>
    <dxf>
      <numFmt numFmtId="164" formatCode="0.0%"/>
      <alignment horizontal="center" vertical="center" textRotation="0" wrapText="1" indent="0" justifyLastLine="0" shrinkToFit="0" readingOrder="0"/>
      <protection locked="1" hidden="1"/>
    </dxf>
    <dxf>
      <numFmt numFmtId="14" formatCode="0.00%"/>
      <alignment horizontal="center" vertical="center" textRotation="0" wrapText="1" indent="0" justifyLastLine="0" shrinkToFit="0" readingOrder="0"/>
      <protection locked="1" hidden="1"/>
    </dxf>
    <dxf>
      <numFmt numFmtId="2" formatCode="0.00"/>
      <alignment horizontal="center" vertical="center" textRotation="0" wrapText="1" indent="0" justifyLastLine="0" shrinkToFit="0" readingOrder="0"/>
      <protection locked="1" hidden="1"/>
    </dxf>
    <dxf>
      <font>
        <strike val="0"/>
        <outline val="0"/>
        <shadow val="0"/>
        <u val="none"/>
        <vertAlign val="baseline"/>
        <sz val="11"/>
        <color auto="1"/>
        <name val="Calibri"/>
        <scheme val="minor"/>
      </font>
      <numFmt numFmtId="166" formatCode="0.000"/>
      <alignment horizontal="center" vertical="center" textRotation="0" wrapText="1" indent="0" justifyLastLine="0" shrinkToFit="0" readingOrder="0"/>
      <protection locked="1" hidden="1"/>
    </dxf>
    <dxf>
      <alignment horizontal="general" vertical="center" textRotation="0" wrapText="1" indent="0" justifyLastLine="0" shrinkToFit="0" readingOrder="0"/>
      <protection locked="1" hidden="1"/>
    </dxf>
    <dxf>
      <fill>
        <patternFill patternType="solid">
          <fgColor theme="9" tint="0.59999389629810485"/>
          <bgColor theme="9" tint="0.59999389629810485"/>
        </patternFill>
      </fill>
      <alignment horizontal="general" vertical="center" textRotation="0" wrapText="1" relativeIndent="0" justifyLastLine="0" shrinkToFit="0" readingOrder="0"/>
      <border diagonalUp="0" diagonalDown="0">
        <left/>
        <right style="thin">
          <color theme="0"/>
        </right>
        <top/>
        <bottom style="thin">
          <color theme="0"/>
        </bottom>
      </border>
      <protection locked="1" hidden="1"/>
    </dxf>
    <dxf>
      <alignment horizontal="general" vertical="center" textRotation="0" wrapText="1" indent="0" justifyLastLine="0" shrinkToFit="0" readingOrder="0"/>
      <protection locked="1" hidden="1"/>
    </dxf>
    <dxf>
      <alignment horizontal="general" vertical="center" textRotation="0" wrapText="1" relativeIndent="0" justifyLastLine="0" shrinkToFit="0" readingOrder="0"/>
      <protection locked="1" hidden="1"/>
    </dxf>
    <dxf>
      <protection locked="1" hidden="1"/>
    </dxf>
    <dxf>
      <alignment vertical="center" textRotation="0" wrapText="1" indent="0" justifyLastLine="0" shrinkToFit="0" readingOrder="0"/>
      <protection locked="1" hidden="1"/>
    </dxf>
    <dxf>
      <alignment horizontal="center" vertical="center" textRotation="0" wrapText="1" indent="0" justifyLastLine="0" shrinkToFit="0" readingOrder="0"/>
      <protection locked="1" hidden="1"/>
    </dxf>
    <dxf>
      <fill>
        <patternFill patternType="gray125"/>
      </fill>
    </dxf>
    <dxf>
      <numFmt numFmtId="171" formatCode=";;;"/>
    </dxf>
    <dxf>
      <numFmt numFmtId="171" formatCode=";;;"/>
    </dxf>
    <dxf>
      <numFmt numFmtId="171" formatCode=";;;"/>
    </dxf>
    <dxf>
      <numFmt numFmtId="171" formatCode=";;;"/>
    </dxf>
    <dxf>
      <font>
        <b/>
        <i val="0"/>
        <strike val="0"/>
        <color rgb="FF00B050"/>
      </font>
    </dxf>
    <dxf>
      <font>
        <b/>
        <i val="0"/>
        <color rgb="FFFF0000"/>
      </font>
    </dxf>
  </dxfs>
  <tableStyles count="0" defaultTableStyle="TableStyleMedium9" defaultPivotStyle="PivotStyleLight16"/>
  <colors>
    <mruColors>
      <color rgb="FFFF9933"/>
      <color rgb="FFFF9900"/>
      <color rgb="FF0000FF"/>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jpeg"/><Relationship Id="rId1" Type="http://schemas.openxmlformats.org/officeDocument/2006/relationships/image" Target="../media/image2.jpe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4.xml.rels><?xml version="1.0" encoding="UTF-8" standalone="yes"?>
<Relationships xmlns="http://schemas.openxmlformats.org/package/2006/relationships"><Relationship Id="rId1" Type="http://schemas.openxmlformats.org/officeDocument/2006/relationships/image" Target="../media/image1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oneCell">
    <xdr:from>
      <xdr:col>4</xdr:col>
      <xdr:colOff>1534584</xdr:colOff>
      <xdr:row>0</xdr:row>
      <xdr:rowOff>63500</xdr:rowOff>
    </xdr:from>
    <xdr:to>
      <xdr:col>6</xdr:col>
      <xdr:colOff>0</xdr:colOff>
      <xdr:row>1</xdr:row>
      <xdr:rowOff>48902</xdr:rowOff>
    </xdr:to>
    <xdr:pic>
      <xdr:nvPicPr>
        <xdr:cNvPr id="34" name="Picture 33">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a:stretch>
          <a:fillRect/>
        </a:stretch>
      </xdr:blipFill>
      <xdr:spPr>
        <a:xfrm>
          <a:off x="4836584" y="63500"/>
          <a:ext cx="1481666" cy="55690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333374</xdr:colOff>
      <xdr:row>109</xdr:row>
      <xdr:rowOff>59532</xdr:rowOff>
    </xdr:from>
    <xdr:to>
      <xdr:col>6</xdr:col>
      <xdr:colOff>1768738</xdr:colOff>
      <xdr:row>116</xdr:row>
      <xdr:rowOff>45244</xdr:rowOff>
    </xdr:to>
    <xdr:pic>
      <xdr:nvPicPr>
        <xdr:cNvPr id="4" name="Picture 3" descr="vcca013.jp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stretch>
          <a:fillRect/>
        </a:stretch>
      </xdr:blipFill>
      <xdr:spPr>
        <a:xfrm>
          <a:off x="2345530" y="16787813"/>
          <a:ext cx="5143500" cy="1152525"/>
        </a:xfrm>
        <a:prstGeom prst="rect">
          <a:avLst/>
        </a:prstGeom>
      </xdr:spPr>
    </xdr:pic>
    <xdr:clientData/>
  </xdr:twoCellAnchor>
  <xdr:twoCellAnchor>
    <xdr:from>
      <xdr:col>3</xdr:col>
      <xdr:colOff>238125</xdr:colOff>
      <xdr:row>107</xdr:row>
      <xdr:rowOff>440531</xdr:rowOff>
    </xdr:from>
    <xdr:to>
      <xdr:col>3</xdr:col>
      <xdr:colOff>904875</xdr:colOff>
      <xdr:row>113</xdr:row>
      <xdr:rowOff>23814</xdr:rowOff>
    </xdr:to>
    <xdr:cxnSp macro="">
      <xdr:nvCxnSpPr>
        <xdr:cNvPr id="6" name="Straight Arrow Connector 5">
          <a:extLst>
            <a:ext uri="{FF2B5EF4-FFF2-40B4-BE49-F238E27FC236}">
              <a16:creationId xmlns:a16="http://schemas.microsoft.com/office/drawing/2014/main" id="{00000000-0008-0000-0200-000006000000}"/>
            </a:ext>
          </a:extLst>
        </xdr:cNvPr>
        <xdr:cNvCxnSpPr/>
      </xdr:nvCxnSpPr>
      <xdr:spPr>
        <a:xfrm flipV="1">
          <a:off x="3905250" y="16430625"/>
          <a:ext cx="666750" cy="98822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1297781</xdr:colOff>
      <xdr:row>107</xdr:row>
      <xdr:rowOff>404813</xdr:rowOff>
    </xdr:from>
    <xdr:to>
      <xdr:col>6</xdr:col>
      <xdr:colOff>797718</xdr:colOff>
      <xdr:row>114</xdr:row>
      <xdr:rowOff>71437</xdr:rowOff>
    </xdr:to>
    <xdr:cxnSp macro="">
      <xdr:nvCxnSpPr>
        <xdr:cNvPr id="5" name="Straight Arrow Connector 4">
          <a:extLst>
            <a:ext uri="{FF2B5EF4-FFF2-40B4-BE49-F238E27FC236}">
              <a16:creationId xmlns:a16="http://schemas.microsoft.com/office/drawing/2014/main" id="{00000000-0008-0000-0200-000005000000}"/>
            </a:ext>
          </a:extLst>
        </xdr:cNvPr>
        <xdr:cNvCxnSpPr/>
      </xdr:nvCxnSpPr>
      <xdr:spPr>
        <a:xfrm flipV="1">
          <a:off x="4964906" y="16394907"/>
          <a:ext cx="1333500" cy="123824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547688</xdr:colOff>
      <xdr:row>109</xdr:row>
      <xdr:rowOff>59531</xdr:rowOff>
    </xdr:from>
    <xdr:to>
      <xdr:col>12</xdr:col>
      <xdr:colOff>677333</xdr:colOff>
      <xdr:row>117</xdr:row>
      <xdr:rowOff>52287</xdr:rowOff>
    </xdr:to>
    <xdr:pic>
      <xdr:nvPicPr>
        <xdr:cNvPr id="10" name="Picture 9" descr="vcca014.jpg">
          <a:extLst>
            <a:ext uri="{FF2B5EF4-FFF2-40B4-BE49-F238E27FC236}">
              <a16:creationId xmlns:a16="http://schemas.microsoft.com/office/drawing/2014/main" id="{00000000-0008-0000-0200-00000A000000}"/>
            </a:ext>
          </a:extLst>
        </xdr:cNvPr>
        <xdr:cNvPicPr>
          <a:picLocks/>
        </xdr:cNvPicPr>
      </xdr:nvPicPr>
      <xdr:blipFill>
        <a:blip xmlns:r="http://schemas.openxmlformats.org/officeDocument/2006/relationships" r:embed="rId2" cstate="print"/>
        <a:srcRect l="9699" r="3007" b="83102"/>
        <a:stretch>
          <a:fillRect/>
        </a:stretch>
      </xdr:blipFill>
      <xdr:spPr>
        <a:xfrm>
          <a:off x="8337021" y="21099198"/>
          <a:ext cx="5961062" cy="1262756"/>
        </a:xfrm>
        <a:prstGeom prst="rect">
          <a:avLst/>
        </a:prstGeom>
      </xdr:spPr>
    </xdr:pic>
    <xdr:clientData/>
  </xdr:twoCellAnchor>
  <xdr:twoCellAnchor>
    <xdr:from>
      <xdr:col>8</xdr:col>
      <xdr:colOff>857250</xdr:colOff>
      <xdr:row>107</xdr:row>
      <xdr:rowOff>455083</xdr:rowOff>
    </xdr:from>
    <xdr:to>
      <xdr:col>11</xdr:col>
      <xdr:colOff>635001</xdr:colOff>
      <xdr:row>115</xdr:row>
      <xdr:rowOff>10583</xdr:rowOff>
    </xdr:to>
    <xdr:cxnSp macro="">
      <xdr:nvCxnSpPr>
        <xdr:cNvPr id="13" name="Straight Arrow Connector 12">
          <a:extLst>
            <a:ext uri="{FF2B5EF4-FFF2-40B4-BE49-F238E27FC236}">
              <a16:creationId xmlns:a16="http://schemas.microsoft.com/office/drawing/2014/main" id="{00000000-0008-0000-0200-00000D000000}"/>
            </a:ext>
          </a:extLst>
        </xdr:cNvPr>
        <xdr:cNvCxnSpPr/>
      </xdr:nvCxnSpPr>
      <xdr:spPr>
        <a:xfrm flipH="1" flipV="1">
          <a:off x="9842500" y="19875500"/>
          <a:ext cx="3344334" cy="12382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38100</xdr:colOff>
      <xdr:row>10</xdr:row>
      <xdr:rowOff>22873</xdr:rowOff>
    </xdr:from>
    <xdr:to>
      <xdr:col>3</xdr:col>
      <xdr:colOff>1781175</xdr:colOff>
      <xdr:row>21</xdr:row>
      <xdr:rowOff>85724</xdr:rowOff>
    </xdr:to>
    <xdr:pic>
      <xdr:nvPicPr>
        <xdr:cNvPr id="4113" name="Picture 17">
          <a:extLst>
            <a:ext uri="{FF2B5EF4-FFF2-40B4-BE49-F238E27FC236}">
              <a16:creationId xmlns:a16="http://schemas.microsoft.com/office/drawing/2014/main" id="{00000000-0008-0000-0200-0000111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647700" y="1518298"/>
          <a:ext cx="4810125" cy="1844026"/>
        </a:xfrm>
        <a:prstGeom prst="rect">
          <a:avLst/>
        </a:prstGeom>
        <a:noFill/>
        <a:ln w="1">
          <a:noFill/>
          <a:miter lim="800000"/>
          <a:headEnd/>
          <a:tailEnd type="none" w="med" len="med"/>
        </a:ln>
        <a:effectLst/>
      </xdr:spPr>
    </xdr:pic>
    <xdr:clientData/>
  </xdr:twoCellAnchor>
  <xdr:twoCellAnchor editAs="oneCell">
    <xdr:from>
      <xdr:col>7</xdr:col>
      <xdr:colOff>21167</xdr:colOff>
      <xdr:row>37</xdr:row>
      <xdr:rowOff>63500</xdr:rowOff>
    </xdr:from>
    <xdr:to>
      <xdr:col>11</xdr:col>
      <xdr:colOff>763429</xdr:colOff>
      <xdr:row>70</xdr:row>
      <xdr:rowOff>2524</xdr:rowOff>
    </xdr:to>
    <xdr:pic>
      <xdr:nvPicPr>
        <xdr:cNvPr id="26" name="Picture 25">
          <a:extLst>
            <a:ext uri="{FF2B5EF4-FFF2-40B4-BE49-F238E27FC236}">
              <a16:creationId xmlns:a16="http://schemas.microsoft.com/office/drawing/2014/main" id="{00000000-0008-0000-0200-00001A000000}"/>
            </a:ext>
          </a:extLst>
        </xdr:cNvPr>
        <xdr:cNvPicPr>
          <a:picLocks noChangeAspect="1"/>
        </xdr:cNvPicPr>
      </xdr:nvPicPr>
      <xdr:blipFill>
        <a:blip xmlns:r="http://schemas.openxmlformats.org/officeDocument/2006/relationships" r:embed="rId4"/>
        <a:stretch>
          <a:fillRect/>
        </a:stretch>
      </xdr:blipFill>
      <xdr:spPr>
        <a:xfrm>
          <a:off x="7810500" y="7027333"/>
          <a:ext cx="5504762" cy="5209524"/>
        </a:xfrm>
        <a:prstGeom prst="rect">
          <a:avLst/>
        </a:prstGeom>
      </xdr:spPr>
    </xdr:pic>
    <xdr:clientData/>
  </xdr:twoCellAnchor>
  <xdr:twoCellAnchor editAs="oneCell">
    <xdr:from>
      <xdr:col>12</xdr:col>
      <xdr:colOff>42333</xdr:colOff>
      <xdr:row>37</xdr:row>
      <xdr:rowOff>63500</xdr:rowOff>
    </xdr:from>
    <xdr:to>
      <xdr:col>18</xdr:col>
      <xdr:colOff>487321</xdr:colOff>
      <xdr:row>62</xdr:row>
      <xdr:rowOff>129667</xdr:rowOff>
    </xdr:to>
    <xdr:pic>
      <xdr:nvPicPr>
        <xdr:cNvPr id="8" name="Picture 7">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5"/>
        <a:stretch>
          <a:fillRect/>
        </a:stretch>
      </xdr:blipFill>
      <xdr:spPr>
        <a:xfrm>
          <a:off x="13663083" y="7027333"/>
          <a:ext cx="4561905" cy="4066667"/>
        </a:xfrm>
        <a:prstGeom prst="rect">
          <a:avLst/>
        </a:prstGeom>
      </xdr:spPr>
    </xdr:pic>
    <xdr:clientData/>
  </xdr:twoCellAnchor>
  <xdr:twoCellAnchor editAs="oneCell">
    <xdr:from>
      <xdr:col>1</xdr:col>
      <xdr:colOff>10586</xdr:colOff>
      <xdr:row>37</xdr:row>
      <xdr:rowOff>42335</xdr:rowOff>
    </xdr:from>
    <xdr:to>
      <xdr:col>6</xdr:col>
      <xdr:colOff>1016347</xdr:colOff>
      <xdr:row>84</xdr:row>
      <xdr:rowOff>45526</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6"/>
        <a:stretch>
          <a:fillRect/>
        </a:stretch>
      </xdr:blipFill>
      <xdr:spPr>
        <a:xfrm>
          <a:off x="624419" y="7641168"/>
          <a:ext cx="6128095" cy="7496191"/>
        </a:xfrm>
        <a:prstGeom prst="rect">
          <a:avLst/>
        </a:prstGeom>
      </xdr:spPr>
    </xdr:pic>
    <xdr:clientData/>
  </xdr:twoCellAnchor>
  <xdr:twoCellAnchor editAs="oneCell">
    <xdr:from>
      <xdr:col>2</xdr:col>
      <xdr:colOff>116416</xdr:colOff>
      <xdr:row>137</xdr:row>
      <xdr:rowOff>63500</xdr:rowOff>
    </xdr:from>
    <xdr:to>
      <xdr:col>8</xdr:col>
      <xdr:colOff>70678</xdr:colOff>
      <xdr:row>180</xdr:row>
      <xdr:rowOff>18202</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7"/>
        <a:stretch>
          <a:fillRect/>
        </a:stretch>
      </xdr:blipFill>
      <xdr:spPr>
        <a:xfrm>
          <a:off x="2137833" y="25368250"/>
          <a:ext cx="6918095" cy="6780952"/>
        </a:xfrm>
        <a:prstGeom prst="rect">
          <a:avLst/>
        </a:prstGeom>
      </xdr:spPr>
    </xdr:pic>
    <xdr:clientData/>
  </xdr:twoCellAnchor>
  <xdr:twoCellAnchor>
    <xdr:from>
      <xdr:col>1</xdr:col>
      <xdr:colOff>84666</xdr:colOff>
      <xdr:row>137</xdr:row>
      <xdr:rowOff>83608</xdr:rowOff>
    </xdr:from>
    <xdr:to>
      <xdr:col>1</xdr:col>
      <xdr:colOff>1268147</xdr:colOff>
      <xdr:row>139</xdr:row>
      <xdr:rowOff>24870</xdr:rowOff>
    </xdr:to>
    <xdr:sp macro="" textlink="">
      <xdr:nvSpPr>
        <xdr:cNvPr id="14" name="Rectangle 13">
          <a:extLst>
            <a:ext uri="{FF2B5EF4-FFF2-40B4-BE49-F238E27FC236}">
              <a16:creationId xmlns:a16="http://schemas.microsoft.com/office/drawing/2014/main" id="{00000000-0008-0000-0200-00000E000000}"/>
            </a:ext>
          </a:extLst>
        </xdr:cNvPr>
        <xdr:cNvSpPr/>
      </xdr:nvSpPr>
      <xdr:spPr>
        <a:xfrm>
          <a:off x="698499" y="25388358"/>
          <a:ext cx="1183481" cy="258762"/>
        </a:xfrm>
        <a:prstGeom prst="rect">
          <a:avLst/>
        </a:prstGeom>
        <a:solidFill>
          <a:schemeClr val="accent6">
            <a:lumMod val="60000"/>
            <a:lumOff val="40000"/>
            <a:alpha val="27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xdr:col>
      <xdr:colOff>84666</xdr:colOff>
      <xdr:row>139</xdr:row>
      <xdr:rowOff>90751</xdr:rowOff>
    </xdr:from>
    <xdr:to>
      <xdr:col>1</xdr:col>
      <xdr:colOff>1251480</xdr:colOff>
      <xdr:row>141</xdr:row>
      <xdr:rowOff>36776</xdr:rowOff>
    </xdr:to>
    <xdr:sp macro="" textlink="">
      <xdr:nvSpPr>
        <xdr:cNvPr id="15" name="Rectangle 14">
          <a:extLst>
            <a:ext uri="{FF2B5EF4-FFF2-40B4-BE49-F238E27FC236}">
              <a16:creationId xmlns:a16="http://schemas.microsoft.com/office/drawing/2014/main" id="{00000000-0008-0000-0200-00000F000000}"/>
            </a:ext>
          </a:extLst>
        </xdr:cNvPr>
        <xdr:cNvSpPr/>
      </xdr:nvSpPr>
      <xdr:spPr>
        <a:xfrm>
          <a:off x="698499" y="25713001"/>
          <a:ext cx="1166814" cy="263525"/>
        </a:xfrm>
        <a:prstGeom prst="rect">
          <a:avLst/>
        </a:prstGeom>
        <a:solidFill>
          <a:schemeClr val="tx2">
            <a:lumMod val="40000"/>
            <a:lumOff val="60000"/>
            <a:alpha val="39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oneCellAnchor>
    <xdr:from>
      <xdr:col>1</xdr:col>
      <xdr:colOff>248971</xdr:colOff>
      <xdr:row>139</xdr:row>
      <xdr:rowOff>83608</xdr:rowOff>
    </xdr:from>
    <xdr:ext cx="866840" cy="264560"/>
    <xdr:sp macro="" textlink="">
      <xdr:nvSpPr>
        <xdr:cNvPr id="16" name="TextBox 15">
          <a:extLst>
            <a:ext uri="{FF2B5EF4-FFF2-40B4-BE49-F238E27FC236}">
              <a16:creationId xmlns:a16="http://schemas.microsoft.com/office/drawing/2014/main" id="{00000000-0008-0000-0200-000010000000}"/>
            </a:ext>
          </a:extLst>
        </xdr:cNvPr>
        <xdr:cNvSpPr txBox="1"/>
      </xdr:nvSpPr>
      <xdr:spPr>
        <a:xfrm>
          <a:off x="862804" y="25705858"/>
          <a:ext cx="8668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100"/>
            <a:t>OPERATION</a:t>
          </a:r>
        </a:p>
      </xdr:txBody>
    </xdr:sp>
    <xdr:clientData/>
  </xdr:oneCellAnchor>
  <xdr:twoCellAnchor>
    <xdr:from>
      <xdr:col>1</xdr:col>
      <xdr:colOff>84666</xdr:colOff>
      <xdr:row>141</xdr:row>
      <xdr:rowOff>90751</xdr:rowOff>
    </xdr:from>
    <xdr:to>
      <xdr:col>1</xdr:col>
      <xdr:colOff>1249098</xdr:colOff>
      <xdr:row>143</xdr:row>
      <xdr:rowOff>36776</xdr:rowOff>
    </xdr:to>
    <xdr:sp macro="" textlink="">
      <xdr:nvSpPr>
        <xdr:cNvPr id="17" name="Rectangle 16">
          <a:extLst>
            <a:ext uri="{FF2B5EF4-FFF2-40B4-BE49-F238E27FC236}">
              <a16:creationId xmlns:a16="http://schemas.microsoft.com/office/drawing/2014/main" id="{00000000-0008-0000-0200-000011000000}"/>
            </a:ext>
          </a:extLst>
        </xdr:cNvPr>
        <xdr:cNvSpPr/>
      </xdr:nvSpPr>
      <xdr:spPr>
        <a:xfrm>
          <a:off x="698499" y="26030501"/>
          <a:ext cx="1164432" cy="263525"/>
        </a:xfrm>
        <a:prstGeom prst="rect">
          <a:avLst/>
        </a:prstGeom>
        <a:solidFill>
          <a:schemeClr val="accent3">
            <a:lumMod val="75000"/>
            <a:alpha val="39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oneCellAnchor>
    <xdr:from>
      <xdr:col>1</xdr:col>
      <xdr:colOff>412413</xdr:colOff>
      <xdr:row>141</xdr:row>
      <xdr:rowOff>88370</xdr:rowOff>
    </xdr:from>
    <xdr:ext cx="539956" cy="264560"/>
    <xdr:sp macro="" textlink="">
      <xdr:nvSpPr>
        <xdr:cNvPr id="18" name="TextBox 17">
          <a:extLst>
            <a:ext uri="{FF2B5EF4-FFF2-40B4-BE49-F238E27FC236}">
              <a16:creationId xmlns:a16="http://schemas.microsoft.com/office/drawing/2014/main" id="{00000000-0008-0000-0200-000012000000}"/>
            </a:ext>
          </a:extLst>
        </xdr:cNvPr>
        <xdr:cNvSpPr txBox="1"/>
      </xdr:nvSpPr>
      <xdr:spPr>
        <a:xfrm>
          <a:off x="1026246" y="26028120"/>
          <a:ext cx="53995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100"/>
            <a:t>LPOFF</a:t>
          </a:r>
        </a:p>
      </xdr:txBody>
    </xdr:sp>
    <xdr:clientData/>
  </xdr:oneCellAnchor>
  <xdr:oneCellAnchor>
    <xdr:from>
      <xdr:col>1</xdr:col>
      <xdr:colOff>273754</xdr:colOff>
      <xdr:row>137</xdr:row>
      <xdr:rowOff>74083</xdr:rowOff>
    </xdr:from>
    <xdr:ext cx="817275" cy="264560"/>
    <xdr:sp macro="" textlink="">
      <xdr:nvSpPr>
        <xdr:cNvPr id="19" name="TextBox 18">
          <a:extLst>
            <a:ext uri="{FF2B5EF4-FFF2-40B4-BE49-F238E27FC236}">
              <a16:creationId xmlns:a16="http://schemas.microsoft.com/office/drawing/2014/main" id="{00000000-0008-0000-0200-000013000000}"/>
            </a:ext>
          </a:extLst>
        </xdr:cNvPr>
        <xdr:cNvSpPr txBox="1"/>
      </xdr:nvSpPr>
      <xdr:spPr>
        <a:xfrm>
          <a:off x="887587" y="25378833"/>
          <a:ext cx="8172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100"/>
            <a:t>POWER UP</a:t>
          </a:r>
        </a:p>
      </xdr:txBody>
    </xdr:sp>
    <xdr:clientData/>
  </xdr:oneCellAnchor>
  <xdr:twoCellAnchor>
    <xdr:from>
      <xdr:col>2</xdr:col>
      <xdr:colOff>163511</xdr:colOff>
      <xdr:row>137</xdr:row>
      <xdr:rowOff>130180</xdr:rowOff>
    </xdr:from>
    <xdr:to>
      <xdr:col>3</xdr:col>
      <xdr:colOff>1626712</xdr:colOff>
      <xdr:row>168</xdr:row>
      <xdr:rowOff>142518</xdr:rowOff>
    </xdr:to>
    <xdr:sp macro="" textlink="">
      <xdr:nvSpPr>
        <xdr:cNvPr id="20" name="Rectangle 19">
          <a:extLst>
            <a:ext uri="{FF2B5EF4-FFF2-40B4-BE49-F238E27FC236}">
              <a16:creationId xmlns:a16="http://schemas.microsoft.com/office/drawing/2014/main" id="{00000000-0008-0000-0200-000014000000}"/>
            </a:ext>
          </a:extLst>
        </xdr:cNvPr>
        <xdr:cNvSpPr/>
      </xdr:nvSpPr>
      <xdr:spPr>
        <a:xfrm>
          <a:off x="2184928" y="25434930"/>
          <a:ext cx="3124784" cy="4933588"/>
        </a:xfrm>
        <a:prstGeom prst="rect">
          <a:avLst/>
        </a:prstGeom>
        <a:solidFill>
          <a:schemeClr val="accent6">
            <a:lumMod val="60000"/>
            <a:lumOff val="40000"/>
            <a:alpha val="27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xdr:col>
      <xdr:colOff>158747</xdr:colOff>
      <xdr:row>159</xdr:row>
      <xdr:rowOff>137583</xdr:rowOff>
    </xdr:from>
    <xdr:to>
      <xdr:col>3</xdr:col>
      <xdr:colOff>1629833</xdr:colOff>
      <xdr:row>168</xdr:row>
      <xdr:rowOff>137582</xdr:rowOff>
    </xdr:to>
    <xdr:sp macro="" textlink="">
      <xdr:nvSpPr>
        <xdr:cNvPr id="21" name="Rectangle 20">
          <a:extLst>
            <a:ext uri="{FF2B5EF4-FFF2-40B4-BE49-F238E27FC236}">
              <a16:creationId xmlns:a16="http://schemas.microsoft.com/office/drawing/2014/main" id="{00000000-0008-0000-0200-000015000000}"/>
            </a:ext>
          </a:extLst>
        </xdr:cNvPr>
        <xdr:cNvSpPr/>
      </xdr:nvSpPr>
      <xdr:spPr>
        <a:xfrm>
          <a:off x="2180164" y="28934833"/>
          <a:ext cx="3132669" cy="1428749"/>
        </a:xfrm>
        <a:prstGeom prst="rect">
          <a:avLst/>
        </a:prstGeom>
        <a:solidFill>
          <a:schemeClr val="tx2">
            <a:lumMod val="40000"/>
            <a:lumOff val="60000"/>
            <a:alpha val="39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xdr:col>
      <xdr:colOff>163513</xdr:colOff>
      <xdr:row>168</xdr:row>
      <xdr:rowOff>142416</xdr:rowOff>
    </xdr:from>
    <xdr:to>
      <xdr:col>3</xdr:col>
      <xdr:colOff>1626712</xdr:colOff>
      <xdr:row>174</xdr:row>
      <xdr:rowOff>0</xdr:rowOff>
    </xdr:to>
    <xdr:sp macro="" textlink="">
      <xdr:nvSpPr>
        <xdr:cNvPr id="22" name="Rectangle 21">
          <a:extLst>
            <a:ext uri="{FF2B5EF4-FFF2-40B4-BE49-F238E27FC236}">
              <a16:creationId xmlns:a16="http://schemas.microsoft.com/office/drawing/2014/main" id="{00000000-0008-0000-0200-000016000000}"/>
            </a:ext>
          </a:extLst>
        </xdr:cNvPr>
        <xdr:cNvSpPr/>
      </xdr:nvSpPr>
      <xdr:spPr>
        <a:xfrm>
          <a:off x="2184930" y="30368416"/>
          <a:ext cx="3124782" cy="810084"/>
        </a:xfrm>
        <a:prstGeom prst="rect">
          <a:avLst/>
        </a:prstGeom>
        <a:solidFill>
          <a:schemeClr val="accent3">
            <a:lumMod val="75000"/>
            <a:alpha val="51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3</xdr:col>
      <xdr:colOff>1645347</xdr:colOff>
      <xdr:row>137</xdr:row>
      <xdr:rowOff>127000</xdr:rowOff>
    </xdr:from>
    <xdr:to>
      <xdr:col>8</xdr:col>
      <xdr:colOff>10583</xdr:colOff>
      <xdr:row>162</xdr:row>
      <xdr:rowOff>105833</xdr:rowOff>
    </xdr:to>
    <xdr:sp macro="" textlink="">
      <xdr:nvSpPr>
        <xdr:cNvPr id="23" name="Rectangle 22">
          <a:extLst>
            <a:ext uri="{FF2B5EF4-FFF2-40B4-BE49-F238E27FC236}">
              <a16:creationId xmlns:a16="http://schemas.microsoft.com/office/drawing/2014/main" id="{00000000-0008-0000-0200-000017000000}"/>
            </a:ext>
          </a:extLst>
        </xdr:cNvPr>
        <xdr:cNvSpPr/>
      </xdr:nvSpPr>
      <xdr:spPr>
        <a:xfrm>
          <a:off x="5328347" y="25431750"/>
          <a:ext cx="3667486" cy="3947583"/>
        </a:xfrm>
        <a:prstGeom prst="rect">
          <a:avLst/>
        </a:prstGeom>
        <a:solidFill>
          <a:schemeClr val="accent6">
            <a:lumMod val="60000"/>
            <a:lumOff val="40000"/>
            <a:alpha val="27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3</xdr:col>
      <xdr:colOff>1636310</xdr:colOff>
      <xdr:row>162</xdr:row>
      <xdr:rowOff>114151</xdr:rowOff>
    </xdr:from>
    <xdr:to>
      <xdr:col>8</xdr:col>
      <xdr:colOff>10583</xdr:colOff>
      <xdr:row>178</xdr:row>
      <xdr:rowOff>10583</xdr:rowOff>
    </xdr:to>
    <xdr:sp macro="" textlink="">
      <xdr:nvSpPr>
        <xdr:cNvPr id="24" name="Rectangle 23">
          <a:extLst>
            <a:ext uri="{FF2B5EF4-FFF2-40B4-BE49-F238E27FC236}">
              <a16:creationId xmlns:a16="http://schemas.microsoft.com/office/drawing/2014/main" id="{00000000-0008-0000-0200-000018000000}"/>
            </a:ext>
          </a:extLst>
        </xdr:cNvPr>
        <xdr:cNvSpPr/>
      </xdr:nvSpPr>
      <xdr:spPr>
        <a:xfrm>
          <a:off x="5319310" y="29387651"/>
          <a:ext cx="3676523" cy="2436432"/>
        </a:xfrm>
        <a:prstGeom prst="rect">
          <a:avLst/>
        </a:prstGeom>
        <a:solidFill>
          <a:schemeClr val="tx2">
            <a:lumMod val="40000"/>
            <a:lumOff val="60000"/>
            <a:alpha val="39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3</xdr:col>
      <xdr:colOff>1639168</xdr:colOff>
      <xdr:row>137</xdr:row>
      <xdr:rowOff>124797</xdr:rowOff>
    </xdr:from>
    <xdr:to>
      <xdr:col>8</xdr:col>
      <xdr:colOff>10584</xdr:colOff>
      <xdr:row>140</xdr:row>
      <xdr:rowOff>105833</xdr:rowOff>
    </xdr:to>
    <xdr:sp macro="" textlink="">
      <xdr:nvSpPr>
        <xdr:cNvPr id="25" name="Rectangle 24">
          <a:extLst>
            <a:ext uri="{FF2B5EF4-FFF2-40B4-BE49-F238E27FC236}">
              <a16:creationId xmlns:a16="http://schemas.microsoft.com/office/drawing/2014/main" id="{00000000-0008-0000-0200-000019000000}"/>
            </a:ext>
          </a:extLst>
        </xdr:cNvPr>
        <xdr:cNvSpPr/>
      </xdr:nvSpPr>
      <xdr:spPr>
        <a:xfrm>
          <a:off x="5322168" y="25429547"/>
          <a:ext cx="3673666" cy="457286"/>
        </a:xfrm>
        <a:prstGeom prst="rect">
          <a:avLst/>
        </a:prstGeom>
        <a:solidFill>
          <a:schemeClr val="accent3">
            <a:lumMod val="75000"/>
            <a:alpha val="51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68580</xdr:colOff>
          <xdr:row>4</xdr:row>
          <xdr:rowOff>60960</xdr:rowOff>
        </xdr:from>
        <xdr:to>
          <xdr:col>16</xdr:col>
          <xdr:colOff>571500</xdr:colOff>
          <xdr:row>30</xdr:row>
          <xdr:rowOff>38100</xdr:rowOff>
        </xdr:to>
        <xdr:sp macro="" textlink="">
          <xdr:nvSpPr>
            <xdr:cNvPr id="5122" name="Object 2" hidden="1">
              <a:extLst>
                <a:ext uri="{63B3BB69-23CF-44E3-9099-C40C66FF867C}">
                  <a14:compatExt spid="_x0000_s5122"/>
                </a:ext>
                <a:ext uri="{FF2B5EF4-FFF2-40B4-BE49-F238E27FC236}">
                  <a16:creationId xmlns:a16="http://schemas.microsoft.com/office/drawing/2014/main" id="{00000000-0008-0000-0300-000002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14</xdr:col>
      <xdr:colOff>173491</xdr:colOff>
      <xdr:row>6</xdr:row>
      <xdr:rowOff>81643</xdr:rowOff>
    </xdr:from>
    <xdr:to>
      <xdr:col>15</xdr:col>
      <xdr:colOff>258536</xdr:colOff>
      <xdr:row>10</xdr:row>
      <xdr:rowOff>353787</xdr:rowOff>
    </xdr:to>
    <xdr:sp macro="" textlink="">
      <xdr:nvSpPr>
        <xdr:cNvPr id="5" name="Rectangle 4">
          <a:extLst>
            <a:ext uri="{FF2B5EF4-FFF2-40B4-BE49-F238E27FC236}">
              <a16:creationId xmlns:a16="http://schemas.microsoft.com/office/drawing/2014/main" id="{00000000-0008-0000-0300-000005000000}"/>
            </a:ext>
          </a:extLst>
        </xdr:cNvPr>
        <xdr:cNvSpPr/>
      </xdr:nvSpPr>
      <xdr:spPr>
        <a:xfrm>
          <a:off x="14760348" y="2735036"/>
          <a:ext cx="697367" cy="1605644"/>
        </a:xfrm>
        <a:prstGeom prst="rect">
          <a:avLst/>
        </a:prstGeom>
        <a:solidFill>
          <a:schemeClr val="bg1">
            <a:lumMod val="75000"/>
            <a:alpha val="5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15</xdr:col>
      <xdr:colOff>299357</xdr:colOff>
      <xdr:row>10</xdr:row>
      <xdr:rowOff>136071</xdr:rowOff>
    </xdr:from>
    <xdr:to>
      <xdr:col>18</xdr:col>
      <xdr:colOff>1</xdr:colOff>
      <xdr:row>10</xdr:row>
      <xdr:rowOff>136071</xdr:rowOff>
    </xdr:to>
    <xdr:cxnSp macro="">
      <xdr:nvCxnSpPr>
        <xdr:cNvPr id="7" name="Straight Arrow Connector 6">
          <a:extLst>
            <a:ext uri="{FF2B5EF4-FFF2-40B4-BE49-F238E27FC236}">
              <a16:creationId xmlns:a16="http://schemas.microsoft.com/office/drawing/2014/main" id="{00000000-0008-0000-0300-000007000000}"/>
            </a:ext>
          </a:extLst>
        </xdr:cNvPr>
        <xdr:cNvCxnSpPr/>
      </xdr:nvCxnSpPr>
      <xdr:spPr>
        <a:xfrm flipH="1">
          <a:off x="15498536" y="4122964"/>
          <a:ext cx="1537608" cy="0"/>
        </a:xfrm>
        <a:prstGeom prst="straightConnector1">
          <a:avLst/>
        </a:prstGeom>
        <a:ln w="19050">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13607</xdr:colOff>
      <xdr:row>96</xdr:row>
      <xdr:rowOff>40821</xdr:rowOff>
    </xdr:from>
    <xdr:to>
      <xdr:col>11</xdr:col>
      <xdr:colOff>417535</xdr:colOff>
      <xdr:row>130</xdr:row>
      <xdr:rowOff>30488</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625928" y="23241000"/>
          <a:ext cx="12514286" cy="646666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xdr:col>
          <xdr:colOff>106680</xdr:colOff>
          <xdr:row>37</xdr:row>
          <xdr:rowOff>114300</xdr:rowOff>
        </xdr:from>
        <xdr:to>
          <xdr:col>4</xdr:col>
          <xdr:colOff>899160</xdr:colOff>
          <xdr:row>67</xdr:row>
          <xdr:rowOff>68580</xdr:rowOff>
        </xdr:to>
        <xdr:sp macro="" textlink="">
          <xdr:nvSpPr>
            <xdr:cNvPr id="5124" name="Object 4" hidden="1">
              <a:extLst>
                <a:ext uri="{63B3BB69-23CF-44E3-9099-C40C66FF867C}">
                  <a14:compatExt spid="_x0000_s5124"/>
                </a:ext>
                <a:ext uri="{FF2B5EF4-FFF2-40B4-BE49-F238E27FC236}">
                  <a16:creationId xmlns:a16="http://schemas.microsoft.com/office/drawing/2014/main" id="{00000000-0008-0000-0300-000004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4</xdr:col>
      <xdr:colOff>925282</xdr:colOff>
      <xdr:row>43</xdr:row>
      <xdr:rowOff>81644</xdr:rowOff>
    </xdr:from>
    <xdr:to>
      <xdr:col>10</xdr:col>
      <xdr:colOff>257172</xdr:colOff>
      <xdr:row>64</xdr:row>
      <xdr:rowOff>58512</xdr:rowOff>
    </xdr:to>
    <xdr:pic>
      <xdr:nvPicPr>
        <xdr:cNvPr id="10" name="Picture 9">
          <a:extLst>
            <a:ext uri="{FF2B5EF4-FFF2-40B4-BE49-F238E27FC236}">
              <a16:creationId xmlns:a16="http://schemas.microsoft.com/office/drawing/2014/main" id="{00000000-0008-0000-0300-00000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70318" y="11770180"/>
          <a:ext cx="4801961" cy="39773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530675</xdr:colOff>
      <xdr:row>43</xdr:row>
      <xdr:rowOff>163287</xdr:rowOff>
    </xdr:from>
    <xdr:to>
      <xdr:col>4</xdr:col>
      <xdr:colOff>1183818</xdr:colOff>
      <xdr:row>51</xdr:row>
      <xdr:rowOff>149680</xdr:rowOff>
    </xdr:to>
    <xdr:cxnSp macro="">
      <xdr:nvCxnSpPr>
        <xdr:cNvPr id="6" name="Straight Arrow Connector 5">
          <a:extLst>
            <a:ext uri="{FF2B5EF4-FFF2-40B4-BE49-F238E27FC236}">
              <a16:creationId xmlns:a16="http://schemas.microsoft.com/office/drawing/2014/main" id="{00000000-0008-0000-0300-000006000000}"/>
            </a:ext>
          </a:extLst>
        </xdr:cNvPr>
        <xdr:cNvCxnSpPr/>
      </xdr:nvCxnSpPr>
      <xdr:spPr>
        <a:xfrm>
          <a:off x="5823854" y="11851823"/>
          <a:ext cx="1905000" cy="151039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2979961</xdr:colOff>
      <xdr:row>41</xdr:row>
      <xdr:rowOff>27215</xdr:rowOff>
    </xdr:from>
    <xdr:to>
      <xdr:col>3</xdr:col>
      <xdr:colOff>544282</xdr:colOff>
      <xdr:row>46</xdr:row>
      <xdr:rowOff>54430</xdr:rowOff>
    </xdr:to>
    <xdr:sp macro="" textlink="">
      <xdr:nvSpPr>
        <xdr:cNvPr id="8" name="Flowchart: Document 7">
          <a:extLst>
            <a:ext uri="{FF2B5EF4-FFF2-40B4-BE49-F238E27FC236}">
              <a16:creationId xmlns:a16="http://schemas.microsoft.com/office/drawing/2014/main" id="{00000000-0008-0000-0300-000008000000}"/>
            </a:ext>
          </a:extLst>
        </xdr:cNvPr>
        <xdr:cNvSpPr/>
      </xdr:nvSpPr>
      <xdr:spPr>
        <a:xfrm>
          <a:off x="4476747" y="11334751"/>
          <a:ext cx="1360714" cy="979715"/>
        </a:xfrm>
        <a:prstGeom prst="flowChartDocument">
          <a:avLst/>
        </a:prstGeom>
        <a:solidFill>
          <a:schemeClr val="accent1">
            <a:alpha val="20000"/>
          </a:schemeClr>
        </a:solidFill>
        <a:ln>
          <a:solidFill>
            <a:schemeClr val="accent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50801</xdr:colOff>
      <xdr:row>2</xdr:row>
      <xdr:rowOff>94194</xdr:rowOff>
    </xdr:from>
    <xdr:to>
      <xdr:col>3</xdr:col>
      <xdr:colOff>968932</xdr:colOff>
      <xdr:row>5</xdr:row>
      <xdr:rowOff>75075</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365126" y="646644"/>
          <a:ext cx="4013756" cy="5809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UK35FIL42\tls_ampd\Users\R11792\AppData\Local\Microsoft\Windows\Temporary%20Internet%20Files\Content.Outlook\FCJ264H6\3_Design\Pass4\Pass4\DR_pass4Fi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eader"/>
      <sheetName val="Review"/>
      <sheetName val="Settings"/>
    </sheetNames>
    <sheetDataSet>
      <sheetData sheetId="0"/>
      <sheetData sheetId="1"/>
      <sheetData sheetId="2">
        <row r="2">
          <cell r="A2" t="str">
            <v>Open</v>
          </cell>
          <cell r="C2" t="str">
            <v>Review Completed</v>
          </cell>
        </row>
        <row r="3">
          <cell r="A3" t="str">
            <v>Completed</v>
          </cell>
          <cell r="C3" t="str">
            <v>Actions Updated</v>
          </cell>
        </row>
        <row r="4">
          <cell r="C4" t="str">
            <v>Actions Completed</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F34" totalsRowCount="1" headerRowDxfId="1066" dataDxfId="1065" totalsRowDxfId="1064">
  <tableColumns count="6">
    <tableColumn id="1" xr3:uid="{00000000-0010-0000-0000-000001000000}" name="Function " totalsRowLabel="Total" dataDxfId="1063" totalsRowDxfId="1062"/>
    <tableColumn id="4" xr3:uid="{00000000-0010-0000-0000-000004000000}" name="Block" dataDxfId="1061" totalsRowDxfId="1060"/>
    <tableColumn id="2" xr3:uid="{00000000-0010-0000-0000-000002000000}" name="Die Size" totalsRowFunction="sum" dataDxfId="1059" totalsRowDxfId="1058"/>
    <tableColumn id="3" xr3:uid="{00000000-0010-0000-0000-000003000000}" name="%" totalsRowFunction="sum" dataDxfId="1057" totalsRowDxfId="1056">
      <calculatedColumnFormula>Table1[[#This Row],[Die Size]]/Table1[[#Totals],[Die Size]]</calculatedColumnFormula>
    </tableColumn>
    <tableColumn id="6" xr3:uid="{00000000-0010-0000-0000-000006000000}" name="Function_x000a_failure rate" totalsRowFunction="custom" totalsRowDxfId="1055">
      <totalsRowFormula>E36</totalsRowFormula>
    </tableColumn>
    <tableColumn id="5" xr3:uid="{00000000-0010-0000-0000-000005000000}" name="Failure mode classification and justification" dataDxfId="1054" totalsRowDxfId="1053"/>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1000000}" name="Table712" displayName="Table712" ref="A3:C7" totalsRowShown="0" headerRowDxfId="1052" dataDxfId="1051">
  <tableColumns count="3">
    <tableColumn id="1" xr3:uid="{00000000-0010-0000-0100-000001000000}" name="System Assumptions" dataDxfId="1050"/>
    <tableColumn id="2" xr3:uid="{00000000-0010-0000-0100-000002000000}" name="Assumptions" dataDxfId="1049"/>
    <tableColumn id="3" xr3:uid="{00000000-0010-0000-0100-000003000000}" name="Safety Manual Tag" dataDxfId="1048"/>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7" displayName="Table7" ref="A3:H11" totalsRowShown="0" headerRowDxfId="1047" dataDxfId="1046">
  <tableColumns count="8">
    <tableColumn id="4" xr3:uid="{00000000-0010-0000-0200-000004000000}" name="Safety Concept _x000a_Requirement" dataDxfId="1045"/>
    <tableColumn id="5" xr3:uid="{00000000-0010-0000-0200-000005000000}" name="Safety Goal" dataDxfId="1044"/>
    <tableColumn id="8" xr3:uid="{00000000-0010-0000-0200-000008000000}" name="Mode" dataDxfId="1043"/>
    <tableColumn id="2" xr3:uid="{00000000-0010-0000-0200-000002000000}" name="Technical assumption considered as violating the safety goal" dataDxfId="1042"/>
    <tableColumn id="3" xr3:uid="{00000000-0010-0000-0200-000003000000}" name="Example" dataDxfId="1041"/>
    <tableColumn id="7" xr3:uid="{00000000-0010-0000-0200-000007000000}" name="Safety _x000a_Mechanism" dataDxfId="1040"/>
    <tableColumn id="6" xr3:uid="{00000000-0010-0000-0200-000006000000}" name="SPF/LF" dataDxfId="1039"/>
    <tableColumn id="1" xr3:uid="{00000000-0010-0000-0200-000001000000}" name="Safety Manual Tag" dataDxfId="1038"/>
  </tableColumns>
  <tableStyleInfo name="TableStyleMedium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3" displayName="Table3" ref="A1:H19" totalsRowShown="0" headerRowDxfId="1019" dataDxfId="1018">
  <tableColumns count="8">
    <tableColumn id="1" xr3:uid="{00000000-0010-0000-0300-000001000000}" name="#" dataDxfId="1017"/>
    <tableColumn id="2" xr3:uid="{00000000-0010-0000-0300-000002000000}" name="Safety mechanism" dataDxfId="1016"/>
    <tableColumn id="4" xr3:uid="{00000000-0010-0000-0300-000004000000}" name="§ ISO 26262" dataDxfId="1015"/>
    <tableColumn id="5" xr3:uid="{00000000-0010-0000-0300-000005000000}" name="Level of Diagnostic coverage" dataDxfId="1014"/>
    <tableColumn id="7" xr3:uid="{00000000-0010-0000-0300-000007000000}" name="Used?" dataDxfId="1013"/>
    <tableColumn id="8" xr3:uid="{00000000-0010-0000-0300-000008000000}" name="DC (%)" dataDxfId="1012">
      <calculatedColumnFormula>IF(Table3[[#This Row],[Used?]]="Yes",IF(Table3[[#This Row],[Level of Diagnostic coverage]]="High",0.99, IF(Table3[[#This Row],[Level of Diagnostic coverage]]="Medium",0.9, IF(Table3[[#This Row],[Level of Diagnostic coverage]]="Low",0.6, 0))),0)</calculatedColumnFormula>
    </tableColumn>
    <tableColumn id="6" xr3:uid="{00000000-0010-0000-0300-000006000000}" name="Safety Manual Tag" dataDxfId="1011"/>
    <tableColumn id="3" xr3:uid="{00000000-0010-0000-0300-000003000000}" name="Comment" dataDxfId="1010"/>
  </tableColumns>
  <tableStyleInfo name="TableStyleMedium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Y235" totalsRowCount="1" headerRowDxfId="535" dataDxfId="534" totalsRowDxfId="533">
  <autoFilter ref="B2:Y234" xr:uid="{00000000-0009-0000-0100-000002000000}"/>
  <tableColumns count="24">
    <tableColumn id="2" xr3:uid="{00000000-0010-0000-0400-000002000000}" name="Function" totalsRowLabel="Total" dataDxfId="532" totalsRowDxfId="531"/>
    <tableColumn id="3" xr3:uid="{00000000-0010-0000-0400-000003000000}" name="Function Description" dataDxfId="530" totalsRowDxfId="529"/>
    <tableColumn id="16" xr3:uid="{00000000-0010-0000-0400-000010000000}" name="Product pins linked to Block_x000a_(PinFMEA Link)" dataDxfId="528" totalsRowDxfId="527"/>
    <tableColumn id="24" xr3:uid="{00000000-0010-0000-0400-000018000000}" name="Block identification linked to block" dataDxfId="526" totalsRowDxfId="525"/>
    <tableColumn id="4" xr3:uid="{00000000-0010-0000-0400-000004000000}" name="λ" dataDxfId="524" totalsRowDxfId="523">
      <calculatedColumnFormula>VLOOKUP(Table2[Function], Table1[], 5, FALSE)</calculatedColumnFormula>
    </tableColumn>
    <tableColumn id="5" xr3:uid="{00000000-0010-0000-0400-000005000000}" name="Failure mode" dataDxfId="522" totalsRowDxfId="521"/>
    <tableColumn id="6" xr3:uid="{00000000-0010-0000-0400-000006000000}" name="Failure mode that has the potential to violate the safety goal in absence of safety mechanism?" dataDxfId="520" totalsRowDxfId="519"/>
    <tableColumn id="11" xr3:uid="{00000000-0010-0000-0400-00000B000000}" name="Safety Requirement Violated" dataDxfId="518" totalsRowDxfId="517"/>
    <tableColumn id="7" xr3:uid="{00000000-0010-0000-0400-000007000000}" name="Failure rate distribution" dataDxfId="516" totalsRowDxfId="515">
      <calculatedColumnFormula>1/9</calculatedColumnFormula>
    </tableColumn>
    <tableColumn id="8" xr3:uid="{00000000-0010-0000-0400-000008000000}" name="Failure mode rate" totalsRowFunction="sum" dataDxfId="514" totalsRowDxfId="513">
      <calculatedColumnFormula>Table2[[#This Row],[λ]]*Table2[[#This Row],[Failure rate distribution]]</calculatedColumnFormula>
    </tableColumn>
    <tableColumn id="9" xr3:uid="{00000000-0010-0000-0400-000009000000}" name="Applicable Safety mechanism" dataDxfId="512" totalsRowDxfId="511"/>
    <tableColumn id="10" xr3:uid="{00000000-0010-0000-0400-00000A000000}" name="Safety Mechanism(s) allowing to prevent the failure mode from violating the safety goals" dataDxfId="510" totalsRowDxfId="509">
      <calculatedColumnFormula>VLOOKUP(Table2[[#This Row],[Applicable Safety mechanism]],Table3[],2,FALSE)</calculatedColumnFormula>
    </tableColumn>
    <tableColumn id="12" xr3:uid="{00000000-0010-0000-0400-00000C000000}" name="§ISO 26262" dataDxfId="508" totalsRowDxfId="507">
      <calculatedColumnFormula>VLOOKUP(Table2[[#This Row],[Applicable Safety mechanism]], Table3[], 3,FALSE)</calculatedColumnFormula>
    </tableColumn>
    <tableColumn id="14" xr3:uid="{00000000-0010-0000-0400-00000E000000}" name="Failure mode coverage wrt. violation of safety goals" dataDxfId="506" totalsRowDxfId="505">
      <calculatedColumnFormula>VLOOKUP(Table2[[#This Row],[Applicable Safety mechanism]], Table3[], 6,FALSE)</calculatedColumnFormula>
    </tableColumn>
    <tableColumn id="15" xr3:uid="{00000000-0010-0000-0400-00000F000000}" name="Residual of single point fault failure rate/FIT" totalsRowFunction="sum" totalsRowDxfId="504">
      <calculatedColumnFormula>IF(Table2[[#This Row],[Failure mode that has the potential to violate the safety goal in absence of safety mechanism?]]="Yes", Table2[[#This Row],[Failure mode rate]]*(1-Table2[[#This Row],[Failure mode coverage wrt. violation of safety goals]]), 0)</calculatedColumnFormula>
    </tableColumn>
    <tableColumn id="17" xr3:uid="{00000000-0010-0000-0400-000011000000}" name="Failure mode that may lead to the violation of safety goals in combination with an independent failure of another block ?" dataDxfId="503" totalsRowDxfId="502"/>
    <tableColumn id="22" xr3:uid="{00000000-0010-0000-0400-000016000000}" name="Safety Requirement Violated (Latent)" dataDxfId="501" totalsRowDxfId="500"/>
    <tableColumn id="18" xr3:uid="{00000000-0010-0000-0400-000012000000}" name="Detection means ? Safety mechanism(s) allowing to prevent the failure mode from being latent ?" dataDxfId="499" totalsRowDxfId="498"/>
    <tableColumn id="1" xr3:uid="{00000000-0010-0000-0400-000001000000}" name="Safety Mechanism(s) allowing to prevent the latent failure mode from violating the safety goals" dataDxfId="497" totalsRowDxfId="496">
      <calculatedColumnFormula>VLOOKUP(Table2[[#This Row],[Detection means ? Safety mechanism(s) allowing to prevent the failure mode from being latent ?]],Table3[],2,FALSE)</calculatedColumnFormula>
    </tableColumn>
    <tableColumn id="19" xr3:uid="{00000000-0010-0000-0400-000013000000}" name="Failure mode coverage with respect to latent failures" dataDxfId="495" totalsRowDxfId="494"/>
    <tableColumn id="20" xr3:uid="{00000000-0010-0000-0400-000014000000}" name="Latent multiple point fault failure rate/FIT" totalsRowFunction="sum" totalsRowDxfId="493">
      <calculatedColumnFormula>IF(Table2[[#This Row],[Failure mode that may lead to the violation of safety goals in combination with an independent failure of another block ?]]="Yes",(1-Table2[[#This Row],[Failure mode coverage with respect to latent failures]])*Table2[[#This Row],[Failure mode rate]], 0)</calculatedColumnFormula>
    </tableColumn>
    <tableColumn id="21" xr3:uid="{00000000-0010-0000-0400-000015000000}" name="Comments" dataDxfId="492" totalsRowDxfId="491"/>
    <tableColumn id="25" xr3:uid="{00000000-0010-0000-0400-000019000000}" name="SR" dataDxfId="490" totalsRowDxfId="489">
      <calculatedColumnFormula>IF(Table2[[#This Row],[Failure mode that has the potential to violate the safety goal in absence of safety mechanism?]]="Yes", "Yes", IF(Table2[[#This Row],[Failure mode that may lead to the violation of safety goals in combination with an independent failure of another block ?]]="Yes", "Yes", "No"))</calculatedColumnFormula>
    </tableColumn>
    <tableColumn id="26" xr3:uid="{00000000-0010-0000-0400-00001A000000}" name="λSR" totalsRowFunction="sum" dataDxfId="488" totalsRowDxfId="487">
      <calculatedColumnFormula>IF(Table2[[#This Row],[SR]]="Yes",Table2[[#This Row],[λ]], 0)</calculatedColumnFormula>
    </tableColumn>
  </tableColumns>
  <tableStyleInfo name="TableStyleMedium1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e26" displayName="Table26" ref="B2:Y235" totalsRowCount="1" headerRowDxfId="47" dataDxfId="46" totalsRowDxfId="45">
  <autoFilter ref="B2:Y234" xr:uid="{00000000-0009-0000-0100-000005000000}"/>
  <tableColumns count="24">
    <tableColumn id="2" xr3:uid="{00000000-0010-0000-0500-000002000000}" name="Function" totalsRowLabel="Total" dataDxfId="44" totalsRowDxfId="43"/>
    <tableColumn id="3" xr3:uid="{00000000-0010-0000-0500-000003000000}" name="Function Description" dataDxfId="42" totalsRowDxfId="41"/>
    <tableColumn id="16" xr3:uid="{00000000-0010-0000-0500-000010000000}" name="Product pins linked to Block_x000a_(PinFMEA Link)" dataDxfId="40" totalsRowDxfId="39"/>
    <tableColumn id="24" xr3:uid="{00000000-0010-0000-0500-000018000000}" name="Block identification linked to block" dataDxfId="38" totalsRowDxfId="37"/>
    <tableColumn id="4" xr3:uid="{00000000-0010-0000-0500-000004000000}" name="λ" dataDxfId="36" totalsRowDxfId="35">
      <calculatedColumnFormula>VLOOKUP(Table26[Function], Table1[], 5, FALSE)</calculatedColumnFormula>
    </tableColumn>
    <tableColumn id="5" xr3:uid="{00000000-0010-0000-0500-000005000000}" name="Failure mode" dataDxfId="34" totalsRowDxfId="33"/>
    <tableColumn id="6" xr3:uid="{00000000-0010-0000-0500-000006000000}" name="Failure mode that has the potential to violate the safety goal in absence of safety mechanism?" dataDxfId="32" totalsRowDxfId="31"/>
    <tableColumn id="11" xr3:uid="{00000000-0010-0000-0500-00000B000000}" name="Safety Requirement Violated" dataDxfId="30" totalsRowDxfId="29"/>
    <tableColumn id="7" xr3:uid="{00000000-0010-0000-0500-000007000000}" name="Failure rate distribution" dataDxfId="28" totalsRowDxfId="27">
      <calculatedColumnFormula>1/9</calculatedColumnFormula>
    </tableColumn>
    <tableColumn id="8" xr3:uid="{00000000-0010-0000-0500-000008000000}" name="Failure mode rate" totalsRowFunction="sum" totalsRowDxfId="26">
      <calculatedColumnFormula>Table26[[#This Row],[λ]]*Table26[[#This Row],[Failure rate distribution]]</calculatedColumnFormula>
    </tableColumn>
    <tableColumn id="9" xr3:uid="{00000000-0010-0000-0500-000009000000}" name="Applicable Safety mechanism" dataDxfId="25" totalsRowDxfId="24"/>
    <tableColumn id="10" xr3:uid="{00000000-0010-0000-0500-00000A000000}" name="Safety Mechanism(s) allowing to prevent the failure mode from violating the safety goals" dataDxfId="23" totalsRowDxfId="22">
      <calculatedColumnFormula>VLOOKUP(Table26[[#This Row],[Applicable Safety mechanism]],Table3[],2,FALSE)</calculatedColumnFormula>
    </tableColumn>
    <tableColumn id="12" xr3:uid="{00000000-0010-0000-0500-00000C000000}" name="§ISO 26262" dataDxfId="21" totalsRowDxfId="20">
      <calculatedColumnFormula>VLOOKUP(Table26[[#This Row],[Applicable Safety mechanism]], Table3[], 3,FALSE)</calculatedColumnFormula>
    </tableColumn>
    <tableColumn id="14" xr3:uid="{00000000-0010-0000-0500-00000E000000}" name="Failure mode coverage wrt. violation of safety goals" dataDxfId="19" totalsRowDxfId="18">
      <calculatedColumnFormula>VLOOKUP(Table26[[#This Row],[Applicable Safety mechanism]], Table3[], 6,FALSE)</calculatedColumnFormula>
    </tableColumn>
    <tableColumn id="15" xr3:uid="{00000000-0010-0000-0500-00000F000000}" name="Residual of single point fault failure rate/FIT" totalsRowFunction="sum" totalsRowDxfId="17">
      <calculatedColumnFormula>IF(Table26[[#This Row],[Failure mode that has the potential to violate the safety goal in absence of safety mechanism?]]="Yes", Table26[[#This Row],[Failure mode rate]]*(1-Table26[[#This Row],[Failure mode coverage wrt. violation of safety goals]]), 0)</calculatedColumnFormula>
    </tableColumn>
    <tableColumn id="17" xr3:uid="{00000000-0010-0000-0500-000011000000}" name="Failure mode that may lead to the violation of safety goals in combination with an independent failure of another block ?" dataDxfId="16" totalsRowDxfId="15"/>
    <tableColumn id="22" xr3:uid="{00000000-0010-0000-0500-000016000000}" name="Safety Requirement Violated (Latent)" dataDxfId="14" totalsRowDxfId="13"/>
    <tableColumn id="18" xr3:uid="{00000000-0010-0000-0500-000012000000}" name="Detection means ? Safety mechanism(s) allowing to prevent the failure mode from being latent ?" dataDxfId="12" totalsRowDxfId="11"/>
    <tableColumn id="1" xr3:uid="{00000000-0010-0000-0500-000001000000}" name="Safety Mechanism(s) allowing to prevent the latent failure mode from violating the safety goals" dataDxfId="10" totalsRowDxfId="9">
      <calculatedColumnFormula>VLOOKUP(Table26[[#This Row],[Detection means ? Safety mechanism(s) allowing to prevent the failure mode from being latent ?]],Table3[],2,FALSE)</calculatedColumnFormula>
    </tableColumn>
    <tableColumn id="19" xr3:uid="{00000000-0010-0000-0500-000013000000}" name="Failure mode coverage with respect to latent failures" dataDxfId="8" totalsRowDxfId="7"/>
    <tableColumn id="20" xr3:uid="{00000000-0010-0000-0500-000014000000}" name="Latent multiple point fault failure rate/FIT" totalsRowFunction="sum" totalsRowDxfId="6">
      <calculatedColumnFormula>IF(Table26[[#This Row],[Failure mode that may lead to the violation of safety goals in combination with an independent failure of another block ?]]="Yes",(1-Table26[[#This Row],[Failure mode coverage with respect to latent failures]])*Table26[[#This Row],[Failure mode rate]], 0)</calculatedColumnFormula>
    </tableColumn>
    <tableColumn id="21" xr3:uid="{00000000-0010-0000-0500-000015000000}" name="Comments" dataDxfId="5" totalsRowDxfId="4"/>
    <tableColumn id="25" xr3:uid="{00000000-0010-0000-0500-000019000000}" name="SR" dataDxfId="3" totalsRowDxfId="2">
      <calculatedColumnFormula>IF(Table26[[#This Row],[Failure mode that has the potential to violate the safety goal in absence of safety mechanism?]]="Yes", "Yes", IF(Table26[[#This Row],[Failure mode that may lead to the violation of safety goals in combination with an independent failure of another block ?]]="Yes", "Yes", "No"))</calculatedColumnFormula>
    </tableColumn>
    <tableColumn id="26" xr3:uid="{00000000-0010-0000-0500-00001A000000}" name="λSR" totalsRowFunction="sum" dataDxfId="1" totalsRowDxfId="0">
      <calculatedColumnFormula>IF(Table26[[#This Row],[SR]]="Yes",Table26[[#This Row],[λ]], 0)</calculatedColumnFormula>
    </tableColumn>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 Id="rId6" Type="http://schemas.openxmlformats.org/officeDocument/2006/relationships/oleObject" Target="../embeddings/Microsoft_Visio_2003-2010_Drawing1.vsd"/><Relationship Id="rId5" Type="http://schemas.openxmlformats.org/officeDocument/2006/relationships/image" Target="../media/image9.emf"/><Relationship Id="rId4" Type="http://schemas.openxmlformats.org/officeDocument/2006/relationships/oleObject" Target="../embeddings/Microsoft_Visio_2003-2010_Drawing.vsd"/></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5.vml"/><Relationship Id="rId1" Type="http://schemas.openxmlformats.org/officeDocument/2006/relationships/printerSettings" Target="../printerSettings/printerSettings8.bin"/><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vmlDrawing" Target="../drawings/vmlDrawing6.vml"/><Relationship Id="rId1" Type="http://schemas.openxmlformats.org/officeDocument/2006/relationships/printerSettings" Target="../printerSettings/printerSettings9.bin"/><Relationship Id="rId4" Type="http://schemas.openxmlformats.org/officeDocument/2006/relationships/comments" Target="../comments5.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4.xml"/><Relationship Id="rId1" Type="http://schemas.openxmlformats.org/officeDocument/2006/relationships/printerSettings" Target="../printerSettings/printerSettings10.bin"/><Relationship Id="rId4"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pageSetUpPr fitToPage="1"/>
  </sheetPr>
  <dimension ref="A1:I24"/>
  <sheetViews>
    <sheetView showGridLines="0" topLeftCell="A16" zoomScale="90" zoomScaleNormal="90" workbookViewId="0">
      <selection activeCell="I13" sqref="I13"/>
    </sheetView>
  </sheetViews>
  <sheetFormatPr defaultColWidth="8.88671875" defaultRowHeight="14.4"/>
  <cols>
    <col min="1" max="1" width="2.33203125" style="37" customWidth="1"/>
    <col min="2" max="2" width="12.6640625" style="37" customWidth="1"/>
    <col min="3" max="3" width="23.88671875" style="37" customWidth="1"/>
    <col min="4" max="4" width="10.6640625" style="37" customWidth="1"/>
    <col min="5" max="5" width="25.5546875" style="37" customWidth="1"/>
    <col min="6" max="6" width="19.6640625" style="37" customWidth="1"/>
    <col min="7" max="7" width="1.33203125" style="37" customWidth="1"/>
    <col min="8" max="16384" width="8.88671875" style="37"/>
  </cols>
  <sheetData>
    <row r="1" spans="2:6" ht="45" customHeight="1">
      <c r="B1" s="350" t="s">
        <v>539</v>
      </c>
      <c r="C1" s="350"/>
      <c r="D1" s="350"/>
      <c r="E1" s="350"/>
      <c r="F1" s="36"/>
    </row>
    <row r="2" spans="2:6" ht="31.95" customHeight="1"/>
    <row r="3" spans="2:6" s="39" customFormat="1" ht="18" customHeight="1" thickBot="1">
      <c r="B3" s="38" t="s">
        <v>248</v>
      </c>
    </row>
    <row r="4" spans="2:6" s="39" customFormat="1" ht="18" customHeight="1">
      <c r="B4" s="351" t="s">
        <v>383</v>
      </c>
      <c r="C4" s="352"/>
      <c r="D4" s="353" t="s">
        <v>539</v>
      </c>
      <c r="E4" s="353"/>
      <c r="F4" s="354"/>
    </row>
    <row r="5" spans="2:6" s="179" customFormat="1" ht="27.75" customHeight="1">
      <c r="B5" s="358" t="s">
        <v>385</v>
      </c>
      <c r="C5" s="359"/>
      <c r="D5" s="355" t="s">
        <v>598</v>
      </c>
      <c r="E5" s="356"/>
      <c r="F5" s="357"/>
    </row>
    <row r="6" spans="2:6" s="180" customFormat="1" ht="18" customHeight="1">
      <c r="B6" s="358" t="s">
        <v>387</v>
      </c>
      <c r="C6" s="359"/>
      <c r="D6" s="355" t="s">
        <v>599</v>
      </c>
      <c r="E6" s="356"/>
      <c r="F6" s="357"/>
    </row>
    <row r="7" spans="2:6" s="39" customFormat="1" ht="18" customHeight="1">
      <c r="B7" s="346" t="s">
        <v>382</v>
      </c>
      <c r="C7" s="347"/>
      <c r="D7" s="348" t="s">
        <v>1144</v>
      </c>
      <c r="E7" s="348"/>
      <c r="F7" s="349"/>
    </row>
    <row r="8" spans="2:6" s="39" customFormat="1" ht="18" customHeight="1">
      <c r="B8" s="346" t="s">
        <v>250</v>
      </c>
      <c r="C8" s="347"/>
      <c r="D8" s="348" t="s">
        <v>1085</v>
      </c>
      <c r="E8" s="348"/>
      <c r="F8" s="349"/>
    </row>
    <row r="9" spans="2:6" s="39" customFormat="1" ht="18" customHeight="1">
      <c r="B9" s="346" t="s">
        <v>251</v>
      </c>
      <c r="C9" s="347"/>
      <c r="D9" s="348" t="s">
        <v>548</v>
      </c>
      <c r="E9" s="348"/>
      <c r="F9" s="349"/>
    </row>
    <row r="10" spans="2:6" s="39" customFormat="1" ht="18" customHeight="1">
      <c r="B10" s="346" t="s">
        <v>252</v>
      </c>
      <c r="C10" s="347"/>
      <c r="D10" s="348" t="s">
        <v>308</v>
      </c>
      <c r="E10" s="348"/>
      <c r="F10" s="349"/>
    </row>
    <row r="11" spans="2:6" s="39" customFormat="1" ht="18" customHeight="1">
      <c r="B11" s="346" t="s">
        <v>253</v>
      </c>
      <c r="C11" s="347"/>
      <c r="D11" s="348" t="s">
        <v>1086</v>
      </c>
      <c r="E11" s="348"/>
      <c r="F11" s="349"/>
    </row>
    <row r="12" spans="2:6" s="39" customFormat="1" ht="18" customHeight="1" thickBot="1">
      <c r="B12" s="360" t="s">
        <v>278</v>
      </c>
      <c r="C12" s="361"/>
      <c r="D12" s="362">
        <v>42982</v>
      </c>
      <c r="E12" s="363"/>
      <c r="F12" s="364"/>
    </row>
    <row r="13" spans="2:6" s="39" customFormat="1" ht="31.95" customHeight="1"/>
    <row r="14" spans="2:6" s="39" customFormat="1" ht="18" customHeight="1" thickBot="1">
      <c r="B14" s="40" t="s">
        <v>254</v>
      </c>
    </row>
    <row r="15" spans="2:6" s="56" customFormat="1" ht="18" customHeight="1">
      <c r="B15" s="365"/>
      <c r="C15" s="367" t="s">
        <v>255</v>
      </c>
      <c r="D15" s="369" t="s">
        <v>256</v>
      </c>
      <c r="E15" s="369" t="s">
        <v>257</v>
      </c>
      <c r="F15" s="371" t="s">
        <v>279</v>
      </c>
    </row>
    <row r="16" spans="2:6" s="56" customFormat="1" ht="18" customHeight="1" thickBot="1">
      <c r="B16" s="366"/>
      <c r="C16" s="368"/>
      <c r="D16" s="370"/>
      <c r="E16" s="370"/>
      <c r="F16" s="372"/>
    </row>
    <row r="17" spans="1:9" s="181" customFormat="1" ht="18" customHeight="1">
      <c r="B17" s="304" t="s">
        <v>258</v>
      </c>
      <c r="C17" s="305" t="s">
        <v>389</v>
      </c>
      <c r="D17" s="291" t="s">
        <v>394</v>
      </c>
      <c r="E17" s="305" t="s">
        <v>1089</v>
      </c>
      <c r="F17" s="292">
        <v>42614</v>
      </c>
    </row>
    <row r="18" spans="1:9" s="181" customFormat="1" ht="18" customHeight="1">
      <c r="B18" s="302" t="s">
        <v>391</v>
      </c>
      <c r="C18" s="303" t="s">
        <v>390</v>
      </c>
      <c r="D18" s="285" t="s">
        <v>395</v>
      </c>
      <c r="E18" s="303" t="s">
        <v>393</v>
      </c>
      <c r="F18" s="293">
        <v>42608</v>
      </c>
    </row>
    <row r="19" spans="1:9" s="181" customFormat="1" ht="18" customHeight="1">
      <c r="B19" s="302" t="s">
        <v>392</v>
      </c>
      <c r="C19" s="303" t="s">
        <v>375</v>
      </c>
      <c r="D19" s="285" t="s">
        <v>396</v>
      </c>
      <c r="E19" s="303" t="s">
        <v>1089</v>
      </c>
      <c r="F19" s="293">
        <v>42614</v>
      </c>
    </row>
    <row r="20" spans="1:9" s="288" customFormat="1" ht="18" customHeight="1">
      <c r="B20" s="302" t="s">
        <v>1095</v>
      </c>
      <c r="C20" s="303" t="s">
        <v>1091</v>
      </c>
      <c r="D20" s="285" t="s">
        <v>1093</v>
      </c>
      <c r="E20" s="303" t="s">
        <v>1090</v>
      </c>
      <c r="F20" s="293">
        <v>42608</v>
      </c>
    </row>
    <row r="21" spans="1:9" s="39" customFormat="1" ht="18" customHeight="1" thickBot="1">
      <c r="B21" s="300" t="s">
        <v>275</v>
      </c>
      <c r="C21" s="301" t="s">
        <v>259</v>
      </c>
      <c r="D21" s="286" t="s">
        <v>260</v>
      </c>
      <c r="E21" s="301" t="s">
        <v>261</v>
      </c>
      <c r="F21" s="287">
        <v>42614</v>
      </c>
    </row>
    <row r="22" spans="1:9" ht="32.1" customHeight="1">
      <c r="B22" s="39"/>
    </row>
    <row r="23" spans="1:9" s="193" customFormat="1" ht="18" customHeight="1">
      <c r="A23" s="289"/>
      <c r="B23" s="290" t="s">
        <v>1087</v>
      </c>
      <c r="C23" s="289"/>
      <c r="D23" s="289"/>
      <c r="E23" s="289"/>
      <c r="F23" s="289"/>
      <c r="G23" s="289"/>
      <c r="H23" s="289"/>
      <c r="I23" s="289"/>
    </row>
    <row r="24" spans="1:9" s="193" customFormat="1" ht="18" customHeight="1">
      <c r="A24" s="289"/>
      <c r="B24" s="289" t="s">
        <v>1088</v>
      </c>
      <c r="C24" s="289"/>
      <c r="D24" s="289"/>
      <c r="E24" s="289"/>
      <c r="F24" s="289"/>
      <c r="G24" s="289"/>
      <c r="H24" s="289"/>
      <c r="I24" s="289"/>
    </row>
  </sheetData>
  <sheetProtection algorithmName="SHA-512" hashValue="zwZvxJpwFqMAWbF7bJPgFLXf38+RIDX+MsfzZKhL0RsMTjsve4Xfyuo65o8NyUWBRxV2FDI06bPKe6VGfi0pgg==" saltValue="+y+IBG14gyD8hDWnikzjVg==" spinCount="100000" sheet="1" objects="1" scenarios="1"/>
  <mergeCells count="24">
    <mergeCell ref="B12:C12"/>
    <mergeCell ref="D12:F12"/>
    <mergeCell ref="B15:B16"/>
    <mergeCell ref="C15:C16"/>
    <mergeCell ref="D15:D16"/>
    <mergeCell ref="E15:E16"/>
    <mergeCell ref="F15:F16"/>
    <mergeCell ref="B9:C9"/>
    <mergeCell ref="D9:F9"/>
    <mergeCell ref="B10:C10"/>
    <mergeCell ref="D10:F10"/>
    <mergeCell ref="B11:C11"/>
    <mergeCell ref="D11:F11"/>
    <mergeCell ref="B8:C8"/>
    <mergeCell ref="D8:F8"/>
    <mergeCell ref="B1:E1"/>
    <mergeCell ref="B4:C4"/>
    <mergeCell ref="D4:F4"/>
    <mergeCell ref="B7:C7"/>
    <mergeCell ref="D7:F7"/>
    <mergeCell ref="D5:F5"/>
    <mergeCell ref="B5:C5"/>
    <mergeCell ref="B6:C6"/>
    <mergeCell ref="D6:F6"/>
  </mergeCells>
  <phoneticPr fontId="69" type="noConversion"/>
  <printOptions horizontalCentered="1"/>
  <pageMargins left="0.25" right="0.25"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dimension ref="B1:E23"/>
  <sheetViews>
    <sheetView zoomScale="90" zoomScaleNormal="90" workbookViewId="0">
      <selection activeCell="E16" sqref="E16"/>
    </sheetView>
  </sheetViews>
  <sheetFormatPr defaultColWidth="9.109375" defaultRowHeight="13.2"/>
  <cols>
    <col min="1" max="1" width="2.6640625" style="137" customWidth="1"/>
    <col min="2" max="2" width="9" style="137" customWidth="1"/>
    <col min="3" max="3" width="11" style="137" bestFit="1" customWidth="1"/>
    <col min="4" max="4" width="22.6640625" style="137" bestFit="1" customWidth="1"/>
    <col min="5" max="5" width="75.6640625" style="137" customWidth="1"/>
    <col min="6" max="16384" width="9.109375" style="137"/>
  </cols>
  <sheetData>
    <row r="1" spans="2:5" ht="13.8" thickBot="1"/>
    <row r="2" spans="2:5" ht="30" customHeight="1" thickBot="1">
      <c r="B2" s="373" t="s">
        <v>609</v>
      </c>
      <c r="C2" s="374"/>
      <c r="D2" s="374"/>
      <c r="E2" s="375"/>
    </row>
    <row r="3" spans="2:5" ht="30" customHeight="1" thickBot="1">
      <c r="B3" s="134" t="s">
        <v>249</v>
      </c>
      <c r="C3" s="135" t="s">
        <v>276</v>
      </c>
      <c r="D3" s="135" t="s">
        <v>277</v>
      </c>
      <c r="E3" s="136" t="s">
        <v>280</v>
      </c>
    </row>
    <row r="4" spans="2:5" ht="15" customHeight="1">
      <c r="B4" s="164">
        <v>0.1</v>
      </c>
      <c r="C4" s="87">
        <v>42280</v>
      </c>
      <c r="D4" s="86" t="s">
        <v>308</v>
      </c>
      <c r="E4" s="165" t="s">
        <v>428</v>
      </c>
    </row>
    <row r="5" spans="2:5" ht="26.4">
      <c r="B5" s="138">
        <v>0.2</v>
      </c>
      <c r="C5" s="85">
        <v>42311</v>
      </c>
      <c r="D5" s="307" t="s">
        <v>308</v>
      </c>
      <c r="E5" s="84" t="s">
        <v>526</v>
      </c>
    </row>
    <row r="6" spans="2:5" ht="52.8">
      <c r="B6" s="138">
        <v>0.3</v>
      </c>
      <c r="C6" s="85" t="s">
        <v>549</v>
      </c>
      <c r="D6" s="307" t="s">
        <v>308</v>
      </c>
      <c r="E6" s="84" t="s">
        <v>545</v>
      </c>
    </row>
    <row r="7" spans="2:5">
      <c r="B7" s="138">
        <v>0.4</v>
      </c>
      <c r="C7" s="85">
        <v>42190</v>
      </c>
      <c r="D7" s="307" t="s">
        <v>308</v>
      </c>
      <c r="E7" s="84" t="s">
        <v>550</v>
      </c>
    </row>
    <row r="8" spans="2:5">
      <c r="B8" s="138">
        <v>0.5</v>
      </c>
      <c r="C8" s="85">
        <v>42041</v>
      </c>
      <c r="D8" s="307" t="s">
        <v>308</v>
      </c>
      <c r="E8" s="163" t="s">
        <v>551</v>
      </c>
    </row>
    <row r="9" spans="2:5" ht="39.6">
      <c r="B9" s="138">
        <v>0.6</v>
      </c>
      <c r="C9" s="85">
        <v>42069</v>
      </c>
      <c r="D9" s="307" t="s">
        <v>308</v>
      </c>
      <c r="E9" s="163" t="s">
        <v>602</v>
      </c>
    </row>
    <row r="10" spans="2:5">
      <c r="B10" s="138">
        <v>0.7</v>
      </c>
      <c r="C10" s="85">
        <v>42499</v>
      </c>
      <c r="D10" s="307" t="s">
        <v>308</v>
      </c>
      <c r="E10" s="163" t="s">
        <v>1067</v>
      </c>
    </row>
    <row r="11" spans="2:5">
      <c r="B11" s="295" t="s">
        <v>1092</v>
      </c>
      <c r="C11" s="294">
        <v>42608</v>
      </c>
      <c r="D11" s="308" t="s">
        <v>308</v>
      </c>
      <c r="E11" s="309" t="s">
        <v>1124</v>
      </c>
    </row>
    <row r="12" spans="2:5">
      <c r="B12" s="311">
        <v>1.1000000000000001</v>
      </c>
      <c r="C12" s="310">
        <v>42639</v>
      </c>
      <c r="D12" s="307" t="s">
        <v>308</v>
      </c>
      <c r="E12" s="163" t="s">
        <v>1125</v>
      </c>
    </row>
    <row r="13" spans="2:5">
      <c r="B13" s="312">
        <v>1.2</v>
      </c>
      <c r="C13" s="310">
        <v>42676</v>
      </c>
      <c r="D13" s="314" t="s">
        <v>308</v>
      </c>
      <c r="E13" s="309" t="s">
        <v>1132</v>
      </c>
    </row>
    <row r="14" spans="2:5" ht="26.4">
      <c r="B14" s="312">
        <v>1.3</v>
      </c>
      <c r="C14" s="313">
        <v>42982</v>
      </c>
      <c r="D14" s="335" t="s">
        <v>308</v>
      </c>
      <c r="E14" s="309" t="s">
        <v>1143</v>
      </c>
    </row>
    <row r="15" spans="2:5" ht="15" customHeight="1" thickBot="1">
      <c r="B15" s="139"/>
      <c r="C15" s="140"/>
      <c r="D15" s="140"/>
      <c r="E15" s="162"/>
    </row>
    <row r="16" spans="2:5" ht="15" customHeight="1"/>
    <row r="17" spans="2:5" ht="15" customHeight="1" thickBot="1"/>
    <row r="18" spans="2:5" ht="30" customHeight="1" thickBot="1">
      <c r="B18" s="373" t="s">
        <v>608</v>
      </c>
      <c r="C18" s="374"/>
      <c r="D18" s="374"/>
      <c r="E18" s="375"/>
    </row>
    <row r="19" spans="2:5" ht="30" customHeight="1" thickBot="1">
      <c r="B19" s="380" t="s">
        <v>606</v>
      </c>
      <c r="C19" s="381"/>
      <c r="D19" s="297" t="s">
        <v>607</v>
      </c>
      <c r="E19" s="298" t="s">
        <v>603</v>
      </c>
    </row>
    <row r="20" spans="2:5" ht="15" customHeight="1">
      <c r="B20" s="382" t="s">
        <v>604</v>
      </c>
      <c r="C20" s="383"/>
      <c r="D20" s="306" t="s">
        <v>1110</v>
      </c>
      <c r="E20" s="296" t="s">
        <v>614</v>
      </c>
    </row>
    <row r="21" spans="2:5">
      <c r="B21" s="384" t="s">
        <v>605</v>
      </c>
      <c r="C21" s="385"/>
      <c r="D21" s="284" t="s">
        <v>1110</v>
      </c>
      <c r="E21" s="163" t="s">
        <v>1083</v>
      </c>
    </row>
    <row r="22" spans="2:5">
      <c r="B22" s="378" t="s">
        <v>610</v>
      </c>
      <c r="C22" s="379"/>
      <c r="D22" s="284" t="s">
        <v>1126</v>
      </c>
      <c r="E22" s="163" t="s">
        <v>1082</v>
      </c>
    </row>
    <row r="23" spans="2:5" ht="15.75" customHeight="1" thickBot="1">
      <c r="B23" s="376"/>
      <c r="C23" s="377"/>
      <c r="D23" s="282"/>
      <c r="E23" s="283"/>
    </row>
  </sheetData>
  <sheetProtection algorithmName="SHA-512" hashValue="bX7SBUW/3ZAzkRxeTDvMPN4qdobS4pO0Mme2RV/93oobNklfvJg26oYUQDeALj69oRuj9TFbZJsZtBhqYqLw3Q==" saltValue="LMjLUjAOjTLX5qWPLPW64w==" spinCount="100000" sheet="1" objects="1" scenarios="1"/>
  <mergeCells count="7">
    <mergeCell ref="B18:E18"/>
    <mergeCell ref="B2:E2"/>
    <mergeCell ref="B23:C23"/>
    <mergeCell ref="B22:C22"/>
    <mergeCell ref="B19:C19"/>
    <mergeCell ref="B20:C20"/>
    <mergeCell ref="B21:C21"/>
  </mergeCells>
  <phoneticPr fontId="69" type="noConversion"/>
  <pageMargins left="0.7" right="0.7" top="0.75" bottom="0.75" header="0.3" footer="0.3"/>
  <pageSetup paperSize="9" orientation="portrait" verticalDpi="0" r:id="rId1"/>
  <ignoredErrors>
    <ignoredError sqref="D20:D22 B11"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dimension ref="A1:M206"/>
  <sheetViews>
    <sheetView topLeftCell="A196" zoomScale="90" zoomScaleNormal="90" workbookViewId="0">
      <selection activeCell="J35" sqref="J35"/>
    </sheetView>
  </sheetViews>
  <sheetFormatPr defaultColWidth="9.109375" defaultRowHeight="13.2"/>
  <cols>
    <col min="1" max="1" width="9.109375" style="60"/>
    <col min="2" max="2" width="21.109375" style="60" customWidth="1"/>
    <col min="3" max="3" width="24.88671875" style="60" customWidth="1"/>
    <col min="4" max="4" width="30.6640625" style="60" customWidth="1"/>
    <col min="5" max="6" width="0" style="60" hidden="1" customWidth="1"/>
    <col min="7" max="7" width="30.6640625" style="60" customWidth="1"/>
    <col min="8" max="8" width="18" style="60" customWidth="1"/>
    <col min="9" max="9" width="20.5546875" style="60" customWidth="1"/>
    <col min="10" max="10" width="16.33203125" style="60" customWidth="1"/>
    <col min="11" max="11" width="16.44140625" style="60" customWidth="1"/>
    <col min="12" max="12" width="16" style="60" customWidth="1"/>
    <col min="13" max="13" width="15.6640625" style="60" customWidth="1"/>
    <col min="14" max="16384" width="9.109375" style="60"/>
  </cols>
  <sheetData>
    <row r="1" spans="2:3" s="142" customFormat="1"/>
    <row r="3" spans="2:3">
      <c r="B3" s="60" t="s">
        <v>455</v>
      </c>
    </row>
    <row r="4" spans="2:3">
      <c r="B4" s="60" t="s">
        <v>456</v>
      </c>
    </row>
    <row r="5" spans="2:3">
      <c r="B5" s="60" t="s">
        <v>546</v>
      </c>
    </row>
    <row r="7" spans="2:3" s="142" customFormat="1"/>
    <row r="8" spans="2:3" s="61" customFormat="1"/>
    <row r="9" spans="2:3" s="61" customFormat="1" ht="15.6">
      <c r="B9" s="386" t="s">
        <v>296</v>
      </c>
      <c r="C9" s="386"/>
    </row>
    <row r="10" spans="2:3" s="61" customFormat="1"/>
    <row r="11" spans="2:3" s="61" customFormat="1"/>
    <row r="12" spans="2:3" s="61" customFormat="1"/>
    <row r="13" spans="2:3" s="61" customFormat="1"/>
    <row r="14" spans="2:3" s="61" customFormat="1"/>
    <row r="15" spans="2:3" s="61" customFormat="1"/>
    <row r="16" spans="2:3" s="61" customFormat="1"/>
    <row r="17" spans="2:3" s="61" customFormat="1"/>
    <row r="18" spans="2:3" s="61" customFormat="1"/>
    <row r="19" spans="2:3" s="61" customFormat="1"/>
    <row r="20" spans="2:3" s="61" customFormat="1"/>
    <row r="21" spans="2:3" s="61" customFormat="1"/>
    <row r="22" spans="2:3" s="61" customFormat="1"/>
    <row r="23" spans="2:3" s="61" customFormat="1"/>
    <row r="24" spans="2:3" s="142" customFormat="1"/>
    <row r="25" spans="2:3" s="61" customFormat="1"/>
    <row r="26" spans="2:3" ht="15.6">
      <c r="B26" s="386" t="s">
        <v>78</v>
      </c>
      <c r="C26" s="386"/>
    </row>
    <row r="27" spans="2:3">
      <c r="B27" s="62"/>
    </row>
    <row r="28" spans="2:3">
      <c r="B28" s="60" t="s">
        <v>457</v>
      </c>
    </row>
    <row r="29" spans="2:3">
      <c r="B29" s="60" t="s">
        <v>265</v>
      </c>
    </row>
    <row r="30" spans="2:3">
      <c r="B30" s="60" t="s">
        <v>458</v>
      </c>
    </row>
    <row r="31" spans="2:3" s="65" customFormat="1">
      <c r="B31" s="65" t="s">
        <v>459</v>
      </c>
    </row>
    <row r="32" spans="2:3">
      <c r="B32" s="60" t="s">
        <v>460</v>
      </c>
    </row>
    <row r="33" spans="1:13">
      <c r="B33" s="63"/>
    </row>
    <row r="34" spans="1:13" s="56" customFormat="1" ht="35.1" customHeight="1" thickBot="1">
      <c r="B34" s="41" t="s">
        <v>0</v>
      </c>
      <c r="C34" s="41" t="s">
        <v>266</v>
      </c>
      <c r="D34" s="41" t="s">
        <v>2</v>
      </c>
      <c r="E34" s="42" t="s">
        <v>77</v>
      </c>
      <c r="F34" s="41" t="s">
        <v>78</v>
      </c>
      <c r="G34" s="43" t="s">
        <v>271</v>
      </c>
    </row>
    <row r="35" spans="1:13" s="57" customFormat="1" ht="69.900000000000006" customHeight="1" thickTop="1">
      <c r="A35" s="57" t="s">
        <v>263</v>
      </c>
      <c r="B35" s="58" t="s">
        <v>264</v>
      </c>
      <c r="C35" s="48" t="s">
        <v>3</v>
      </c>
      <c r="D35" s="44">
        <f>'Block Failure Rate'!D4</f>
        <v>0.16701097482246607</v>
      </c>
      <c r="E35" s="45">
        <v>1.86</v>
      </c>
      <c r="F35" s="46">
        <v>1.86</v>
      </c>
      <c r="G35" s="47">
        <f>'Block Failure Rate'!E4</f>
        <v>8.9517882504841815</v>
      </c>
    </row>
    <row r="37" spans="1:13">
      <c r="B37" s="387" t="s">
        <v>449</v>
      </c>
      <c r="C37" s="387"/>
      <c r="H37" s="60" t="s">
        <v>450</v>
      </c>
      <c r="M37" s="60" t="s">
        <v>502</v>
      </c>
    </row>
    <row r="39" spans="1:13" ht="14.4">
      <c r="B39"/>
    </row>
    <row r="45" spans="1:13">
      <c r="K45" s="63"/>
    </row>
    <row r="46" spans="1:13">
      <c r="K46" s="63"/>
    </row>
    <row r="86" spans="1:13" s="142" customFormat="1"/>
    <row r="87" spans="1:13" s="61" customFormat="1"/>
    <row r="88" spans="1:13" ht="15.6">
      <c r="B88" s="386" t="s">
        <v>615</v>
      </c>
      <c r="C88" s="386"/>
    </row>
    <row r="89" spans="1:13">
      <c r="B89" s="62"/>
    </row>
    <row r="90" spans="1:13">
      <c r="B90" s="60" t="s">
        <v>617</v>
      </c>
    </row>
    <row r="91" spans="1:13" ht="14.25" customHeight="1">
      <c r="B91" s="60" t="s">
        <v>616</v>
      </c>
      <c r="K91" s="64"/>
    </row>
    <row r="92" spans="1:13" ht="14.25" customHeight="1">
      <c r="B92" s="60" t="s">
        <v>461</v>
      </c>
      <c r="K92" s="64"/>
    </row>
    <row r="93" spans="1:13" ht="14.25" customHeight="1">
      <c r="K93" s="64"/>
      <c r="L93" s="64"/>
      <c r="M93" s="64"/>
    </row>
    <row r="94" spans="1:13" s="56" customFormat="1" ht="35.1" customHeight="1" thickBot="1">
      <c r="B94" s="132" t="s">
        <v>490</v>
      </c>
      <c r="C94" s="182" t="s">
        <v>443</v>
      </c>
      <c r="D94" s="182" t="s">
        <v>547</v>
      </c>
      <c r="E94" s="43"/>
      <c r="F94" s="41"/>
      <c r="G94" s="182" t="s">
        <v>178</v>
      </c>
      <c r="H94" s="182" t="s">
        <v>439</v>
      </c>
      <c r="I94" s="183" t="s">
        <v>378</v>
      </c>
      <c r="K94" s="64"/>
    </row>
    <row r="95" spans="1:13" s="64" customFormat="1" ht="72.599999999999994" thickTop="1">
      <c r="A95" s="57" t="s">
        <v>263</v>
      </c>
      <c r="B95" s="48" t="str">
        <f>'Safety Functions'!A4</f>
        <v>FS6500_SAF37</v>
      </c>
      <c r="C95" s="186" t="str">
        <f>'Safety Functions'!C4</f>
        <v>Operation mode</v>
      </c>
      <c r="D95" s="184" t="str">
        <f>'Safety Functions'!D4</f>
        <v>The failure modes considered for a voltage regulator (linear or DCDC converter) is the “over-voltage” and the “under-voltage”</v>
      </c>
      <c r="E95" s="59"/>
      <c r="F95" s="48"/>
      <c r="G95" s="185" t="str">
        <f>'Safety Functions'!E4</f>
        <v>An over voltage at Vcore Pin not detected could involved a MCU damage leading abnormal behavior leading the violation of system safety goals</v>
      </c>
      <c r="H95" s="186" t="str">
        <f>'Safety Functions'!F4</f>
        <v>SM1, SM2, SM3</v>
      </c>
      <c r="I95" s="187" t="str">
        <f>'Safety Functions'!G4</f>
        <v>SPF</v>
      </c>
    </row>
    <row r="98" spans="1:9" s="142" customFormat="1"/>
    <row r="99" spans="1:9" s="61" customFormat="1"/>
    <row r="100" spans="1:9" ht="15.6">
      <c r="B100" s="386" t="s">
        <v>262</v>
      </c>
      <c r="C100" s="386"/>
    </row>
    <row r="102" spans="1:9">
      <c r="B102" s="60" t="s">
        <v>269</v>
      </c>
    </row>
    <row r="103" spans="1:9">
      <c r="B103" s="60" t="s">
        <v>1084</v>
      </c>
    </row>
    <row r="104" spans="1:9">
      <c r="B104" s="60" t="s">
        <v>270</v>
      </c>
    </row>
    <row r="105" spans="1:9">
      <c r="B105" s="60" t="s">
        <v>272</v>
      </c>
    </row>
    <row r="107" spans="1:9" ht="35.1" customHeight="1" thickBot="1">
      <c r="B107" s="41" t="s">
        <v>57</v>
      </c>
      <c r="C107" s="49" t="s">
        <v>16</v>
      </c>
      <c r="D107" s="41" t="s">
        <v>281</v>
      </c>
      <c r="E107" s="41" t="s">
        <v>39</v>
      </c>
      <c r="F107" s="41" t="s">
        <v>60</v>
      </c>
      <c r="G107" s="50" t="s">
        <v>39</v>
      </c>
      <c r="H107" s="50" t="s">
        <v>60</v>
      </c>
      <c r="I107" s="51" t="s">
        <v>268</v>
      </c>
    </row>
    <row r="108" spans="1:9" ht="45" customHeight="1" thickTop="1">
      <c r="A108" s="56" t="s">
        <v>263</v>
      </c>
      <c r="B108" s="52" t="str">
        <f>'Safety Mechanisms'!A3</f>
        <v>SM1</v>
      </c>
      <c r="C108" s="53" t="str">
        <f>'Safety Mechanisms'!B3</f>
        <v>Voltage supervisor (Monitoring of voltage)
Overvoltage detection</v>
      </c>
      <c r="D108" s="52" t="str">
        <f>'Safety Mechanisms'!C3</f>
        <v>D.2.8.2</v>
      </c>
      <c r="E108" s="52" t="s">
        <v>56</v>
      </c>
      <c r="F108" s="54" t="s">
        <v>35</v>
      </c>
      <c r="G108" s="55" t="str">
        <f>'Safety Mechanisms'!D3</f>
        <v>High</v>
      </c>
      <c r="H108" s="55" t="str">
        <f>'Safety Mechanisms'!E3</f>
        <v>Yes</v>
      </c>
      <c r="I108" s="55">
        <f>'Safety Mechanisms'!F3</f>
        <v>0.99</v>
      </c>
    </row>
    <row r="112" spans="1:9">
      <c r="B112" s="387" t="s">
        <v>282</v>
      </c>
      <c r="C112" s="387"/>
    </row>
    <row r="120" spans="2:3" s="66" customFormat="1"/>
    <row r="122" spans="2:3" ht="15.6">
      <c r="B122" s="386" t="s">
        <v>552</v>
      </c>
      <c r="C122" s="386"/>
    </row>
    <row r="124" spans="2:3">
      <c r="B124" s="60" t="s">
        <v>553</v>
      </c>
    </row>
    <row r="126" spans="2:3">
      <c r="B126" s="60" t="s">
        <v>554</v>
      </c>
    </row>
    <row r="127" spans="2:3">
      <c r="B127" s="60" t="s">
        <v>555</v>
      </c>
    </row>
    <row r="128" spans="2:3">
      <c r="B128" s="60" t="s">
        <v>556</v>
      </c>
    </row>
    <row r="129" spans="2:7">
      <c r="B129" s="60" t="s">
        <v>557</v>
      </c>
    </row>
    <row r="130" spans="2:7">
      <c r="B130" s="60" t="s">
        <v>558</v>
      </c>
      <c r="C130" s="65"/>
      <c r="D130" s="65"/>
      <c r="E130" s="65"/>
      <c r="F130" s="65"/>
      <c r="G130" s="65"/>
    </row>
    <row r="131" spans="2:7">
      <c r="C131" s="65"/>
      <c r="D131" s="65"/>
      <c r="E131" s="65"/>
      <c r="F131" s="65"/>
      <c r="G131" s="65"/>
    </row>
    <row r="132" spans="2:7">
      <c r="B132" s="60" t="s">
        <v>561</v>
      </c>
    </row>
    <row r="134" spans="2:7">
      <c r="B134" s="60" t="s">
        <v>560</v>
      </c>
    </row>
    <row r="136" spans="2:7">
      <c r="B136" s="60" t="s">
        <v>559</v>
      </c>
    </row>
    <row r="182" spans="2:3" s="142" customFormat="1"/>
    <row r="184" spans="2:3" ht="15.6">
      <c r="B184" s="386" t="s">
        <v>295</v>
      </c>
      <c r="C184" s="386"/>
    </row>
    <row r="186" spans="2:3">
      <c r="B186" s="60" t="s">
        <v>287</v>
      </c>
    </row>
    <row r="187" spans="2:3">
      <c r="B187" s="60" t="s">
        <v>289</v>
      </c>
    </row>
    <row r="188" spans="2:3">
      <c r="B188" s="60" t="s">
        <v>467</v>
      </c>
    </row>
    <row r="189" spans="2:3">
      <c r="B189" s="60" t="s">
        <v>468</v>
      </c>
    </row>
    <row r="190" spans="2:3">
      <c r="B190" s="60" t="s">
        <v>469</v>
      </c>
    </row>
    <row r="192" spans="2:3">
      <c r="B192" s="60" t="s">
        <v>288</v>
      </c>
    </row>
    <row r="193" spans="2:2">
      <c r="B193" s="60" t="s">
        <v>290</v>
      </c>
    </row>
    <row r="194" spans="2:2">
      <c r="B194" s="60" t="s">
        <v>470</v>
      </c>
    </row>
    <row r="196" spans="2:2">
      <c r="B196" s="60" t="s">
        <v>291</v>
      </c>
    </row>
    <row r="197" spans="2:2">
      <c r="B197" s="60" t="s">
        <v>293</v>
      </c>
    </row>
    <row r="198" spans="2:2">
      <c r="B198" s="60" t="s">
        <v>471</v>
      </c>
    </row>
    <row r="200" spans="2:2">
      <c r="B200" s="60" t="s">
        <v>294</v>
      </c>
    </row>
    <row r="201" spans="2:2">
      <c r="B201" s="60" t="s">
        <v>471</v>
      </c>
    </row>
    <row r="203" spans="2:2">
      <c r="B203" s="60" t="s">
        <v>292</v>
      </c>
    </row>
    <row r="204" spans="2:2">
      <c r="B204" s="60" t="s">
        <v>472</v>
      </c>
    </row>
    <row r="206" spans="2:2" s="66" customFormat="1"/>
  </sheetData>
  <sheetProtection algorithmName="SHA-512" hashValue="SovXEOl1ALm7vJqYAfF7xMcyvJ1ChdlnNhBqsPZL7Vv5AosT2i1pP3Kqpyq1L9/MyJ1/Oo6nbca1BKK1KburJg==" saltValue="SXV1kPtSApfsML/xVo0q+Q==" spinCount="100000" sheet="1" objects="1" scenarios="1"/>
  <mergeCells count="8">
    <mergeCell ref="B9:C9"/>
    <mergeCell ref="B184:C184"/>
    <mergeCell ref="B37:C37"/>
    <mergeCell ref="B112:C112"/>
    <mergeCell ref="B26:C26"/>
    <mergeCell ref="B88:C88"/>
    <mergeCell ref="B100:C100"/>
    <mergeCell ref="B122:C122"/>
  </mergeCells>
  <phoneticPr fontId="69" type="noConversion"/>
  <conditionalFormatting sqref="F108">
    <cfRule type="cellIs" dxfId="1073" priority="17" operator="equal">
      <formula>"No"</formula>
    </cfRule>
    <cfRule type="cellIs" dxfId="1072" priority="18" operator="equal">
      <formula>"Yes"</formula>
    </cfRule>
  </conditionalFormatting>
  <dataValidations count="1">
    <dataValidation type="list" allowBlank="1" showInputMessage="1" showErrorMessage="1" sqref="F108" xr:uid="{00000000-0002-0000-0200-000000000000}">
      <formula1>"Yes, No"</formula1>
    </dataValidation>
  </dataValidations>
  <pageMargins left="0.7" right="0.7" top="0.75" bottom="0.75" header="0.3" footer="0.3"/>
  <pageSetup paperSize="9" orientation="portrait" verticalDpi="0"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V132"/>
  <sheetViews>
    <sheetView topLeftCell="A46" zoomScale="55" zoomScaleNormal="55" workbookViewId="0">
      <selection activeCell="M59" sqref="M59"/>
    </sheetView>
  </sheetViews>
  <sheetFormatPr defaultColWidth="9.109375" defaultRowHeight="14.4"/>
  <cols>
    <col min="2" max="2" width="13.33203125" customWidth="1"/>
    <col min="3" max="3" width="57" customWidth="1"/>
    <col min="4" max="7" width="18.6640625" customWidth="1"/>
    <col min="10" max="10" width="7.33203125" style="141" bestFit="1" customWidth="1"/>
    <col min="11" max="13" width="10.5546875" style="141" bestFit="1" customWidth="1"/>
  </cols>
  <sheetData>
    <row r="1" spans="3:22" s="116" customFormat="1">
      <c r="J1" s="141"/>
      <c r="K1" s="141"/>
      <c r="L1" s="141"/>
      <c r="M1" s="141"/>
    </row>
    <row r="2" spans="3:22" s="142" customFormat="1" ht="13.2">
      <c r="J2" s="76"/>
      <c r="K2" s="76"/>
      <c r="L2" s="76"/>
      <c r="M2" s="76"/>
    </row>
    <row r="3" spans="3:22" s="116" customFormat="1">
      <c r="J3" s="141"/>
      <c r="K3" s="141"/>
      <c r="L3" s="141"/>
      <c r="M3" s="141"/>
    </row>
    <row r="4" spans="3:22" s="116" customFormat="1" ht="15.6">
      <c r="C4" s="78" t="s">
        <v>314</v>
      </c>
      <c r="J4" s="141"/>
      <c r="K4" s="141"/>
      <c r="L4" s="141"/>
      <c r="M4" s="141"/>
    </row>
    <row r="5" spans="3:22" s="116" customFormat="1">
      <c r="J5" s="141"/>
      <c r="K5" s="141"/>
      <c r="L5" s="141"/>
      <c r="M5" s="141"/>
    </row>
    <row r="6" spans="3:22" s="116" customFormat="1">
      <c r="C6" s="83" t="s">
        <v>311</v>
      </c>
      <c r="J6" s="141"/>
      <c r="K6" s="141"/>
      <c r="L6" s="141"/>
      <c r="M6" s="141"/>
    </row>
    <row r="7" spans="3:22" s="116" customFormat="1" ht="44.25" customHeight="1">
      <c r="C7" s="82" t="s">
        <v>435</v>
      </c>
      <c r="J7" s="141"/>
      <c r="K7" s="141"/>
      <c r="L7" s="141"/>
      <c r="M7" s="141"/>
    </row>
    <row r="8" spans="3:22" s="116" customFormat="1">
      <c r="C8" s="82"/>
      <c r="J8" s="141"/>
      <c r="K8" s="141"/>
      <c r="L8" s="141"/>
      <c r="M8" s="141"/>
    </row>
    <row r="9" spans="3:22" s="116" customFormat="1" ht="30.75" customHeight="1">
      <c r="C9" s="82" t="s">
        <v>429</v>
      </c>
      <c r="J9" s="141"/>
      <c r="K9" s="141"/>
      <c r="L9" s="141"/>
      <c r="M9" s="141"/>
    </row>
    <row r="10" spans="3:22" s="116" customFormat="1">
      <c r="C10" s="82"/>
      <c r="J10" s="141"/>
      <c r="K10" s="141"/>
      <c r="L10" s="141"/>
      <c r="M10" s="141"/>
    </row>
    <row r="11" spans="3:22" s="116" customFormat="1" ht="44.25" customHeight="1">
      <c r="C11" s="82" t="s">
        <v>430</v>
      </c>
      <c r="J11" s="141"/>
      <c r="K11" s="141"/>
      <c r="L11" s="141"/>
      <c r="M11" s="141"/>
      <c r="S11" s="394" t="s">
        <v>328</v>
      </c>
      <c r="T11" s="395"/>
      <c r="U11" s="395"/>
      <c r="V11" s="396"/>
    </row>
    <row r="12" spans="3:22" s="116" customFormat="1" ht="15.6">
      <c r="C12" s="82"/>
      <c r="J12" s="141"/>
      <c r="K12" s="141"/>
      <c r="L12" s="141"/>
      <c r="M12" s="141"/>
      <c r="S12" s="161"/>
    </row>
    <row r="13" spans="3:22" s="116" customFormat="1" ht="43.5" customHeight="1">
      <c r="C13" s="82" t="s">
        <v>434</v>
      </c>
      <c r="J13" s="141"/>
      <c r="K13" s="141"/>
      <c r="L13" s="141"/>
      <c r="M13" s="141"/>
    </row>
    <row r="14" spans="3:22" s="116" customFormat="1">
      <c r="C14" s="82"/>
      <c r="J14" s="141"/>
      <c r="K14" s="141"/>
      <c r="L14" s="141"/>
      <c r="M14" s="141"/>
      <c r="S14" s="160"/>
      <c r="T14" s="160"/>
      <c r="U14" s="160"/>
      <c r="V14" s="160"/>
    </row>
    <row r="15" spans="3:22" s="116" customFormat="1" ht="41.25" customHeight="1">
      <c r="C15" s="82" t="s">
        <v>433</v>
      </c>
      <c r="J15" s="141"/>
      <c r="K15" s="141"/>
      <c r="L15" s="141"/>
      <c r="M15" s="141"/>
    </row>
    <row r="16" spans="3:22" s="116" customFormat="1">
      <c r="C16" s="82"/>
      <c r="J16" s="141"/>
      <c r="K16" s="141"/>
      <c r="L16" s="141"/>
      <c r="M16" s="141"/>
    </row>
    <row r="17" spans="3:13" s="116" customFormat="1" ht="27" customHeight="1">
      <c r="C17" s="82" t="s">
        <v>312</v>
      </c>
      <c r="J17" s="141"/>
      <c r="K17" s="141"/>
      <c r="L17" s="141"/>
      <c r="M17" s="141"/>
    </row>
    <row r="18" spans="3:13" s="116" customFormat="1">
      <c r="C18" s="82"/>
      <c r="J18" s="141"/>
      <c r="K18" s="141"/>
      <c r="L18" s="141"/>
      <c r="M18" s="141"/>
    </row>
    <row r="19" spans="3:13" s="116" customFormat="1" ht="41.25" customHeight="1">
      <c r="C19" s="80" t="s">
        <v>431</v>
      </c>
      <c r="J19" s="141"/>
      <c r="K19" s="141"/>
      <c r="L19" s="141"/>
      <c r="M19" s="141"/>
    </row>
    <row r="20" spans="3:13" s="116" customFormat="1">
      <c r="C20" s="80"/>
      <c r="J20" s="141"/>
      <c r="K20" s="141"/>
      <c r="L20" s="141"/>
      <c r="M20" s="141"/>
    </row>
    <row r="21" spans="3:13" s="116" customFormat="1" ht="43.5" customHeight="1">
      <c r="C21" s="80" t="s">
        <v>432</v>
      </c>
      <c r="J21" s="141"/>
      <c r="K21" s="141"/>
      <c r="L21" s="141"/>
      <c r="M21" s="141"/>
    </row>
    <row r="22" spans="3:13" s="116" customFormat="1">
      <c r="C22" s="80"/>
      <c r="J22" s="141"/>
      <c r="K22" s="141"/>
      <c r="L22" s="141"/>
      <c r="M22" s="141"/>
    </row>
    <row r="23" spans="3:13" s="116" customFormat="1" ht="41.25" customHeight="1">
      <c r="C23" s="82" t="s">
        <v>436</v>
      </c>
      <c r="J23" s="141"/>
      <c r="K23" s="141"/>
      <c r="L23" s="141"/>
      <c r="M23" s="141"/>
    </row>
    <row r="24" spans="3:13" s="116" customFormat="1">
      <c r="C24" s="82"/>
      <c r="J24" s="141"/>
      <c r="K24" s="141"/>
      <c r="L24" s="141"/>
      <c r="M24" s="141"/>
    </row>
    <row r="25" spans="3:13" s="116" customFormat="1" ht="30.75" customHeight="1">
      <c r="C25" s="82" t="s">
        <v>437</v>
      </c>
      <c r="J25" s="141"/>
      <c r="K25" s="141"/>
      <c r="L25" s="141"/>
      <c r="M25" s="141"/>
    </row>
    <row r="26" spans="3:13" s="116" customFormat="1">
      <c r="C26" s="81"/>
      <c r="J26" s="141"/>
      <c r="K26" s="141"/>
      <c r="L26" s="141"/>
      <c r="M26" s="141"/>
    </row>
    <row r="27" spans="3:13" s="116" customFormat="1" ht="29.25" customHeight="1">
      <c r="C27" s="82" t="s">
        <v>438</v>
      </c>
      <c r="J27" s="141"/>
      <c r="K27" s="141"/>
      <c r="L27" s="141"/>
      <c r="M27" s="141"/>
    </row>
    <row r="28" spans="3:13" s="116" customFormat="1">
      <c r="C28" s="82"/>
      <c r="J28" s="141"/>
      <c r="K28" s="141"/>
      <c r="L28" s="141"/>
      <c r="M28" s="141"/>
    </row>
    <row r="29" spans="3:13" s="116" customFormat="1" ht="27.6">
      <c r="C29" s="82" t="s">
        <v>1094</v>
      </c>
      <c r="J29" s="141"/>
      <c r="K29" s="141"/>
      <c r="L29" s="141"/>
      <c r="M29" s="141"/>
    </row>
    <row r="30" spans="3:13" s="116" customFormat="1">
      <c r="C30" s="82"/>
      <c r="J30" s="141"/>
      <c r="K30" s="141"/>
      <c r="L30" s="141"/>
      <c r="M30" s="141"/>
    </row>
    <row r="31" spans="3:13" s="116" customFormat="1">
      <c r="C31" s="82" t="s">
        <v>313</v>
      </c>
      <c r="J31" s="141"/>
      <c r="K31" s="141"/>
      <c r="L31" s="141"/>
      <c r="M31" s="141"/>
    </row>
    <row r="32" spans="3:13" s="116" customFormat="1">
      <c r="C32" s="82"/>
      <c r="J32" s="141"/>
      <c r="K32" s="141"/>
      <c r="L32" s="141"/>
      <c r="M32" s="141"/>
    </row>
    <row r="33" spans="2:13" s="116" customFormat="1">
      <c r="C33" s="82" t="s">
        <v>317</v>
      </c>
      <c r="J33" s="141"/>
      <c r="K33" s="141"/>
      <c r="L33" s="141"/>
      <c r="M33" s="141"/>
    </row>
    <row r="34" spans="2:13" s="116" customFormat="1">
      <c r="C34" s="79"/>
      <c r="J34" s="141"/>
      <c r="K34" s="141"/>
      <c r="L34" s="141"/>
      <c r="M34" s="141"/>
    </row>
    <row r="35" spans="2:13" s="142" customFormat="1" ht="13.2">
      <c r="J35" s="76"/>
      <c r="K35" s="76"/>
      <c r="L35" s="76"/>
      <c r="M35" s="76"/>
    </row>
    <row r="36" spans="2:13" s="116" customFormat="1">
      <c r="J36" s="141"/>
      <c r="K36" s="141"/>
      <c r="L36" s="141"/>
      <c r="M36" s="141"/>
    </row>
    <row r="37" spans="2:13" s="116" customFormat="1" ht="15.6">
      <c r="B37" s="77" t="s">
        <v>454</v>
      </c>
      <c r="J37" s="141"/>
      <c r="K37" s="141"/>
      <c r="L37" s="141"/>
      <c r="M37" s="141"/>
    </row>
    <row r="38" spans="2:13" s="116" customFormat="1">
      <c r="J38" s="141"/>
      <c r="K38" s="141"/>
      <c r="L38" s="141"/>
      <c r="M38" s="141"/>
    </row>
    <row r="44" spans="2:13" s="116" customFormat="1">
      <c r="J44" s="141"/>
      <c r="K44" s="141"/>
      <c r="L44" s="141"/>
      <c r="M44" s="141"/>
    </row>
    <row r="45" spans="2:13" s="116" customFormat="1">
      <c r="J45" s="141"/>
      <c r="K45" s="141"/>
      <c r="L45" s="141"/>
      <c r="M45" s="141"/>
    </row>
    <row r="46" spans="2:13" s="116" customFormat="1">
      <c r="J46" s="141"/>
      <c r="K46" s="141"/>
      <c r="L46" s="141"/>
      <c r="M46" s="141"/>
    </row>
    <row r="47" spans="2:13" s="116" customFormat="1">
      <c r="J47" s="141"/>
      <c r="K47" s="141"/>
      <c r="L47" s="141"/>
      <c r="M47" s="141"/>
    </row>
    <row r="48" spans="2:13" s="116" customFormat="1">
      <c r="J48" s="141"/>
      <c r="K48" s="141"/>
      <c r="L48" s="141"/>
      <c r="M48" s="141"/>
    </row>
    <row r="49" spans="10:13" s="116" customFormat="1">
      <c r="J49" s="141"/>
      <c r="K49" s="141"/>
      <c r="L49" s="141"/>
      <c r="M49" s="141"/>
    </row>
    <row r="50" spans="10:13" s="116" customFormat="1">
      <c r="J50" s="141"/>
      <c r="K50" s="141"/>
      <c r="L50" s="141"/>
      <c r="M50" s="141"/>
    </row>
    <row r="51" spans="10:13" s="116" customFormat="1">
      <c r="J51" s="141"/>
      <c r="K51" s="141"/>
      <c r="L51" s="141"/>
      <c r="M51" s="141"/>
    </row>
    <row r="52" spans="10:13" s="116" customFormat="1">
      <c r="J52" s="141"/>
      <c r="K52" s="141"/>
      <c r="L52" s="141"/>
      <c r="M52" s="141"/>
    </row>
    <row r="53" spans="10:13" s="116" customFormat="1">
      <c r="J53" s="141"/>
      <c r="K53" s="141"/>
      <c r="L53" s="141"/>
      <c r="M53" s="141"/>
    </row>
    <row r="54" spans="10:13" s="116" customFormat="1">
      <c r="J54" s="141"/>
      <c r="K54" s="141"/>
      <c r="L54" s="141"/>
      <c r="M54" s="141"/>
    </row>
    <row r="55" spans="10:13" s="116" customFormat="1">
      <c r="J55" s="141"/>
      <c r="K55" s="141"/>
      <c r="L55" s="141"/>
      <c r="M55" s="141"/>
    </row>
    <row r="56" spans="10:13" s="116" customFormat="1">
      <c r="J56" s="141"/>
      <c r="K56" s="141"/>
      <c r="L56" s="141"/>
      <c r="M56" s="141"/>
    </row>
    <row r="57" spans="10:13" s="116" customFormat="1">
      <c r="J57" s="141"/>
      <c r="K57" s="141"/>
      <c r="L57" s="141"/>
      <c r="M57" s="141"/>
    </row>
    <row r="58" spans="10:13" s="116" customFormat="1">
      <c r="J58" s="141"/>
      <c r="K58" s="141"/>
      <c r="L58" s="141"/>
      <c r="M58" s="141"/>
    </row>
    <row r="59" spans="10:13" s="116" customFormat="1">
      <c r="J59" s="141"/>
      <c r="K59" s="141"/>
      <c r="L59" s="141"/>
      <c r="M59" s="141"/>
    </row>
    <row r="60" spans="10:13" s="116" customFormat="1">
      <c r="J60" s="141"/>
      <c r="K60" s="141"/>
      <c r="L60" s="141"/>
      <c r="M60" s="141"/>
    </row>
    <row r="61" spans="10:13" s="116" customFormat="1">
      <c r="J61" s="141"/>
      <c r="K61" s="141"/>
      <c r="L61" s="141"/>
      <c r="M61" s="141"/>
    </row>
    <row r="62" spans="10:13" s="116" customFormat="1">
      <c r="J62" s="141"/>
      <c r="K62" s="141"/>
      <c r="L62" s="141"/>
      <c r="M62" s="141"/>
    </row>
    <row r="63" spans="10:13" s="116" customFormat="1">
      <c r="J63" s="141"/>
      <c r="K63" s="141"/>
      <c r="L63" s="141"/>
      <c r="M63" s="141"/>
    </row>
    <row r="64" spans="10:13" s="116" customFormat="1">
      <c r="J64" s="141"/>
      <c r="K64" s="141"/>
      <c r="L64" s="141"/>
      <c r="M64" s="141"/>
    </row>
    <row r="65" spans="2:14" s="116" customFormat="1">
      <c r="J65" s="141"/>
      <c r="K65" s="141"/>
      <c r="L65" s="141"/>
      <c r="M65" s="141"/>
    </row>
    <row r="66" spans="2:14" s="116" customFormat="1">
      <c r="J66" s="141"/>
      <c r="K66" s="141"/>
      <c r="L66" s="141"/>
      <c r="M66" s="141"/>
    </row>
    <row r="67" spans="2:14" s="116" customFormat="1">
      <c r="J67" s="141"/>
      <c r="K67" s="141"/>
      <c r="L67" s="141"/>
      <c r="M67" s="141"/>
    </row>
    <row r="68" spans="2:14" s="116" customFormat="1">
      <c r="J68" s="141"/>
      <c r="K68" s="141"/>
      <c r="L68" s="141"/>
      <c r="M68" s="141"/>
    </row>
    <row r="69" spans="2:14" ht="15" thickBot="1"/>
    <row r="70" spans="2:14" ht="28.8">
      <c r="B70" s="114" t="s">
        <v>301</v>
      </c>
      <c r="C70" s="113" t="s">
        <v>451</v>
      </c>
      <c r="D70" s="113" t="s">
        <v>1</v>
      </c>
      <c r="E70" s="113" t="s">
        <v>2</v>
      </c>
      <c r="F70" s="112" t="s">
        <v>452</v>
      </c>
      <c r="G70" s="3"/>
      <c r="H70" s="3"/>
    </row>
    <row r="71" spans="2:14" ht="43.5" customHeight="1" thickBot="1">
      <c r="B71" s="98" t="s">
        <v>299</v>
      </c>
      <c r="C71" s="97" t="s">
        <v>310</v>
      </c>
      <c r="D71" s="111" t="s">
        <v>300</v>
      </c>
      <c r="E71" s="110">
        <f>'Block Failure Rate'!D4</f>
        <v>0.16701097482246607</v>
      </c>
      <c r="F71" s="109">
        <f>'Block Failure Rate'!E4</f>
        <v>8.9517882504841815</v>
      </c>
      <c r="G71" s="2"/>
      <c r="H71" s="2"/>
    </row>
    <row r="72" spans="2:14" ht="15" thickBot="1">
      <c r="C72" s="1"/>
    </row>
    <row r="73" spans="2:14">
      <c r="B73" s="114" t="s">
        <v>57</v>
      </c>
      <c r="C73" s="388" t="s">
        <v>307</v>
      </c>
      <c r="D73" s="389"/>
      <c r="E73" s="389"/>
      <c r="F73" s="390"/>
      <c r="G73" s="96"/>
    </row>
    <row r="74" spans="2:14" ht="15" thickBot="1">
      <c r="B74" s="99" t="s">
        <v>267</v>
      </c>
      <c r="C74" s="391" t="s">
        <v>448</v>
      </c>
      <c r="D74" s="392"/>
      <c r="E74" s="392"/>
      <c r="F74" s="393"/>
      <c r="G74" s="95"/>
    </row>
    <row r="75" spans="2:14" ht="15" thickBot="1"/>
    <row r="76" spans="2:14" ht="30" customHeight="1">
      <c r="B76" s="114" t="s">
        <v>57</v>
      </c>
      <c r="C76" s="113" t="s">
        <v>179</v>
      </c>
      <c r="D76" s="113" t="s">
        <v>297</v>
      </c>
      <c r="E76" s="113" t="s">
        <v>39</v>
      </c>
      <c r="F76" s="112" t="s">
        <v>268</v>
      </c>
      <c r="H76" s="88"/>
      <c r="I76" s="88"/>
      <c r="J76" s="88"/>
      <c r="K76" s="88"/>
      <c r="L76" s="88"/>
      <c r="M76" s="115"/>
      <c r="N76" s="116"/>
    </row>
    <row r="77" spans="2:14" ht="28.8">
      <c r="B77" s="105" t="s">
        <v>41</v>
      </c>
      <c r="C77" s="107" t="s">
        <v>40</v>
      </c>
      <c r="D77" s="108" t="s">
        <v>42</v>
      </c>
      <c r="E77" s="108" t="s">
        <v>56</v>
      </c>
      <c r="F77" s="104">
        <v>0.99</v>
      </c>
      <c r="H77" s="397" t="s">
        <v>330</v>
      </c>
      <c r="I77" s="397"/>
      <c r="J77" s="397"/>
      <c r="K77" s="397"/>
      <c r="L77" s="397"/>
      <c r="M77" s="397"/>
      <c r="N77" s="116"/>
    </row>
    <row r="78" spans="2:14" ht="29.4" thickBot="1">
      <c r="B78" s="103" t="s">
        <v>44</v>
      </c>
      <c r="C78" s="102" t="s">
        <v>43</v>
      </c>
      <c r="D78" s="101" t="s">
        <v>42</v>
      </c>
      <c r="E78" s="101" t="s">
        <v>56</v>
      </c>
      <c r="F78" s="100">
        <v>0.99</v>
      </c>
      <c r="H78" s="397"/>
      <c r="I78" s="397"/>
      <c r="J78" s="397"/>
      <c r="K78" s="397"/>
      <c r="L78" s="397"/>
      <c r="M78" s="397"/>
      <c r="N78" s="116"/>
    </row>
    <row r="79" spans="2:14" ht="15" thickBot="1"/>
    <row r="80" spans="2:14" ht="36" customHeight="1">
      <c r="B80" s="114" t="s">
        <v>57</v>
      </c>
      <c r="C80" s="113" t="s">
        <v>453</v>
      </c>
      <c r="D80" s="112" t="s">
        <v>305</v>
      </c>
      <c r="H80" s="88"/>
      <c r="I80" s="88"/>
      <c r="J80" s="75"/>
      <c r="K80" s="75"/>
      <c r="L80" s="75"/>
      <c r="M80" s="75"/>
      <c r="N80" s="88"/>
    </row>
    <row r="81" spans="2:14">
      <c r="B81" s="94" t="s">
        <v>233</v>
      </c>
      <c r="C81" s="106" t="s">
        <v>27</v>
      </c>
      <c r="D81" s="93" t="s">
        <v>41</v>
      </c>
      <c r="H81" s="88"/>
      <c r="I81" s="88"/>
      <c r="J81" s="75"/>
      <c r="K81" s="75"/>
      <c r="L81" s="75"/>
      <c r="M81" s="75"/>
      <c r="N81" s="88"/>
    </row>
    <row r="82" spans="2:14">
      <c r="B82" s="92" t="s">
        <v>234</v>
      </c>
      <c r="C82" s="107" t="s">
        <v>28</v>
      </c>
      <c r="D82" s="91" t="s">
        <v>44</v>
      </c>
      <c r="H82" s="88"/>
      <c r="I82" s="88"/>
      <c r="J82" s="75"/>
      <c r="K82" s="75"/>
      <c r="L82" s="75"/>
      <c r="M82" s="75"/>
      <c r="N82" s="88"/>
    </row>
    <row r="83" spans="2:14">
      <c r="B83" s="94" t="s">
        <v>235</v>
      </c>
      <c r="C83" s="106" t="s">
        <v>29</v>
      </c>
      <c r="D83" s="93" t="s">
        <v>45</v>
      </c>
      <c r="H83" s="88"/>
      <c r="I83" s="88"/>
      <c r="J83" s="75"/>
      <c r="K83" s="75"/>
      <c r="L83" s="75"/>
      <c r="M83" s="75"/>
      <c r="N83" s="88"/>
    </row>
    <row r="84" spans="2:14">
      <c r="B84" s="92" t="s">
        <v>236</v>
      </c>
      <c r="C84" s="107" t="s">
        <v>189</v>
      </c>
      <c r="D84" s="91" t="s">
        <v>58</v>
      </c>
      <c r="H84" s="88"/>
      <c r="I84" s="88"/>
      <c r="J84" s="75"/>
      <c r="K84" s="75"/>
      <c r="L84" s="75"/>
      <c r="M84" s="75"/>
      <c r="N84" s="88"/>
    </row>
    <row r="85" spans="2:14">
      <c r="B85" s="94" t="s">
        <v>237</v>
      </c>
      <c r="C85" s="106" t="s">
        <v>190</v>
      </c>
      <c r="D85" s="93" t="s">
        <v>58</v>
      </c>
      <c r="H85" s="88"/>
      <c r="I85" s="88"/>
      <c r="J85" s="75"/>
      <c r="K85" s="75"/>
      <c r="L85" s="75"/>
      <c r="M85" s="75"/>
      <c r="N85" s="88"/>
    </row>
    <row r="86" spans="2:14">
      <c r="B86" s="92" t="s">
        <v>238</v>
      </c>
      <c r="C86" s="107" t="s">
        <v>64</v>
      </c>
      <c r="D86" s="91" t="s">
        <v>58</v>
      </c>
      <c r="H86" s="88"/>
      <c r="I86" s="88"/>
      <c r="J86" s="75"/>
      <c r="K86" s="75"/>
      <c r="L86" s="75"/>
      <c r="M86" s="75"/>
      <c r="N86" s="88"/>
    </row>
    <row r="87" spans="2:14">
      <c r="B87" s="94" t="s">
        <v>239</v>
      </c>
      <c r="C87" s="106" t="s">
        <v>298</v>
      </c>
      <c r="D87" s="93" t="s">
        <v>44</v>
      </c>
      <c r="H87" s="115"/>
      <c r="I87" s="115"/>
      <c r="J87" s="74"/>
      <c r="K87" s="74"/>
      <c r="L87" s="74"/>
      <c r="M87" s="74"/>
      <c r="N87" s="115"/>
    </row>
    <row r="88" spans="2:14">
      <c r="B88" s="92" t="s">
        <v>240</v>
      </c>
      <c r="C88" s="107" t="s">
        <v>31</v>
      </c>
      <c r="D88" s="91" t="s">
        <v>41</v>
      </c>
    </row>
    <row r="89" spans="2:14">
      <c r="B89" s="94" t="s">
        <v>241</v>
      </c>
      <c r="C89" s="106" t="s">
        <v>32</v>
      </c>
      <c r="D89" s="93" t="s">
        <v>44</v>
      </c>
    </row>
    <row r="90" spans="2:14">
      <c r="B90" s="92" t="s">
        <v>242</v>
      </c>
      <c r="C90" s="107" t="s">
        <v>33</v>
      </c>
      <c r="D90" s="91" t="s">
        <v>45</v>
      </c>
    </row>
    <row r="91" spans="2:14">
      <c r="B91" s="94" t="s">
        <v>243</v>
      </c>
      <c r="C91" s="106" t="s">
        <v>34</v>
      </c>
      <c r="D91" s="93" t="s">
        <v>45</v>
      </c>
    </row>
    <row r="92" spans="2:14">
      <c r="B92" s="92" t="s">
        <v>283</v>
      </c>
      <c r="C92" s="107" t="s">
        <v>302</v>
      </c>
      <c r="D92" s="91" t="s">
        <v>58</v>
      </c>
    </row>
    <row r="93" spans="2:14">
      <c r="B93" s="94" t="s">
        <v>284</v>
      </c>
      <c r="C93" s="106" t="s">
        <v>303</v>
      </c>
      <c r="D93" s="93" t="s">
        <v>58</v>
      </c>
    </row>
    <row r="94" spans="2:14">
      <c r="B94" s="92" t="s">
        <v>285</v>
      </c>
      <c r="C94" s="107" t="s">
        <v>304</v>
      </c>
      <c r="D94" s="91" t="s">
        <v>58</v>
      </c>
    </row>
    <row r="95" spans="2:14" ht="15" thickBot="1">
      <c r="B95" s="90" t="s">
        <v>286</v>
      </c>
      <c r="C95" s="102" t="s">
        <v>306</v>
      </c>
      <c r="D95" s="89" t="s">
        <v>58</v>
      </c>
    </row>
    <row r="96" spans="2:14">
      <c r="B96" s="115"/>
    </row>
    <row r="97" spans="2:2">
      <c r="B97" s="115"/>
    </row>
    <row r="98" spans="2:2">
      <c r="B98" s="115"/>
    </row>
    <row r="99" spans="2:2">
      <c r="B99" s="115"/>
    </row>
    <row r="100" spans="2:2">
      <c r="B100" s="115"/>
    </row>
    <row r="101" spans="2:2">
      <c r="B101" s="115"/>
    </row>
    <row r="132" spans="10:13" s="142" customFormat="1" ht="13.2">
      <c r="J132" s="76"/>
      <c r="K132" s="76"/>
      <c r="L132" s="76"/>
      <c r="M132" s="76"/>
    </row>
  </sheetData>
  <sheetProtection algorithmName="SHA-512" hashValue="gi5ak9ssjSCF4uSsiYIgOk5XexNF3RSNW4ZJjQ8g7hVBFZBH8FfEFylfTdmS4XK6IRE0WO/RlTj62pkLdpU0zw==" saltValue="CHnK6hA53YfhJgld8TooHQ==" spinCount="100000" sheet="1" objects="1" scenarios="1"/>
  <mergeCells count="4">
    <mergeCell ref="C73:F73"/>
    <mergeCell ref="C74:F74"/>
    <mergeCell ref="S11:V11"/>
    <mergeCell ref="H77:M78"/>
  </mergeCells>
  <phoneticPr fontId="69" type="noConversion"/>
  <conditionalFormatting sqref="B81:B95">
    <cfRule type="cellIs" dxfId="1071" priority="7" operator="equal">
      <formula>B80</formula>
    </cfRule>
  </conditionalFormatting>
  <conditionalFormatting sqref="B81:B95">
    <cfRule type="cellIs" dxfId="1070" priority="6" operator="equal">
      <formula>#REF!</formula>
    </cfRule>
  </conditionalFormatting>
  <conditionalFormatting sqref="B84:B87">
    <cfRule type="cellIs" dxfId="1069" priority="5" operator="equal">
      <formula>B82</formula>
    </cfRule>
  </conditionalFormatting>
  <conditionalFormatting sqref="B84:B87">
    <cfRule type="cellIs" dxfId="1068" priority="2" operator="equal">
      <formula>B82</formula>
    </cfRule>
  </conditionalFormatting>
  <conditionalFormatting sqref="D81">
    <cfRule type="containsBlanks" dxfId="1067" priority="1">
      <formula>LEN(TRIM(D81))=0</formula>
    </cfRule>
  </conditionalFormatting>
  <dataValidations count="1">
    <dataValidation type="list" allowBlank="1" showInputMessage="1" showErrorMessage="1" sqref="D81:D95" xr:uid="{00000000-0002-0000-0300-000000000000}">
      <formula1>SMX</formula1>
    </dataValidation>
  </dataValidations>
  <pageMargins left="0.7" right="0.7" top="0.75" bottom="0.75" header="0.3" footer="0.3"/>
  <pageSetup paperSize="9" orientation="portrait" verticalDpi="0" r:id="rId1"/>
  <drawing r:id="rId2"/>
  <legacyDrawing r:id="rId3"/>
  <oleObjects>
    <mc:AlternateContent xmlns:mc="http://schemas.openxmlformats.org/markup-compatibility/2006">
      <mc:Choice Requires="x14">
        <oleObject progId="Visio.Drawing.11" shapeId="5122" r:id="rId4">
          <objectPr defaultSize="0" autoPict="0" r:id="rId5">
            <anchor moveWithCells="1">
              <from>
                <xdr:col>4</xdr:col>
                <xdr:colOff>68580</xdr:colOff>
                <xdr:row>4</xdr:row>
                <xdr:rowOff>60960</xdr:rowOff>
              </from>
              <to>
                <xdr:col>16</xdr:col>
                <xdr:colOff>571500</xdr:colOff>
                <xdr:row>30</xdr:row>
                <xdr:rowOff>38100</xdr:rowOff>
              </to>
            </anchor>
          </objectPr>
        </oleObject>
      </mc:Choice>
      <mc:Fallback>
        <oleObject progId="Visio.Drawing.11" shapeId="5122" r:id="rId4"/>
      </mc:Fallback>
    </mc:AlternateContent>
    <mc:AlternateContent xmlns:mc="http://schemas.openxmlformats.org/markup-compatibility/2006">
      <mc:Choice Requires="x14">
        <oleObject progId="Visio.Drawing.11" shapeId="5124" r:id="rId6">
          <objectPr defaultSize="0" autoPict="0" r:id="rId5">
            <anchor moveWithCells="1">
              <from>
                <xdr:col>1</xdr:col>
                <xdr:colOff>106680</xdr:colOff>
                <xdr:row>37</xdr:row>
                <xdr:rowOff>114300</xdr:rowOff>
              </from>
              <to>
                <xdr:col>4</xdr:col>
                <xdr:colOff>899160</xdr:colOff>
                <xdr:row>67</xdr:row>
                <xdr:rowOff>68580</xdr:rowOff>
              </to>
            </anchor>
          </objectPr>
        </oleObject>
      </mc:Choice>
      <mc:Fallback>
        <oleObject progId="Visio.Drawing.11" shapeId="5124" r:id="rId6"/>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dimension ref="A1:H37"/>
  <sheetViews>
    <sheetView zoomScale="90" zoomScaleNormal="90" workbookViewId="0">
      <selection activeCell="E4" sqref="E4"/>
    </sheetView>
  </sheetViews>
  <sheetFormatPr defaultColWidth="9.109375" defaultRowHeight="14.4"/>
  <cols>
    <col min="1" max="1" width="46.33203125" style="196" bestFit="1" customWidth="1"/>
    <col min="2" max="2" width="61" style="196" bestFit="1" customWidth="1"/>
    <col min="3" max="3" width="14.109375" style="197" hidden="1" customWidth="1"/>
    <col min="4" max="4" width="9.5546875" style="198" hidden="1" customWidth="1"/>
    <col min="5" max="5" width="16.6640625" style="197" bestFit="1" customWidth="1"/>
    <col min="6" max="6" width="82.109375" style="195" customWidth="1"/>
    <col min="7" max="7" width="13.88671875" style="195" bestFit="1" customWidth="1"/>
    <col min="8" max="16384" width="9.109375" style="195"/>
  </cols>
  <sheetData>
    <row r="1" spans="1:8" s="193" customFormat="1">
      <c r="A1" s="193" t="s">
        <v>612</v>
      </c>
      <c r="G1" s="194"/>
      <c r="H1" s="194"/>
    </row>
    <row r="2" spans="1:8" s="193" customFormat="1">
      <c r="G2" s="194"/>
      <c r="H2" s="194"/>
    </row>
    <row r="3" spans="1:8" ht="35.1" customHeight="1" thickBot="1">
      <c r="A3" s="120" t="s">
        <v>266</v>
      </c>
      <c r="B3" s="132" t="s">
        <v>0</v>
      </c>
      <c r="C3" s="120" t="s">
        <v>1</v>
      </c>
      <c r="D3" s="120" t="s">
        <v>2</v>
      </c>
      <c r="E3" s="73" t="s">
        <v>309</v>
      </c>
      <c r="F3" s="120" t="s">
        <v>335</v>
      </c>
    </row>
    <row r="4" spans="1:8" ht="43.8" thickTop="1">
      <c r="A4" s="119" t="s">
        <v>3</v>
      </c>
      <c r="B4" s="159" t="s">
        <v>361</v>
      </c>
      <c r="C4" s="158">
        <v>2.5869999999999997</v>
      </c>
      <c r="D4" s="121">
        <f>Table1[[#This Row],[Die Size]]/Table1[[#Totals],[Die Size]]</f>
        <v>0.16701097482246607</v>
      </c>
      <c r="E4" s="73">
        <f>Table1[[#Totals],[Function
failure rate]]*Table1[[#This Row],[%]]</f>
        <v>8.9517882504841815</v>
      </c>
      <c r="F4" s="119" t="s">
        <v>331</v>
      </c>
    </row>
    <row r="5" spans="1:8" ht="43.2">
      <c r="A5" s="119" t="s">
        <v>4</v>
      </c>
      <c r="B5" s="72" t="s">
        <v>324</v>
      </c>
      <c r="C5" s="158">
        <v>3.6219999999999999</v>
      </c>
      <c r="D5" s="121">
        <f>Table1[[#This Row],[Die Size]]/Table1[[#Totals],[Die Size]]</f>
        <v>0.233828276307295</v>
      </c>
      <c r="E5" s="73">
        <f>Table1[[#Totals],[Function
failure rate]]*Table1[[#This Row],[%]]</f>
        <v>12.533195610071012</v>
      </c>
      <c r="F5" s="119" t="s">
        <v>331</v>
      </c>
    </row>
    <row r="6" spans="1:8" ht="43.2">
      <c r="A6" s="119" t="s">
        <v>5</v>
      </c>
      <c r="B6" s="71" t="s">
        <v>325</v>
      </c>
      <c r="C6" s="158">
        <v>0.69</v>
      </c>
      <c r="D6" s="121">
        <f>Table1[[#This Row],[Die Size]]/Table1[[#Totals],[Die Size]]</f>
        <v>4.4544867656552606E-2</v>
      </c>
      <c r="E6" s="73">
        <f>Table1[[#Totals],[Function
failure rate]]*Table1[[#This Row],[%]]</f>
        <v>2.3876049063912199</v>
      </c>
      <c r="F6" s="119" t="s">
        <v>331</v>
      </c>
    </row>
    <row r="7" spans="1:8" ht="43.2">
      <c r="A7" s="119" t="s">
        <v>6</v>
      </c>
      <c r="B7" s="72" t="s">
        <v>326</v>
      </c>
      <c r="C7" s="158">
        <v>0.69</v>
      </c>
      <c r="D7" s="121">
        <f>Table1[[#This Row],[Die Size]]/Table1[[#Totals],[Die Size]]</f>
        <v>4.4544867656552606E-2</v>
      </c>
      <c r="E7" s="73">
        <f>Table1[[#Totals],[Function
failure rate]]*Table1[[#This Row],[%]]</f>
        <v>2.3876049063912199</v>
      </c>
      <c r="F7" s="119" t="s">
        <v>331</v>
      </c>
    </row>
    <row r="8" spans="1:8" ht="28.8">
      <c r="A8" s="119" t="s">
        <v>7</v>
      </c>
      <c r="B8" s="71" t="s">
        <v>327</v>
      </c>
      <c r="C8" s="158">
        <v>0.97799999999999998</v>
      </c>
      <c r="D8" s="121">
        <f>Table1[[#This Row],[Die Size]]/Table1[[#Totals],[Die Size]]</f>
        <v>6.3137508069722389E-2</v>
      </c>
      <c r="E8" s="73">
        <f>Table1[[#Totals],[Function
failure rate]]*Table1[[#This Row],[%]]</f>
        <v>3.38417043253712</v>
      </c>
      <c r="F8" s="119" t="s">
        <v>334</v>
      </c>
    </row>
    <row r="9" spans="1:8" ht="28.8">
      <c r="A9" s="119" t="s">
        <v>222</v>
      </c>
      <c r="B9" s="72" t="s">
        <v>318</v>
      </c>
      <c r="C9" s="158">
        <v>8.1000000000000003E-2</v>
      </c>
      <c r="D9" s="121">
        <f>Table1[[#This Row],[Die Size]]/Table1[[#Totals],[Die Size]]</f>
        <v>5.2291801162040021E-3</v>
      </c>
      <c r="E9" s="73">
        <f>Table1[[#Totals],[Function
failure rate]]*Table1[[#This Row],[%]]</f>
        <v>0.28028405422853453</v>
      </c>
      <c r="F9" s="119" t="s">
        <v>331</v>
      </c>
    </row>
    <row r="10" spans="1:8" ht="72">
      <c r="A10" s="119" t="s">
        <v>224</v>
      </c>
      <c r="B10" s="71" t="s">
        <v>319</v>
      </c>
      <c r="C10" s="158">
        <v>2.1000000000000001E-2</v>
      </c>
      <c r="D10" s="121">
        <f>Table1[[#This Row],[Die Size]]/Table1[[#Totals],[Die Size]]</f>
        <v>1.3557133634602969E-3</v>
      </c>
      <c r="E10" s="73">
        <f>Table1[[#Totals],[Function
failure rate]]*Table1[[#This Row],[%]]</f>
        <v>7.2666236281471924E-2</v>
      </c>
      <c r="F10" s="119" t="s">
        <v>332</v>
      </c>
    </row>
    <row r="11" spans="1:8" ht="28.8">
      <c r="A11" s="119" t="s">
        <v>229</v>
      </c>
      <c r="B11" s="72" t="s">
        <v>320</v>
      </c>
      <c r="C11" s="158">
        <v>4.1000000000000002E-2</v>
      </c>
      <c r="D11" s="121">
        <f>Table1[[#This Row],[Die Size]]/Table1[[#Totals],[Die Size]]</f>
        <v>2.6468689477081985E-3</v>
      </c>
      <c r="E11" s="73">
        <f>Table1[[#Totals],[Function
failure rate]]*Table1[[#This Row],[%]]</f>
        <v>0.14187217559715945</v>
      </c>
      <c r="F11" s="119" t="s">
        <v>331</v>
      </c>
    </row>
    <row r="12" spans="1:8" ht="28.8">
      <c r="A12" s="119" t="s">
        <v>230</v>
      </c>
      <c r="B12" s="71" t="s">
        <v>398</v>
      </c>
      <c r="C12" s="158">
        <v>0.36699999999999999</v>
      </c>
      <c r="D12" s="121">
        <f>Table1[[#This Row],[Die Size]]/Table1[[#Totals],[Die Size]]</f>
        <v>2.3692704970948997E-2</v>
      </c>
      <c r="E12" s="73">
        <f>Table1[[#Totals],[Function
failure rate]]*Table1[[#This Row],[%]]</f>
        <v>1.2699289864428662</v>
      </c>
      <c r="F12" s="119" t="s">
        <v>334</v>
      </c>
    </row>
    <row r="13" spans="1:8" ht="28.8">
      <c r="A13" s="119" t="s">
        <v>231</v>
      </c>
      <c r="B13" s="133" t="s">
        <v>399</v>
      </c>
      <c r="C13" s="158">
        <v>0.36699999999999999</v>
      </c>
      <c r="D13" s="121">
        <f>Table1[[#This Row],[Die Size]]/Table1[[#Totals],[Die Size]]</f>
        <v>2.3692704970948997E-2</v>
      </c>
      <c r="E13" s="73">
        <f>Table1[[#Totals],[Function
failure rate]]*Table1[[#This Row],[%]]</f>
        <v>1.2699289864428662</v>
      </c>
      <c r="F13" s="119" t="s">
        <v>334</v>
      </c>
    </row>
    <row r="14" spans="1:8" ht="43.2">
      <c r="A14" s="192" t="s">
        <v>397</v>
      </c>
      <c r="B14" s="228" t="s">
        <v>503</v>
      </c>
      <c r="C14" s="158">
        <v>0.38700000000000001</v>
      </c>
      <c r="D14" s="121">
        <f>Table1[[#This Row],[Die Size]]/Table1[[#Totals],[Die Size]]</f>
        <v>2.4983860555196899E-2</v>
      </c>
      <c r="E14" s="73">
        <f>Table1[[#Totals],[Function
failure rate]]*Table1[[#This Row],[%]]</f>
        <v>1.3391349257585539</v>
      </c>
      <c r="F14" s="192" t="s">
        <v>486</v>
      </c>
    </row>
    <row r="15" spans="1:8" ht="43.2">
      <c r="A15" s="192" t="s">
        <v>406</v>
      </c>
      <c r="B15" s="229" t="s">
        <v>207</v>
      </c>
      <c r="C15" s="158">
        <v>0.11</v>
      </c>
      <c r="D15" s="121">
        <f>Table1[[#This Row],[Die Size]]/Table1[[#Totals],[Die Size]]</f>
        <v>7.1013557133634596E-3</v>
      </c>
      <c r="E15" s="73">
        <f>Table1[[#Totals],[Function
failure rate]]*Table1[[#This Row],[%]]</f>
        <v>0.38063266623628145</v>
      </c>
      <c r="F15" s="192" t="s">
        <v>505</v>
      </c>
    </row>
    <row r="16" spans="1:8" ht="43.2">
      <c r="A16" s="192" t="s">
        <v>405</v>
      </c>
      <c r="B16" s="228" t="s">
        <v>510</v>
      </c>
      <c r="C16" s="158">
        <v>0.11</v>
      </c>
      <c r="D16" s="121">
        <f>Table1[[#This Row],[Die Size]]/Table1[[#Totals],[Die Size]]</f>
        <v>7.1013557133634596E-3</v>
      </c>
      <c r="E16" s="73">
        <f>Table1[[#Totals],[Function
failure rate]]*Table1[[#This Row],[%]]</f>
        <v>0.38063266623628145</v>
      </c>
      <c r="F16" s="192" t="s">
        <v>504</v>
      </c>
    </row>
    <row r="17" spans="1:6" ht="43.2">
      <c r="A17" s="119" t="s">
        <v>8</v>
      </c>
      <c r="B17" s="119" t="s">
        <v>400</v>
      </c>
      <c r="C17" s="158">
        <v>0.26800000000000002</v>
      </c>
      <c r="D17" s="121">
        <f>Table1[[#This Row],[Die Size]]/Table1[[#Totals],[Die Size]]</f>
        <v>1.7301484828921885E-2</v>
      </c>
      <c r="E17" s="73">
        <f>Table1[[#Totals],[Function
failure rate]]*Table1[[#This Row],[%]]</f>
        <v>0.92735958683021302</v>
      </c>
      <c r="F17" s="119" t="s">
        <v>331</v>
      </c>
    </row>
    <row r="18" spans="1:6" ht="43.2">
      <c r="A18" s="119" t="s">
        <v>9</v>
      </c>
      <c r="B18" s="119" t="s">
        <v>321</v>
      </c>
      <c r="C18" s="158">
        <v>0.48899999999999999</v>
      </c>
      <c r="D18" s="121">
        <f>Table1[[#This Row],[Die Size]]/Table1[[#Totals],[Die Size]]</f>
        <v>3.1568754034861195E-2</v>
      </c>
      <c r="E18" s="73">
        <f>Table1[[#Totals],[Function
failure rate]]*Table1[[#This Row],[%]]</f>
        <v>1.69208521626856</v>
      </c>
      <c r="F18" s="119" t="s">
        <v>333</v>
      </c>
    </row>
    <row r="19" spans="1:6" ht="86.4">
      <c r="A19" s="119" t="s">
        <v>128</v>
      </c>
      <c r="B19" s="119" t="s">
        <v>344</v>
      </c>
      <c r="C19" s="158">
        <v>0.13400000000000001</v>
      </c>
      <c r="D19" s="121">
        <f>Table1[[#This Row],[Die Size]]/Table1[[#Totals],[Die Size]]</f>
        <v>8.6507424144609425E-3</v>
      </c>
      <c r="E19" s="73">
        <f>Table1[[#Totals],[Function
failure rate]]*Table1[[#This Row],[%]]</f>
        <v>0.46367979341510651</v>
      </c>
      <c r="F19" s="119" t="s">
        <v>341</v>
      </c>
    </row>
    <row r="20" spans="1:6" ht="43.2">
      <c r="A20" s="119" t="s">
        <v>418</v>
      </c>
      <c r="B20" s="119" t="s">
        <v>419</v>
      </c>
      <c r="C20" s="158">
        <v>0.14699999999999999</v>
      </c>
      <c r="D20" s="121">
        <f>Table1[[#This Row],[Die Size]]/Table1[[#Totals],[Die Size]]</f>
        <v>9.4899935442220775E-3</v>
      </c>
      <c r="E20" s="73">
        <f>Table1[[#Totals],[Function
failure rate]]*Table1[[#This Row],[%]]</f>
        <v>0.50866365397030333</v>
      </c>
      <c r="F20" s="119" t="s">
        <v>333</v>
      </c>
    </row>
    <row r="21" spans="1:6" ht="43.2">
      <c r="A21" s="119" t="s">
        <v>527</v>
      </c>
      <c r="B21" s="119" t="s">
        <v>528</v>
      </c>
      <c r="C21" s="158">
        <v>0.188</v>
      </c>
      <c r="D21" s="121">
        <f>Table1[[#This Row],[Die Size]]/Table1[[#Totals],[Die Size]]</f>
        <v>1.2136862491930276E-2</v>
      </c>
      <c r="E21" s="73">
        <f>Table1[[#Totals],[Function
failure rate]]*Table1[[#This Row],[%]]</f>
        <v>0.65053582956746281</v>
      </c>
      <c r="F21" s="119" t="s">
        <v>333</v>
      </c>
    </row>
    <row r="22" spans="1:6" ht="43.2">
      <c r="A22" s="119" t="s">
        <v>474</v>
      </c>
      <c r="B22" s="119" t="s">
        <v>475</v>
      </c>
      <c r="C22" s="158">
        <v>8.2000000000000003E-2</v>
      </c>
      <c r="D22" s="121">
        <f>Table1[[#This Row],[Die Size]]/Table1[[#Totals],[Die Size]]</f>
        <v>5.293737895416397E-3</v>
      </c>
      <c r="E22" s="73">
        <f>Table1[[#Totals],[Function
failure rate]]*Table1[[#This Row],[%]]</f>
        <v>0.2837443511943189</v>
      </c>
      <c r="F22" s="119" t="s">
        <v>476</v>
      </c>
    </row>
    <row r="23" spans="1:6" ht="100.8">
      <c r="A23" s="119" t="s">
        <v>232</v>
      </c>
      <c r="B23" s="119" t="s">
        <v>343</v>
      </c>
      <c r="C23" s="158">
        <v>0.68600000000000005</v>
      </c>
      <c r="D23" s="121">
        <f>Table1[[#This Row],[Die Size]]/Table1[[#Totals],[Die Size]]</f>
        <v>4.428663653970303E-2</v>
      </c>
      <c r="E23" s="73">
        <f>Table1[[#Totals],[Function
failure rate]]*Table1[[#This Row],[%]]</f>
        <v>2.3737637185280827</v>
      </c>
      <c r="F23" s="119" t="s">
        <v>342</v>
      </c>
    </row>
    <row r="24" spans="1:6" ht="72">
      <c r="A24" s="119" t="s">
        <v>10</v>
      </c>
      <c r="B24" s="119" t="s">
        <v>322</v>
      </c>
      <c r="C24" s="158">
        <v>0.48899999999999999</v>
      </c>
      <c r="D24" s="121">
        <f>Table1[[#This Row],[Die Size]]/Table1[[#Totals],[Die Size]]</f>
        <v>3.1568754034861195E-2</v>
      </c>
      <c r="E24" s="73">
        <f>Table1[[#Totals],[Function
failure rate]]*Table1[[#This Row],[%]]</f>
        <v>1.69208521626856</v>
      </c>
      <c r="F24" s="119" t="s">
        <v>340</v>
      </c>
    </row>
    <row r="25" spans="1:6" ht="72">
      <c r="A25" s="192" t="s">
        <v>403</v>
      </c>
      <c r="B25" s="119" t="s">
        <v>404</v>
      </c>
      <c r="C25" s="158">
        <v>2.4049999999999998</v>
      </c>
      <c r="D25" s="121">
        <f>Table1[[#This Row],[Die Size]]/Table1[[#Totals],[Die Size]]</f>
        <v>0.15526145900581018</v>
      </c>
      <c r="E25" s="73">
        <f>Table1[[#Totals],[Function
failure rate]]*Table1[[#This Row],[%]]</f>
        <v>8.3220142027114257</v>
      </c>
      <c r="F25" s="119" t="s">
        <v>339</v>
      </c>
    </row>
    <row r="26" spans="1:6" ht="72">
      <c r="A26" s="119" t="s">
        <v>499</v>
      </c>
      <c r="B26" s="119" t="s">
        <v>500</v>
      </c>
      <c r="C26" s="158">
        <v>0.48899999999999999</v>
      </c>
      <c r="D26" s="121">
        <f>Table1[[#This Row],[Die Size]]/Table1[[#Totals],[Die Size]]</f>
        <v>3.1568754034861195E-2</v>
      </c>
      <c r="E26" s="73">
        <f>Table1[[#Totals],[Function
failure rate]]*Table1[[#This Row],[%]]</f>
        <v>1.69208521626856</v>
      </c>
      <c r="F26" s="119" t="s">
        <v>501</v>
      </c>
    </row>
    <row r="27" spans="1:6" ht="43.2">
      <c r="A27" s="119" t="s">
        <v>228</v>
      </c>
      <c r="B27" s="119" t="s">
        <v>228</v>
      </c>
      <c r="C27" s="158">
        <v>6.2E-2</v>
      </c>
      <c r="D27" s="121">
        <f>Table1[[#This Row],[Die Size]]/Table1[[#Totals],[Die Size]]</f>
        <v>4.0025823111684957E-3</v>
      </c>
      <c r="E27" s="73">
        <f>Table1[[#Totals],[Function
failure rate]]*Table1[[#This Row],[%]]</f>
        <v>0.21453841187863137</v>
      </c>
      <c r="F27" s="119" t="s">
        <v>589</v>
      </c>
    </row>
    <row r="28" spans="1:6" ht="28.8">
      <c r="A28" s="119" t="s">
        <v>362</v>
      </c>
      <c r="B28" s="119" t="s">
        <v>207</v>
      </c>
      <c r="C28" s="175" t="s">
        <v>63</v>
      </c>
      <c r="D28" s="176" t="s">
        <v>63</v>
      </c>
      <c r="E28" s="177" t="s">
        <v>63</v>
      </c>
      <c r="F28" s="119" t="s">
        <v>364</v>
      </c>
    </row>
    <row r="29" spans="1:6" ht="28.8">
      <c r="A29" s="119" t="s">
        <v>363</v>
      </c>
      <c r="B29" s="119" t="s">
        <v>365</v>
      </c>
      <c r="C29" s="175" t="s">
        <v>63</v>
      </c>
      <c r="D29" s="176" t="s">
        <v>63</v>
      </c>
      <c r="E29" s="177" t="s">
        <v>63</v>
      </c>
      <c r="F29" s="119" t="s">
        <v>366</v>
      </c>
    </row>
    <row r="30" spans="1:6" ht="28.8">
      <c r="A30" s="119" t="s">
        <v>401</v>
      </c>
      <c r="B30" s="119" t="s">
        <v>207</v>
      </c>
      <c r="C30" s="175" t="s">
        <v>63</v>
      </c>
      <c r="D30" s="176" t="s">
        <v>63</v>
      </c>
      <c r="E30" s="177" t="s">
        <v>63</v>
      </c>
      <c r="F30" s="119" t="s">
        <v>368</v>
      </c>
    </row>
    <row r="31" spans="1:6" ht="28.8">
      <c r="A31" s="119" t="s">
        <v>402</v>
      </c>
      <c r="B31" s="119" t="s">
        <v>367</v>
      </c>
      <c r="C31" s="175" t="s">
        <v>63</v>
      </c>
      <c r="D31" s="176" t="s">
        <v>63</v>
      </c>
      <c r="E31" s="177" t="s">
        <v>63</v>
      </c>
      <c r="F31" s="119" t="s">
        <v>366</v>
      </c>
    </row>
    <row r="32" spans="1:6" ht="28.8">
      <c r="A32" s="119" t="s">
        <v>369</v>
      </c>
      <c r="B32" s="119" t="s">
        <v>207</v>
      </c>
      <c r="C32" s="175" t="s">
        <v>63</v>
      </c>
      <c r="D32" s="176" t="s">
        <v>63</v>
      </c>
      <c r="E32" s="177" t="s">
        <v>63</v>
      </c>
      <c r="F32" s="119" t="s">
        <v>368</v>
      </c>
    </row>
    <row r="33" spans="1:6" ht="28.8">
      <c r="A33" s="119" t="s">
        <v>370</v>
      </c>
      <c r="B33" s="119" t="s">
        <v>365</v>
      </c>
      <c r="C33" s="175" t="s">
        <v>63</v>
      </c>
      <c r="D33" s="176" t="s">
        <v>63</v>
      </c>
      <c r="E33" s="177" t="s">
        <v>63</v>
      </c>
      <c r="F33" s="119" t="s">
        <v>366</v>
      </c>
    </row>
    <row r="34" spans="1:6">
      <c r="A34" s="119" t="s">
        <v>11</v>
      </c>
      <c r="B34" s="119"/>
      <c r="C34" s="2">
        <f>SUBTOTAL(109,Table1[Die Size])</f>
        <v>15.490000000000002</v>
      </c>
      <c r="D34" s="121">
        <f>SUBTOTAL(109,Table1[%])</f>
        <v>0.99999999999999967</v>
      </c>
      <c r="E34" s="249">
        <f>E36</f>
        <v>53.6</v>
      </c>
      <c r="F34" s="166"/>
    </row>
    <row r="36" spans="1:6" hidden="1">
      <c r="E36" s="197">
        <v>53.6</v>
      </c>
    </row>
    <row r="37" spans="1:6" hidden="1"/>
  </sheetData>
  <sheetProtection algorithmName="SHA-512" hashValue="63ivrm9IgHgWcj5dGPFUZAv8vA6m4KS+CJDLhUqypAS1VrY8j3U7hnEwcDTaYXqsNVrjP2owlYOy+wCC7K6HgA==" saltValue="yjyaUO1rHzKU7CutZXaJlw==" spinCount="100000" sheet="1" objects="1" scenarios="1"/>
  <phoneticPr fontId="69" type="noConversion"/>
  <pageMargins left="0.7" right="0.7" top="0.75" bottom="0.75" header="0.3" footer="0.3"/>
  <pageSetup paperSize="9" orientation="portrait" verticalDpi="0" r:id="rId1"/>
  <ignoredErrors>
    <ignoredError sqref="D33 D28:D29 D31 D30 D32" calculatedColumn="1"/>
  </ignoredErrors>
  <legacy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7"/>
  <sheetViews>
    <sheetView zoomScale="90" zoomScaleNormal="90" workbookViewId="0">
      <selection activeCell="A20" sqref="A20"/>
    </sheetView>
  </sheetViews>
  <sheetFormatPr defaultColWidth="9.109375" defaultRowHeight="14.4"/>
  <cols>
    <col min="1" max="1" width="28.6640625" style="199" bestFit="1" customWidth="1"/>
    <col min="2" max="2" width="84.33203125" style="199" customWidth="1"/>
    <col min="3" max="3" width="20.6640625" style="199" customWidth="1"/>
    <col min="4" max="16384" width="9.109375" style="199"/>
  </cols>
  <sheetData>
    <row r="1" spans="1:3">
      <c r="A1" s="199" t="s">
        <v>611</v>
      </c>
    </row>
    <row r="3" spans="1:3" ht="50.1" customHeight="1">
      <c r="A3" s="118" t="s">
        <v>487</v>
      </c>
      <c r="B3" s="118" t="s">
        <v>177</v>
      </c>
      <c r="C3" s="7" t="s">
        <v>384</v>
      </c>
    </row>
    <row r="4" spans="1:3" ht="50.1" customHeight="1">
      <c r="A4" s="118" t="s">
        <v>1098</v>
      </c>
      <c r="B4" s="191" t="s">
        <v>488</v>
      </c>
      <c r="C4" s="5" t="s">
        <v>1121</v>
      </c>
    </row>
    <row r="5" spans="1:3" ht="50.1" customHeight="1">
      <c r="A5" s="118" t="s">
        <v>1099</v>
      </c>
      <c r="B5" s="191" t="s">
        <v>1120</v>
      </c>
      <c r="C5" s="5" t="s">
        <v>1117</v>
      </c>
    </row>
    <row r="6" spans="1:3" ht="50.1" customHeight="1">
      <c r="A6" s="118" t="s">
        <v>1122</v>
      </c>
      <c r="B6" s="191" t="s">
        <v>1116</v>
      </c>
      <c r="C6" s="5" t="s">
        <v>1119</v>
      </c>
    </row>
    <row r="7" spans="1:3" ht="50.1" customHeight="1">
      <c r="A7" s="118" t="s">
        <v>1123</v>
      </c>
      <c r="B7" s="191" t="s">
        <v>489</v>
      </c>
      <c r="C7" s="5" t="s">
        <v>1118</v>
      </c>
    </row>
  </sheetData>
  <sheetProtection algorithmName="SHA-512" hashValue="Gu5BVmJQeFh2+9RFfB2IclMg3naaxafA/1RsZGVesTyERaeRYxDePYbplVstZl2eZJWX/rTRv9fOkpJ7PDJPpw==" saltValue="GSX8v/i/8ZZOIdCwk8g4rg==" spinCount="100000" sheet="1" objects="1" scenarios="1"/>
  <phoneticPr fontId="69"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H11"/>
  <sheetViews>
    <sheetView zoomScale="85" zoomScaleNormal="85" workbookViewId="0">
      <selection activeCell="E11" sqref="E11"/>
    </sheetView>
  </sheetViews>
  <sheetFormatPr defaultColWidth="9.109375" defaultRowHeight="14.4"/>
  <cols>
    <col min="1" max="3" width="20.6640625" style="193" customWidth="1"/>
    <col min="4" max="4" width="78.6640625" style="193" customWidth="1"/>
    <col min="5" max="5" width="58.6640625" style="193" customWidth="1"/>
    <col min="6" max="6" width="20.6640625" style="194" customWidth="1"/>
    <col min="7" max="7" width="15.6640625" style="194" customWidth="1"/>
    <col min="8" max="8" width="25.6640625" style="193" customWidth="1"/>
    <col min="9" max="16384" width="9.109375" style="193"/>
  </cols>
  <sheetData>
    <row r="1" spans="1:8">
      <c r="A1" s="193" t="s">
        <v>613</v>
      </c>
    </row>
    <row r="3" spans="1:8" s="194" customFormat="1" ht="50.1" customHeight="1">
      <c r="A3" s="118" t="s">
        <v>490</v>
      </c>
      <c r="B3" s="118" t="s">
        <v>1129</v>
      </c>
      <c r="C3" s="118" t="s">
        <v>443</v>
      </c>
      <c r="D3" s="118" t="s">
        <v>1097</v>
      </c>
      <c r="E3" s="118" t="s">
        <v>178</v>
      </c>
      <c r="F3" s="118" t="s">
        <v>439</v>
      </c>
      <c r="G3" s="118" t="s">
        <v>378</v>
      </c>
      <c r="H3" s="7" t="s">
        <v>384</v>
      </c>
    </row>
    <row r="4" spans="1:8" ht="54.9" customHeight="1">
      <c r="A4" s="118" t="s">
        <v>1100</v>
      </c>
      <c r="B4" s="118" t="s">
        <v>462</v>
      </c>
      <c r="C4" s="118" t="s">
        <v>442</v>
      </c>
      <c r="D4" s="191" t="s">
        <v>444</v>
      </c>
      <c r="E4" s="117" t="s">
        <v>180</v>
      </c>
      <c r="F4" s="118" t="s">
        <v>485</v>
      </c>
      <c r="G4" s="118" t="s">
        <v>376</v>
      </c>
      <c r="H4" s="5" t="s">
        <v>1111</v>
      </c>
    </row>
    <row r="5" spans="1:8" ht="45" customHeight="1">
      <c r="A5" s="118" t="s">
        <v>1101</v>
      </c>
      <c r="B5" s="118" t="s">
        <v>463</v>
      </c>
      <c r="C5" s="118" t="s">
        <v>442</v>
      </c>
      <c r="D5" s="191" t="s">
        <v>440</v>
      </c>
      <c r="E5" s="117" t="s">
        <v>181</v>
      </c>
      <c r="F5" s="118" t="s">
        <v>410</v>
      </c>
      <c r="G5" s="118" t="s">
        <v>377</v>
      </c>
      <c r="H5" s="5" t="s">
        <v>1112</v>
      </c>
    </row>
    <row r="6" spans="1:8" ht="45" customHeight="1">
      <c r="A6" s="118" t="s">
        <v>1103</v>
      </c>
      <c r="B6" s="118" t="s">
        <v>464</v>
      </c>
      <c r="C6" s="118" t="s">
        <v>442</v>
      </c>
      <c r="D6" s="191" t="s">
        <v>441</v>
      </c>
      <c r="E6" s="117" t="s">
        <v>446</v>
      </c>
      <c r="F6" s="118" t="s">
        <v>48</v>
      </c>
      <c r="G6" s="118" t="s">
        <v>377</v>
      </c>
      <c r="H6" s="5" t="s">
        <v>1113</v>
      </c>
    </row>
    <row r="7" spans="1:8" ht="45" customHeight="1">
      <c r="A7" s="118" t="s">
        <v>1102</v>
      </c>
      <c r="B7" s="118" t="s">
        <v>465</v>
      </c>
      <c r="C7" s="118" t="s">
        <v>442</v>
      </c>
      <c r="D7" s="191" t="s">
        <v>445</v>
      </c>
      <c r="E7" s="117" t="s">
        <v>182</v>
      </c>
      <c r="F7" s="118" t="s">
        <v>538</v>
      </c>
      <c r="G7" s="118" t="s">
        <v>377</v>
      </c>
      <c r="H7" s="5" t="s">
        <v>1115</v>
      </c>
    </row>
    <row r="8" spans="1:8" ht="45" customHeight="1">
      <c r="A8" s="118" t="s">
        <v>1105</v>
      </c>
      <c r="B8" s="118" t="s">
        <v>466</v>
      </c>
      <c r="C8" s="118" t="s">
        <v>442</v>
      </c>
      <c r="D8" s="191" t="s">
        <v>506</v>
      </c>
      <c r="E8" s="117" t="s">
        <v>562</v>
      </c>
      <c r="F8" s="118" t="s">
        <v>55</v>
      </c>
      <c r="G8" s="118" t="s">
        <v>377</v>
      </c>
      <c r="H8" s="5" t="s">
        <v>1115</v>
      </c>
    </row>
    <row r="9" spans="1:8" ht="54.9" customHeight="1">
      <c r="A9" s="118" t="s">
        <v>1104</v>
      </c>
      <c r="B9" s="118" t="s">
        <v>601</v>
      </c>
      <c r="C9" s="118" t="s">
        <v>442</v>
      </c>
      <c r="D9" s="191" t="s">
        <v>600</v>
      </c>
      <c r="E9" s="279" t="s">
        <v>597</v>
      </c>
      <c r="F9" s="118" t="s">
        <v>537</v>
      </c>
      <c r="G9" s="118" t="s">
        <v>377</v>
      </c>
      <c r="H9" s="5" t="s">
        <v>1114</v>
      </c>
    </row>
    <row r="10" spans="1:8" ht="45" customHeight="1">
      <c r="A10" s="118" t="s">
        <v>1107</v>
      </c>
      <c r="B10" s="118" t="s">
        <v>1127</v>
      </c>
      <c r="C10" s="118" t="s">
        <v>447</v>
      </c>
      <c r="D10" s="117" t="s">
        <v>1106</v>
      </c>
      <c r="E10" s="188" t="s">
        <v>63</v>
      </c>
      <c r="F10" s="188" t="s">
        <v>63</v>
      </c>
      <c r="G10" s="188" t="s">
        <v>63</v>
      </c>
      <c r="H10" s="188" t="s">
        <v>63</v>
      </c>
    </row>
    <row r="11" spans="1:8" ht="54.9" customHeight="1">
      <c r="A11" s="118" t="s">
        <v>1108</v>
      </c>
      <c r="B11" s="118" t="s">
        <v>1128</v>
      </c>
      <c r="C11" s="118" t="s">
        <v>507</v>
      </c>
      <c r="D11" s="117" t="s">
        <v>1109</v>
      </c>
      <c r="E11" s="188" t="s">
        <v>63</v>
      </c>
      <c r="F11" s="188" t="s">
        <v>63</v>
      </c>
      <c r="G11" s="188" t="s">
        <v>63</v>
      </c>
      <c r="H11" s="188" t="s">
        <v>63</v>
      </c>
    </row>
  </sheetData>
  <sheetProtection algorithmName="SHA-512" hashValue="MXNoE+XtPOWYNHcpx4+MEvJOvGiDujs+YiHjyPoLhgNV6Drw7aE7zuOpXfuJhvtonEyEr3evOHu30Pl6+QPoAA==" saltValue="dTKB6oYGwRniP3jZ2kNrwg==" spinCount="100000" sheet="1" objects="1" scenarios="1"/>
  <phoneticPr fontId="69" type="noConversion"/>
  <pageMargins left="0.7" right="0.7" top="0.75" bottom="0.75" header="0.3" footer="0.3"/>
  <pageSetup paperSize="9" orientation="portrait" verticalDpi="0"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dimension ref="A1:H19"/>
  <sheetViews>
    <sheetView tabSelected="1" topLeftCell="A7" zoomScale="85" zoomScaleNormal="85" workbookViewId="0">
      <selection activeCell="H10" sqref="H10"/>
    </sheetView>
  </sheetViews>
  <sheetFormatPr defaultColWidth="9.109375" defaultRowHeight="14.4"/>
  <cols>
    <col min="1" max="1" width="15.88671875" style="195" customWidth="1"/>
    <col min="2" max="2" width="63.44140625" style="200" customWidth="1"/>
    <col min="3" max="3" width="15.5546875" style="195" bestFit="1" customWidth="1"/>
    <col min="4" max="4" width="20.6640625" style="195" customWidth="1"/>
    <col min="5" max="6" width="12.6640625" style="195" customWidth="1"/>
    <col min="7" max="7" width="25.6640625" style="196" customWidth="1"/>
    <col min="8" max="8" width="56.44140625" style="196" bestFit="1" customWidth="1"/>
    <col min="9" max="16384" width="9.109375" style="195"/>
  </cols>
  <sheetData>
    <row r="1" spans="1:8" s="196" customFormat="1" ht="28.8">
      <c r="A1" s="7" t="s">
        <v>57</v>
      </c>
      <c r="B1" s="7" t="s">
        <v>16</v>
      </c>
      <c r="C1" s="7" t="s">
        <v>38</v>
      </c>
      <c r="D1" s="7" t="s">
        <v>39</v>
      </c>
      <c r="E1" s="7" t="s">
        <v>60</v>
      </c>
      <c r="F1" s="7" t="s">
        <v>268</v>
      </c>
      <c r="G1" s="7" t="s">
        <v>384</v>
      </c>
      <c r="H1" s="7" t="s">
        <v>1130</v>
      </c>
    </row>
    <row r="2" spans="1:8" ht="20.100000000000001" customHeight="1">
      <c r="A2" s="7" t="s">
        <v>63</v>
      </c>
      <c r="B2" s="9" t="s">
        <v>338</v>
      </c>
      <c r="C2" s="7" t="s">
        <v>63</v>
      </c>
      <c r="D2" s="7" t="s">
        <v>63</v>
      </c>
      <c r="E2" s="8" t="s">
        <v>63</v>
      </c>
      <c r="F2" s="4">
        <f>IF(Table3[[#This Row],[Used?]]="Yes",IF(Table3[[#This Row],[Level of Diagnostic coverage]]="High",0.99, IF(Table3[[#This Row],[Level of Diagnostic coverage]]="Medium",0.9, IF(Table3[[#This Row],[Level of Diagnostic coverage]]="Low",0.6, 0))),0)</f>
        <v>0</v>
      </c>
      <c r="G2" s="5"/>
      <c r="H2" s="5"/>
    </row>
    <row r="3" spans="1:8" ht="50.1" customHeight="1">
      <c r="A3" s="5" t="s">
        <v>41</v>
      </c>
      <c r="B3" s="9" t="s">
        <v>40</v>
      </c>
      <c r="C3" s="5" t="s">
        <v>42</v>
      </c>
      <c r="D3" s="5" t="s">
        <v>56</v>
      </c>
      <c r="E3" s="315" t="s">
        <v>35</v>
      </c>
      <c r="F3" s="4">
        <f>IF(Table3[[#This Row],[Used?]]="Yes",IF(Table3[[#This Row],[Level of Diagnostic coverage]]="High",0.99, IF(Table3[[#This Row],[Level of Diagnostic coverage]]="Medium",0.9, IF(Table3[[#This Row],[Level of Diagnostic coverage]]="Low",0.6, 0))),0)</f>
        <v>0.99</v>
      </c>
      <c r="G3" s="5" t="s">
        <v>1068</v>
      </c>
      <c r="H3" s="5"/>
    </row>
    <row r="4" spans="1:8" ht="50.1" customHeight="1">
      <c r="A4" s="5" t="s">
        <v>44</v>
      </c>
      <c r="B4" s="9" t="s">
        <v>386</v>
      </c>
      <c r="C4" s="5" t="s">
        <v>42</v>
      </c>
      <c r="D4" s="5" t="s">
        <v>56</v>
      </c>
      <c r="E4" s="315" t="s">
        <v>35</v>
      </c>
      <c r="F4" s="4">
        <f>IF(Table3[[#This Row],[Used?]]="Yes",IF(Table3[[#This Row],[Level of Diagnostic coverage]]="High",0.99, IF(Table3[[#This Row],[Level of Diagnostic coverage]]="Medium",0.9, IF(Table3[[#This Row],[Level of Diagnostic coverage]]="Low",0.6, 0))),0)</f>
        <v>0.99</v>
      </c>
      <c r="G4" s="5" t="s">
        <v>1068</v>
      </c>
      <c r="H4" s="5"/>
    </row>
    <row r="5" spans="1:8" ht="50.1" customHeight="1">
      <c r="A5" s="5" t="s">
        <v>58</v>
      </c>
      <c r="B5" s="9" t="s">
        <v>59</v>
      </c>
      <c r="C5" s="5" t="s">
        <v>42</v>
      </c>
      <c r="D5" s="5" t="s">
        <v>56</v>
      </c>
      <c r="E5" s="315" t="s">
        <v>35</v>
      </c>
      <c r="F5" s="4">
        <f>IF(Table3[[#This Row],[Used?]]="Yes",IF(Table3[[#This Row],[Level of Diagnostic coverage]]="High",0.99, IF(Table3[[#This Row],[Level of Diagnostic coverage]]="Medium",0.9, IF(Table3[[#This Row],[Level of Diagnostic coverage]]="Low",0.6, 0))),0)</f>
        <v>0.99</v>
      </c>
      <c r="G5" s="5" t="s">
        <v>1068</v>
      </c>
      <c r="H5" s="5"/>
    </row>
    <row r="6" spans="1:8" ht="35.1" customHeight="1">
      <c r="A6" s="5" t="s">
        <v>45</v>
      </c>
      <c r="B6" s="9" t="s">
        <v>473</v>
      </c>
      <c r="C6" s="5" t="s">
        <v>42</v>
      </c>
      <c r="D6" s="5" t="s">
        <v>56</v>
      </c>
      <c r="E6" s="315" t="s">
        <v>35</v>
      </c>
      <c r="F6" s="4">
        <f>IF(Table3[[#This Row],[Used?]]="Yes",IF(Table3[[#This Row],[Level of Diagnostic coverage]]="High",0.99, IF(Table3[[#This Row],[Level of Diagnostic coverage]]="Medium",0.9, IF(Table3[[#This Row],[Level of Diagnostic coverage]]="Low",0.6, 0))),0)</f>
        <v>0.99</v>
      </c>
      <c r="G6" s="5" t="s">
        <v>1069</v>
      </c>
      <c r="H6" s="5"/>
    </row>
    <row r="7" spans="1:8" ht="35.1" customHeight="1">
      <c r="A7" s="5" t="s">
        <v>410</v>
      </c>
      <c r="B7" s="9" t="s">
        <v>9</v>
      </c>
      <c r="C7" s="5" t="s">
        <v>47</v>
      </c>
      <c r="D7" s="5" t="s">
        <v>56</v>
      </c>
      <c r="E7" s="315" t="s">
        <v>35</v>
      </c>
      <c r="F7" s="4">
        <f>IF(Table3[[#This Row],[Used?]]="Yes",IF(Table3[[#This Row],[Level of Diagnostic coverage]]="High",0.99, IF(Table3[[#This Row],[Level of Diagnostic coverage]]="Medium",0.9, IF(Table3[[#This Row],[Level of Diagnostic coverage]]="Low",0.6, 0))),0)</f>
        <v>0.99</v>
      </c>
      <c r="G7" s="5" t="s">
        <v>1070</v>
      </c>
      <c r="H7" s="5"/>
    </row>
    <row r="8" spans="1:8" ht="35.1" customHeight="1">
      <c r="A8" s="5" t="s">
        <v>46</v>
      </c>
      <c r="B8" s="9" t="s">
        <v>50</v>
      </c>
      <c r="C8" s="5" t="s">
        <v>52</v>
      </c>
      <c r="D8" s="5" t="s">
        <v>56</v>
      </c>
      <c r="E8" s="315" t="s">
        <v>35</v>
      </c>
      <c r="F8" s="4">
        <f>IF(Table3[[#This Row],[Used?]]="Yes",IF(Table3[[#This Row],[Level of Diagnostic coverage]]="High",0.99, IF(Table3[[#This Row],[Level of Diagnostic coverage]]="Medium",0.9, IF(Table3[[#This Row],[Level of Diagnostic coverage]]="Low",0.6, 0))),0)</f>
        <v>0.99</v>
      </c>
      <c r="G8" s="5" t="s">
        <v>1079</v>
      </c>
      <c r="H8" s="5"/>
    </row>
    <row r="9" spans="1:8" ht="35.1" customHeight="1">
      <c r="A9" s="5" t="s">
        <v>48</v>
      </c>
      <c r="B9" s="9" t="s">
        <v>316</v>
      </c>
      <c r="C9" s="5" t="s">
        <v>54</v>
      </c>
      <c r="D9" s="5" t="s">
        <v>56</v>
      </c>
      <c r="E9" s="315" t="s">
        <v>35</v>
      </c>
      <c r="F9" s="4">
        <f>IF(Table3[[#This Row],[Used?]]="Yes",IF(Table3[[#This Row],[Level of Diagnostic coverage]]="High",0.99, IF(Table3[[#This Row],[Level of Diagnostic coverage]]="Medium",0.9, IF(Table3[[#This Row],[Level of Diagnostic coverage]]="Low",0.6, 0))),0)</f>
        <v>0.99</v>
      </c>
      <c r="G9" s="5" t="s">
        <v>1077</v>
      </c>
      <c r="H9" s="5"/>
    </row>
    <row r="10" spans="1:8" ht="20.100000000000001" customHeight="1">
      <c r="A10" s="5" t="s">
        <v>51</v>
      </c>
      <c r="B10" s="9" t="s">
        <v>323</v>
      </c>
      <c r="C10" s="5" t="s">
        <v>315</v>
      </c>
      <c r="D10" s="5" t="s">
        <v>56</v>
      </c>
      <c r="E10" s="10" t="s">
        <v>35</v>
      </c>
      <c r="F10" s="4">
        <f>IF(Table3[[#This Row],[Used?]]="Yes",IF(Table3[[#This Row],[Level of Diagnostic coverage]]="High",0.99, IF(Table3[[#This Row],[Level of Diagnostic coverage]]="Medium",0.9, IF(Table3[[#This Row],[Level of Diagnostic coverage]]="Low",0.6, 0))),0)</f>
        <v>0.99</v>
      </c>
      <c r="G10" s="5" t="s">
        <v>1071</v>
      </c>
      <c r="H10" s="5"/>
    </row>
    <row r="11" spans="1:8" ht="20.100000000000001" customHeight="1">
      <c r="A11" s="5" t="s">
        <v>53</v>
      </c>
      <c r="B11" s="9" t="s">
        <v>329</v>
      </c>
      <c r="C11" s="5" t="s">
        <v>49</v>
      </c>
      <c r="D11" s="5" t="s">
        <v>381</v>
      </c>
      <c r="E11" s="10" t="s">
        <v>35</v>
      </c>
      <c r="F11" s="4">
        <f>IF(Table3[[#This Row],[Used?]]="Yes",IF(Table3[[#This Row],[Level of Diagnostic coverage]]="High",0.99, IF(Table3[[#This Row],[Level of Diagnostic coverage]]="Medium",0.9, IF(Table3[[#This Row],[Level of Diagnostic coverage]]="Low",0.6, 0))),0)</f>
        <v>0.6</v>
      </c>
      <c r="G11" s="5" t="s">
        <v>1072</v>
      </c>
      <c r="H11" s="5"/>
    </row>
    <row r="12" spans="1:8" ht="28.8">
      <c r="A12" s="5" t="s">
        <v>55</v>
      </c>
      <c r="B12" s="9" t="s">
        <v>596</v>
      </c>
      <c r="C12" s="5" t="s">
        <v>595</v>
      </c>
      <c r="D12" s="5" t="s">
        <v>56</v>
      </c>
      <c r="E12" s="315" t="s">
        <v>35</v>
      </c>
      <c r="F12" s="4">
        <f>IF(Table3[[#This Row],[Used?]]="Yes",IF(Table3[[#This Row],[Level of Diagnostic coverage]]="High",0.99, IF(Table3[[#This Row],[Level of Diagnostic coverage]]="Medium",0.9, IF(Table3[[#This Row],[Level of Diagnostic coverage]]="Low",0.6, 0))),0)</f>
        <v>0.99</v>
      </c>
      <c r="G12" s="5" t="s">
        <v>1078</v>
      </c>
      <c r="H12" s="5" t="s">
        <v>1131</v>
      </c>
    </row>
    <row r="13" spans="1:8" ht="35.1" customHeight="1">
      <c r="A13" s="5" t="s">
        <v>532</v>
      </c>
      <c r="B13" s="9" t="s">
        <v>533</v>
      </c>
      <c r="C13" s="5" t="s">
        <v>47</v>
      </c>
      <c r="D13" s="5" t="s">
        <v>56</v>
      </c>
      <c r="E13" s="315" t="s">
        <v>35</v>
      </c>
      <c r="F13" s="4">
        <f>IF(Table3[[#This Row],[Used?]]="Yes",IF(Table3[[#This Row],[Level of Diagnostic coverage]]="High",0.99, IF(Table3[[#This Row],[Level of Diagnostic coverage]]="Medium",0.9, IF(Table3[[#This Row],[Level of Diagnostic coverage]]="Low",0.6, 0))),0)</f>
        <v>0.99</v>
      </c>
      <c r="G13" s="5" t="s">
        <v>1076</v>
      </c>
      <c r="H13" s="5" t="s">
        <v>1142</v>
      </c>
    </row>
    <row r="14" spans="1:8" ht="80.099999999999994" customHeight="1">
      <c r="A14" s="5" t="s">
        <v>407</v>
      </c>
      <c r="B14" s="9" t="s">
        <v>1074</v>
      </c>
      <c r="C14" s="5" t="s">
        <v>63</v>
      </c>
      <c r="D14" s="5" t="s">
        <v>56</v>
      </c>
      <c r="E14" s="315" t="s">
        <v>35</v>
      </c>
      <c r="F14" s="4">
        <f>IF(Table3[[#This Row],[Used?]]="Yes",IF(Table3[[#This Row],[Level of Diagnostic coverage]]="High",0.99, IF(Table3[[#This Row],[Level of Diagnostic coverage]]="Medium",0.9, IF(Table3[[#This Row],[Level of Diagnostic coverage]]="Low",0.6, 0))),0)</f>
        <v>0.99</v>
      </c>
      <c r="G14" s="5" t="s">
        <v>1073</v>
      </c>
      <c r="H14" s="5"/>
    </row>
    <row r="15" spans="1:8" ht="35.1" customHeight="1">
      <c r="A15" s="230" t="s">
        <v>408</v>
      </c>
      <c r="B15" s="9" t="s">
        <v>411</v>
      </c>
      <c r="C15" s="5" t="s">
        <v>63</v>
      </c>
      <c r="D15" s="5" t="s">
        <v>56</v>
      </c>
      <c r="E15" s="315" t="s">
        <v>35</v>
      </c>
      <c r="F15" s="4">
        <f>IF(Table3[[#This Row],[Used?]]="Yes",IF(Table3[[#This Row],[Level of Diagnostic coverage]]="High",0.99, IF(Table3[[#This Row],[Level of Diagnostic coverage]]="Medium",0.9, IF(Table3[[#This Row],[Level of Diagnostic coverage]]="Low",0.6, 0))),0)</f>
        <v>0.99</v>
      </c>
      <c r="G15" s="5" t="s">
        <v>1080</v>
      </c>
      <c r="H15" s="5"/>
    </row>
    <row r="16" spans="1:8" ht="35.1" customHeight="1">
      <c r="A16" s="230" t="s">
        <v>409</v>
      </c>
      <c r="B16" s="9" t="s">
        <v>412</v>
      </c>
      <c r="C16" s="5" t="s">
        <v>63</v>
      </c>
      <c r="D16" s="5" t="s">
        <v>56</v>
      </c>
      <c r="E16" s="315" t="s">
        <v>35</v>
      </c>
      <c r="F16" s="4">
        <f>IF(Table3[[#This Row],[Used?]]="Yes",IF(Table3[[#This Row],[Level of Diagnostic coverage]]="High",0.99, IF(Table3[[#This Row],[Level of Diagnostic coverage]]="Medium",0.9, IF(Table3[[#This Row],[Level of Diagnostic coverage]]="Low",0.6, 0))),0)</f>
        <v>0.99</v>
      </c>
      <c r="G16" s="5" t="s">
        <v>1081</v>
      </c>
      <c r="H16" s="5" t="s">
        <v>1131</v>
      </c>
    </row>
    <row r="17" spans="1:8" ht="35.1" customHeight="1">
      <c r="A17" s="230" t="s">
        <v>62</v>
      </c>
      <c r="B17" s="9" t="s">
        <v>593</v>
      </c>
      <c r="C17" s="5" t="s">
        <v>63</v>
      </c>
      <c r="D17" s="5" t="s">
        <v>56</v>
      </c>
      <c r="E17" s="315" t="s">
        <v>35</v>
      </c>
      <c r="F17" s="4">
        <f>IF(Table3[[#This Row],[Used?]]="Yes",IF(Table3[[#This Row],[Level of Diagnostic coverage]]="High",0.99, IF(Table3[[#This Row],[Level of Diagnostic coverage]]="Medium",0.9, IF(Table3[[#This Row],[Level of Diagnostic coverage]]="Low",0.6, 0))),0)</f>
        <v>0.99</v>
      </c>
      <c r="G17" s="5" t="s">
        <v>1078</v>
      </c>
      <c r="H17" s="5" t="s">
        <v>1131</v>
      </c>
    </row>
    <row r="18" spans="1:8" s="233" customFormat="1" ht="35.1" customHeight="1">
      <c r="A18" s="232" t="s">
        <v>534</v>
      </c>
      <c r="B18" s="9" t="s">
        <v>535</v>
      </c>
      <c r="C18" s="5" t="s">
        <v>63</v>
      </c>
      <c r="D18" s="5" t="s">
        <v>56</v>
      </c>
      <c r="E18" s="315" t="s">
        <v>35</v>
      </c>
      <c r="F18" s="4">
        <f>IF(Table3[[#This Row],[Used?]]="Yes",IF(Table3[[#This Row],[Level of Diagnostic coverage]]="High",0.99, IF(Table3[[#This Row],[Level of Diagnostic coverage]]="Medium",0.9, IF(Table3[[#This Row],[Level of Diagnostic coverage]]="Low",0.6, 0))),0)</f>
        <v>0.99</v>
      </c>
      <c r="G18" s="5" t="s">
        <v>1076</v>
      </c>
      <c r="H18" s="5" t="s">
        <v>1142</v>
      </c>
    </row>
    <row r="19" spans="1:8" ht="35.1" customHeight="1">
      <c r="A19" s="120" t="s">
        <v>126</v>
      </c>
      <c r="B19" s="6" t="s">
        <v>127</v>
      </c>
      <c r="C19" s="5" t="s">
        <v>63</v>
      </c>
      <c r="D19" s="5" t="s">
        <v>381</v>
      </c>
      <c r="E19" s="10" t="s">
        <v>35</v>
      </c>
      <c r="F19" s="4">
        <f>IF(Table3[[#This Row],[Used?]]="Yes",IF(Table3[[#This Row],[Level of Diagnostic coverage]]="High",0.99, IF(Table3[[#This Row],[Level of Diagnostic coverage]]="Medium",0.9, IF(Table3[[#This Row],[Level of Diagnostic coverage]]="Low",0.6, 0))),0)</f>
        <v>0.6</v>
      </c>
      <c r="G19" s="5" t="s">
        <v>1075</v>
      </c>
      <c r="H19" s="5"/>
    </row>
  </sheetData>
  <sheetProtection algorithmName="SHA-512" hashValue="olhWBL1ol5m0RKo7/pb9H1eqhxiApOJgstfnHYYBkE978oxWmKn8OZumgr/ABmfA2qLBGQ1hD9EzzfFamrpr+g==" saltValue="Y2IjeRz8QD4zz6W9go22YA==" spinCount="100000" sheet="1" objects="1" scenarios="1"/>
  <phoneticPr fontId="69" type="noConversion"/>
  <conditionalFormatting sqref="E2:E10 E14">
    <cfRule type="cellIs" dxfId="1037" priority="33" operator="equal">
      <formula>"No"</formula>
    </cfRule>
    <cfRule type="cellIs" dxfId="1036" priority="34" operator="equal">
      <formula>"Yes"</formula>
    </cfRule>
  </conditionalFormatting>
  <conditionalFormatting sqref="E15">
    <cfRule type="cellIs" dxfId="1035" priority="29" operator="equal">
      <formula>"No"</formula>
    </cfRule>
    <cfRule type="cellIs" dxfId="1034" priority="30" operator="equal">
      <formula>"Yes"</formula>
    </cfRule>
  </conditionalFormatting>
  <conditionalFormatting sqref="E16">
    <cfRule type="cellIs" dxfId="1033" priority="23" operator="equal">
      <formula>"No"</formula>
    </cfRule>
    <cfRule type="cellIs" dxfId="1032" priority="24" operator="equal">
      <formula>"Yes"</formula>
    </cfRule>
  </conditionalFormatting>
  <conditionalFormatting sqref="E11">
    <cfRule type="cellIs" dxfId="1031" priority="19" operator="equal">
      <formula>"No"</formula>
    </cfRule>
    <cfRule type="cellIs" dxfId="1030" priority="20" operator="equal">
      <formula>"Yes"</formula>
    </cfRule>
  </conditionalFormatting>
  <conditionalFormatting sqref="E12">
    <cfRule type="cellIs" dxfId="1029" priority="15" operator="equal">
      <formula>"No"</formula>
    </cfRule>
    <cfRule type="cellIs" dxfId="1028" priority="16" operator="equal">
      <formula>"Yes"</formula>
    </cfRule>
  </conditionalFormatting>
  <conditionalFormatting sqref="E13">
    <cfRule type="cellIs" dxfId="1027" priority="13" operator="equal">
      <formula>"No"</formula>
    </cfRule>
    <cfRule type="cellIs" dxfId="1026" priority="14" operator="equal">
      <formula>"Yes"</formula>
    </cfRule>
  </conditionalFormatting>
  <conditionalFormatting sqref="E18">
    <cfRule type="cellIs" dxfId="1025" priority="11" operator="equal">
      <formula>"No"</formula>
    </cfRule>
    <cfRule type="cellIs" dxfId="1024" priority="12" operator="equal">
      <formula>"Yes"</formula>
    </cfRule>
  </conditionalFormatting>
  <conditionalFormatting sqref="E19">
    <cfRule type="cellIs" dxfId="1023" priority="5" operator="equal">
      <formula>"No"</formula>
    </cfRule>
    <cfRule type="cellIs" dxfId="1022" priority="6" operator="equal">
      <formula>"Yes"</formula>
    </cfRule>
  </conditionalFormatting>
  <conditionalFormatting sqref="E17">
    <cfRule type="cellIs" dxfId="1021" priority="1" operator="equal">
      <formula>"No"</formula>
    </cfRule>
    <cfRule type="cellIs" dxfId="1020" priority="2" operator="equal">
      <formula>"Yes"</formula>
    </cfRule>
  </conditionalFormatting>
  <dataValidations count="2">
    <dataValidation type="list" allowBlank="1" showInputMessage="1" showErrorMessage="1" sqref="E3:E19" xr:uid="{00000000-0002-0000-0700-000000000000}">
      <formula1>"Yes, No"</formula1>
    </dataValidation>
    <dataValidation type="list" allowBlank="1" showInputMessage="1" showErrorMessage="1" sqref="D3:D19" xr:uid="{00000000-0002-0000-0700-000001000000}">
      <formula1>"High, Medium, Low"</formula1>
    </dataValidation>
  </dataValidations>
  <pageMargins left="0.7" right="0.7" top="0.75" bottom="0.75" header="0.3" footer="0.3"/>
  <pageSetup paperSize="9" orientation="portrait" verticalDpi="0" r:id="rId1"/>
  <ignoredErrors>
    <ignoredError sqref="F2" calculatedColumn="1"/>
  </ignoredErrors>
  <legacyDrawing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dimension ref="A1:Y235"/>
  <sheetViews>
    <sheetView zoomScale="70" zoomScaleNormal="70" workbookViewId="0">
      <pane xSplit="7" ySplit="2" topLeftCell="O216" activePane="bottomRight" state="frozen"/>
      <selection pane="topRight" activeCell="H1" sqref="H1"/>
      <selection pane="bottomLeft" activeCell="A4" sqref="A4"/>
      <selection pane="bottomRight" activeCell="S163" sqref="S163"/>
    </sheetView>
  </sheetViews>
  <sheetFormatPr defaultColWidth="9.109375" defaultRowHeight="14.4" outlineLevelRow="2" outlineLevelCol="1"/>
  <cols>
    <col min="1" max="1" width="9" style="202" customWidth="1"/>
    <col min="2" max="2" width="16.5546875" style="201" customWidth="1"/>
    <col min="3" max="3" width="20.33203125" style="201" customWidth="1"/>
    <col min="4" max="4" width="20.33203125" style="201" hidden="1" customWidth="1" outlineLevel="1"/>
    <col min="5" max="5" width="21.109375" style="201" hidden="1" customWidth="1" outlineLevel="1"/>
    <col min="6" max="6" width="14.33203125" style="207" bestFit="1" customWidth="1" collapsed="1"/>
    <col min="7" max="7" width="43.88671875" style="201" customWidth="1"/>
    <col min="8" max="8" width="22.5546875" style="322" customWidth="1"/>
    <col min="9" max="9" width="15.6640625" style="202" customWidth="1"/>
    <col min="10" max="10" width="12" style="206" customWidth="1"/>
    <col min="11" max="11" width="14.88671875" style="207" customWidth="1"/>
    <col min="12" max="12" width="17.5546875" style="322" customWidth="1"/>
    <col min="13" max="13" width="30.6640625" style="201" customWidth="1"/>
    <col min="14" max="14" width="12.5546875" style="202" customWidth="1"/>
    <col min="15" max="15" width="17.5546875" style="208" customWidth="1"/>
    <col min="16" max="16" width="13" style="205" customWidth="1"/>
    <col min="17" max="17" width="22.44140625" style="328" customWidth="1"/>
    <col min="18" max="18" width="17.5546875" style="201" customWidth="1"/>
    <col min="19" max="19" width="22.6640625" style="322" customWidth="1"/>
    <col min="20" max="20" width="30.6640625" style="209" customWidth="1"/>
    <col min="21" max="21" width="15.6640625" style="202" customWidth="1"/>
    <col min="22" max="22" width="15.6640625" style="207" customWidth="1"/>
    <col min="23" max="23" width="30.5546875" style="201" customWidth="1"/>
    <col min="24" max="24" width="12.6640625" style="322" customWidth="1"/>
    <col min="25" max="25" width="12.109375" style="202" bestFit="1" customWidth="1"/>
    <col min="26" max="16384" width="9.109375" style="201"/>
  </cols>
  <sheetData>
    <row r="1" spans="1:25" ht="21" customHeight="1">
      <c r="A1" s="11"/>
      <c r="B1" s="12"/>
      <c r="C1" s="12"/>
      <c r="D1" s="12"/>
      <c r="E1" s="12"/>
      <c r="F1" s="125"/>
      <c r="G1" s="12"/>
      <c r="H1" s="316"/>
      <c r="I1" s="231"/>
      <c r="J1" s="231"/>
      <c r="K1" s="231"/>
      <c r="L1" s="323"/>
      <c r="M1" s="231"/>
      <c r="N1" s="231"/>
      <c r="O1" s="227" t="s">
        <v>104</v>
      </c>
      <c r="P1" s="219">
        <f>1-Table2[[#Totals],[Residual of single point fault failure rate/FIT]]/Table2[[#Totals],[λSR]]</f>
        <v>0.99323435042735042</v>
      </c>
      <c r="Q1" s="326"/>
      <c r="R1" s="220"/>
      <c r="S1" s="329"/>
      <c r="T1" s="221"/>
      <c r="U1" s="248" t="s">
        <v>105</v>
      </c>
      <c r="V1" s="218">
        <f>1-(Table2[[#Totals],[Latent multiple point fault failure rate/FIT]]/((Table2[[#Totals],[λSR]])-Table2[[#Totals],[Residual of single point fault failure rate/FIT]]))</f>
        <v>0.96881437615355881</v>
      </c>
      <c r="W1" s="336"/>
      <c r="X1" s="338"/>
      <c r="Y1" s="337"/>
    </row>
    <row r="2" spans="1:25" s="202" customFormat="1" ht="149.25" customHeight="1" thickBot="1">
      <c r="A2" s="14" t="s">
        <v>57</v>
      </c>
      <c r="B2" s="11" t="s">
        <v>257</v>
      </c>
      <c r="C2" s="11" t="s">
        <v>12</v>
      </c>
      <c r="D2" s="15" t="s">
        <v>191</v>
      </c>
      <c r="E2" s="15" t="s">
        <v>192</v>
      </c>
      <c r="F2" s="125" t="s">
        <v>195</v>
      </c>
      <c r="G2" s="11" t="s">
        <v>13</v>
      </c>
      <c r="H2" s="317" t="s">
        <v>14</v>
      </c>
      <c r="I2" s="211" t="s">
        <v>183</v>
      </c>
      <c r="J2" s="212" t="s">
        <v>37</v>
      </c>
      <c r="K2" s="213" t="s">
        <v>15</v>
      </c>
      <c r="L2" s="317" t="s">
        <v>274</v>
      </c>
      <c r="M2" s="211" t="s">
        <v>17</v>
      </c>
      <c r="N2" s="211" t="s">
        <v>18</v>
      </c>
      <c r="O2" s="214" t="s">
        <v>19</v>
      </c>
      <c r="P2" s="215" t="s">
        <v>20</v>
      </c>
      <c r="Q2" s="327" t="s">
        <v>21</v>
      </c>
      <c r="R2" s="216" t="s">
        <v>273</v>
      </c>
      <c r="S2" s="327" t="s">
        <v>22</v>
      </c>
      <c r="T2" s="216" t="s">
        <v>346</v>
      </c>
      <c r="U2" s="216" t="s">
        <v>23</v>
      </c>
      <c r="V2" s="217" t="s">
        <v>24</v>
      </c>
      <c r="W2" s="11" t="s">
        <v>25</v>
      </c>
      <c r="X2" s="318" t="s">
        <v>194</v>
      </c>
      <c r="Y2" s="11" t="s">
        <v>196</v>
      </c>
    </row>
    <row r="3" spans="1:25" ht="101.4" outlineLevel="1" thickTop="1">
      <c r="A3" s="18" t="s">
        <v>233</v>
      </c>
      <c r="B3" s="12" t="s">
        <v>3</v>
      </c>
      <c r="C3" s="12" t="s">
        <v>26</v>
      </c>
      <c r="D3" s="12" t="s">
        <v>198</v>
      </c>
      <c r="E3" s="12" t="s">
        <v>193</v>
      </c>
      <c r="F3" s="125">
        <f>VLOOKUP(Table2[Function], Table1[], 5, FALSE)</f>
        <v>8.9517882504841815</v>
      </c>
      <c r="G3" s="19" t="s">
        <v>27</v>
      </c>
      <c r="H3" s="318" t="s">
        <v>35</v>
      </c>
      <c r="I3" s="122" t="s">
        <v>462</v>
      </c>
      <c r="J3" s="13">
        <v>9.8000000000000004E-2</v>
      </c>
      <c r="K3" s="17">
        <f>Table2[[#This Row],[λ]]*Table2[[#This Row],[Failure rate distribution]]</f>
        <v>0.87727524854744987</v>
      </c>
      <c r="L3" s="318" t="s">
        <v>41</v>
      </c>
      <c r="M3" s="20" t="str">
        <f>VLOOKUP(Table2[[#This Row],[Applicable Safety mechanism]],Table3[],2,FALSE)</f>
        <v>Voltage supervisor (Monitoring of voltage)
Overvoltage detection</v>
      </c>
      <c r="N3" s="21" t="str">
        <f>VLOOKUP(Table2[[#This Row],[Applicable Safety mechanism]], Table3[], 3,FALSE)</f>
        <v>D.2.8.2</v>
      </c>
      <c r="O3" s="16">
        <f>VLOOKUP(Table2[[#This Row],[Applicable Safety mechanism]], Table3[], 6,FALSE)</f>
        <v>0.99</v>
      </c>
      <c r="P3" s="22">
        <f>IF(Table2[[#This Row],[Failure mode that has the potential to violate the safety goal in absence of safety mechanism?]]="Yes", Table2[[#This Row],[Failure mode rate]]*(1-Table2[[#This Row],[Failure mode coverage wrt. violation of safety goals]]), 0)</f>
        <v>8.7727524854745061E-3</v>
      </c>
      <c r="Q3" s="318" t="s">
        <v>36</v>
      </c>
      <c r="R3" s="11"/>
      <c r="S3" s="324"/>
      <c r="T3" s="68"/>
      <c r="U3" s="16"/>
      <c r="V3" s="125">
        <f>IF(Table2[[#This Row],[Failure mode that may lead to the violation of safety goals in combination with an independent failure of another block ?]]="Yes",(1-Table2[[#This Row],[Failure mode coverage with respect to latent failures]])*Table2[[#This Row],[Failure mode rate]], 0)</f>
        <v>0</v>
      </c>
      <c r="W3" s="12"/>
      <c r="X3" s="339" t="s">
        <v>35</v>
      </c>
      <c r="Y3" s="125">
        <f>IF(Table2[[#This Row],[SR]]="Yes",Table2[[#This Row],[λ]], 0)</f>
        <v>8.9517882504841815</v>
      </c>
    </row>
    <row r="4" spans="1:25" ht="43.2" outlineLevel="1">
      <c r="A4" s="23" t="s">
        <v>234</v>
      </c>
      <c r="B4" s="12" t="s">
        <v>3</v>
      </c>
      <c r="C4" s="12" t="s">
        <v>26</v>
      </c>
      <c r="D4" s="12"/>
      <c r="E4" s="12"/>
      <c r="F4" s="125">
        <f>VLOOKUP(Table2[Function], Table1[], 5, FALSE)</f>
        <v>8.9517882504841815</v>
      </c>
      <c r="G4" s="19" t="s">
        <v>28</v>
      </c>
      <c r="H4" s="318" t="s">
        <v>35</v>
      </c>
      <c r="I4" s="122" t="s">
        <v>462</v>
      </c>
      <c r="J4" s="124">
        <v>9.8000000000000004E-2</v>
      </c>
      <c r="K4" s="17">
        <f>Table2[[#This Row],[λ]]*Table2[[#This Row],[Failure rate distribution]]</f>
        <v>0.87727524854744987</v>
      </c>
      <c r="L4" s="318" t="s">
        <v>44</v>
      </c>
      <c r="M4" s="20" t="str">
        <f>VLOOKUP(Table2[[#This Row],[Applicable Safety mechanism]],Table3[],2,FALSE)</f>
        <v>Voltage supervisor (Monitoring of voltage)
Undervoltage detection</v>
      </c>
      <c r="N4" s="21" t="str">
        <f>VLOOKUP(Table2[[#This Row],[Applicable Safety mechanism]], Table3[], 3,FALSE)</f>
        <v>D.2.8.2</v>
      </c>
      <c r="O4" s="16">
        <f>VLOOKUP(Table2[[#This Row],[Applicable Safety mechanism]], Table3[], 6,FALSE)</f>
        <v>0.99</v>
      </c>
      <c r="P4" s="22">
        <f>IF(Table2[[#This Row],[Failure mode that has the potential to violate the safety goal in absence of safety mechanism?]]="Yes", Table2[[#This Row],[Failure mode rate]]*(1-Table2[[#This Row],[Failure mode coverage wrt. violation of safety goals]]), 0)</f>
        <v>8.7727524854745061E-3</v>
      </c>
      <c r="Q4" s="318" t="s">
        <v>36</v>
      </c>
      <c r="R4" s="11"/>
      <c r="S4" s="324"/>
      <c r="T4" s="68"/>
      <c r="U4" s="16"/>
      <c r="V4" s="125">
        <f>IF(Table2[[#This Row],[Failure mode that may lead to the violation of safety goals in combination with an independent failure of another block ?]]="Yes",(1-Table2[[#This Row],[Failure mode coverage with respect to latent failures]])*Table2[[#This Row],[Failure mode rate]], 0)</f>
        <v>0</v>
      </c>
      <c r="W4" s="12"/>
      <c r="X4" s="339"/>
      <c r="Y4" s="125">
        <f>IF(Table2[[#This Row],[SR]]="Yes",Table2[[#This Row],[λ]], 0)</f>
        <v>0</v>
      </c>
    </row>
    <row r="5" spans="1:25" s="203" customFormat="1" ht="57.6" outlineLevel="1">
      <c r="A5" s="18" t="s">
        <v>235</v>
      </c>
      <c r="B5" s="144" t="s">
        <v>3</v>
      </c>
      <c r="C5" s="144" t="s">
        <v>26</v>
      </c>
      <c r="D5" s="144"/>
      <c r="E5" s="144"/>
      <c r="F5" s="146">
        <f>VLOOKUP(Table2[Function], Table1[], 5, FALSE)</f>
        <v>8.9517882504841815</v>
      </c>
      <c r="G5" s="19" t="s">
        <v>29</v>
      </c>
      <c r="H5" s="319" t="s">
        <v>35</v>
      </c>
      <c r="I5" s="145" t="s">
        <v>462</v>
      </c>
      <c r="J5" s="124">
        <v>0</v>
      </c>
      <c r="K5" s="146">
        <f>Table2[[#This Row],[λ]]*Table2[[#This Row],[Failure rate distribution]]</f>
        <v>0</v>
      </c>
      <c r="L5" s="319" t="s">
        <v>45</v>
      </c>
      <c r="M5" s="147" t="str">
        <f>VLOOKUP(Table2[[#This Row],[Applicable Safety mechanism]],Table3[],2,FALSE)</f>
        <v>FB_core monitoring (Monitoring of voltage)
Overvoltage and Undervoltage detections</v>
      </c>
      <c r="N5" s="148" t="str">
        <f>VLOOKUP(Table2[[#This Row],[Applicable Safety mechanism]], Table3[], 3,FALSE)</f>
        <v>D.2.8.2</v>
      </c>
      <c r="O5" s="149">
        <f>VLOOKUP(Table2[[#This Row],[Applicable Safety mechanism]], Table3[], 6,FALSE)</f>
        <v>0.99</v>
      </c>
      <c r="P5" s="150">
        <f>IF(Table2[[#This Row],[Failure mode that has the potential to violate the safety goal in absence of safety mechanism?]]="Yes", Table2[[#This Row],[Failure mode rate]]*(1-Table2[[#This Row],[Failure mode coverage wrt. violation of safety goals]]), 0)</f>
        <v>0</v>
      </c>
      <c r="Q5" s="319" t="s">
        <v>36</v>
      </c>
      <c r="R5" s="145"/>
      <c r="S5" s="324"/>
      <c r="T5" s="68"/>
      <c r="U5" s="149"/>
      <c r="V5" s="146">
        <f>IF(Table2[[#This Row],[Failure mode that may lead to the violation of safety goals in combination with an independent failure of another block ?]]="Yes",(1-Table2[[#This Row],[Failure mode coverage with respect to latent failures]])*Table2[[#This Row],[Failure mode rate]], 0)</f>
        <v>0</v>
      </c>
      <c r="W5" s="144"/>
      <c r="X5" s="340"/>
      <c r="Y5" s="146">
        <f>IF(Table2[[#This Row],[SR]]="Yes",Table2[[#This Row],[λ]], 0)</f>
        <v>0</v>
      </c>
    </row>
    <row r="6" spans="1:25" ht="28.8" outlineLevel="1">
      <c r="A6" s="128" t="s">
        <v>236</v>
      </c>
      <c r="B6" s="12" t="s">
        <v>3</v>
      </c>
      <c r="C6" s="12" t="s">
        <v>26</v>
      </c>
      <c r="D6" s="12"/>
      <c r="E6" s="12"/>
      <c r="F6" s="125">
        <f>VLOOKUP(Table2[Function], Table1[], 5, FALSE)</f>
        <v>8.9517882504841815</v>
      </c>
      <c r="G6" s="19" t="s">
        <v>189</v>
      </c>
      <c r="H6" s="318" t="s">
        <v>35</v>
      </c>
      <c r="I6" s="122" t="s">
        <v>462</v>
      </c>
      <c r="J6" s="124">
        <v>9.8000000000000004E-2</v>
      </c>
      <c r="K6" s="17">
        <f>Table2[[#This Row],[λ]]*Table2[[#This Row],[Failure rate distribution]]</f>
        <v>0.87727524854744987</v>
      </c>
      <c r="L6" s="318" t="s">
        <v>58</v>
      </c>
      <c r="M6" s="20" t="str">
        <f>VLOOKUP(Table2[[#This Row],[Applicable Safety mechanism]],Table3[],2,FALSE)</f>
        <v>Voltage supervisor (Monitoring of voltage)</v>
      </c>
      <c r="N6" s="21" t="str">
        <f>VLOOKUP(Table2[[#This Row],[Applicable Safety mechanism]], Table3[], 3,FALSE)</f>
        <v>D.2.8.2</v>
      </c>
      <c r="O6" s="16">
        <f>VLOOKUP(Table2[[#This Row],[Applicable Safety mechanism]], Table3[], 6,FALSE)</f>
        <v>0.99</v>
      </c>
      <c r="P6" s="22">
        <f>IF(Table2[[#This Row],[Failure mode that has the potential to violate the safety goal in absence of safety mechanism?]]="Yes", Table2[[#This Row],[Failure mode rate]]*(1-Table2[[#This Row],[Failure mode coverage wrt. violation of safety goals]]), 0)</f>
        <v>8.7727524854745061E-3</v>
      </c>
      <c r="Q6" s="318" t="s">
        <v>36</v>
      </c>
      <c r="R6" s="11"/>
      <c r="S6" s="324"/>
      <c r="T6" s="68"/>
      <c r="U6" s="16"/>
      <c r="V6" s="125">
        <f>IF(Table2[[#This Row],[Failure mode that may lead to the violation of safety goals in combination with an independent failure of another block ?]]="Yes",(1-Table2[[#This Row],[Failure mode coverage with respect to latent failures]])*Table2[[#This Row],[Failure mode rate]], 0)</f>
        <v>0</v>
      </c>
      <c r="W6" s="12"/>
      <c r="X6" s="339"/>
      <c r="Y6" s="125">
        <f>IF(Table2[[#This Row],[SR]]="Yes",Table2[[#This Row],[λ]], 0)</f>
        <v>0</v>
      </c>
    </row>
    <row r="7" spans="1:25" ht="28.8" outlineLevel="1">
      <c r="A7" s="18" t="s">
        <v>237</v>
      </c>
      <c r="B7" s="12" t="s">
        <v>3</v>
      </c>
      <c r="C7" s="12" t="s">
        <v>26</v>
      </c>
      <c r="D7" s="12"/>
      <c r="E7" s="12"/>
      <c r="F7" s="125">
        <f>VLOOKUP(Table2[Function], Table1[], 5, FALSE)</f>
        <v>8.9517882504841815</v>
      </c>
      <c r="G7" s="19" t="s">
        <v>190</v>
      </c>
      <c r="H7" s="318" t="s">
        <v>35</v>
      </c>
      <c r="I7" s="122" t="s">
        <v>462</v>
      </c>
      <c r="J7" s="124">
        <v>9.8000000000000004E-2</v>
      </c>
      <c r="K7" s="17">
        <f>Table2[[#This Row],[λ]]*Table2[[#This Row],[Failure rate distribution]]</f>
        <v>0.87727524854744987</v>
      </c>
      <c r="L7" s="318" t="s">
        <v>58</v>
      </c>
      <c r="M7" s="20" t="str">
        <f>VLOOKUP(Table2[[#This Row],[Applicable Safety mechanism]],Table3[],2,FALSE)</f>
        <v>Voltage supervisor (Monitoring of voltage)</v>
      </c>
      <c r="N7" s="21" t="str">
        <f>VLOOKUP(Table2[[#This Row],[Applicable Safety mechanism]], Table3[], 3,FALSE)</f>
        <v>D.2.8.2</v>
      </c>
      <c r="O7" s="16">
        <f>VLOOKUP(Table2[[#This Row],[Applicable Safety mechanism]], Table3[], 6,FALSE)</f>
        <v>0.99</v>
      </c>
      <c r="P7" s="22">
        <f>IF(Table2[[#This Row],[Failure mode that has the potential to violate the safety goal in absence of safety mechanism?]]="Yes", Table2[[#This Row],[Failure mode rate]]*(1-Table2[[#This Row],[Failure mode coverage wrt. violation of safety goals]]), 0)</f>
        <v>8.7727524854745061E-3</v>
      </c>
      <c r="Q7" s="318" t="s">
        <v>36</v>
      </c>
      <c r="R7" s="11"/>
      <c r="S7" s="324"/>
      <c r="T7" s="68"/>
      <c r="U7" s="16"/>
      <c r="V7" s="125">
        <f>IF(Table2[[#This Row],[Failure mode that may lead to the violation of safety goals in combination with an independent failure of another block ?]]="Yes",(1-Table2[[#This Row],[Failure mode coverage with respect to latent failures]])*Table2[[#This Row],[Failure mode rate]], 0)</f>
        <v>0</v>
      </c>
      <c r="W7" s="12"/>
      <c r="X7" s="339"/>
      <c r="Y7" s="125">
        <f>IF(Table2[[#This Row],[SR]]="Yes",Table2[[#This Row],[λ]], 0)</f>
        <v>0</v>
      </c>
    </row>
    <row r="8" spans="1:25" ht="28.8" outlineLevel="1">
      <c r="A8" s="128" t="s">
        <v>238</v>
      </c>
      <c r="B8" s="12" t="s">
        <v>3</v>
      </c>
      <c r="C8" s="12" t="s">
        <v>26</v>
      </c>
      <c r="D8" s="12"/>
      <c r="E8" s="12"/>
      <c r="F8" s="125">
        <f>VLOOKUP(Table2[Function], Table1[], 5, FALSE)</f>
        <v>8.9517882504841815</v>
      </c>
      <c r="G8" s="19" t="s">
        <v>64</v>
      </c>
      <c r="H8" s="318" t="s">
        <v>35</v>
      </c>
      <c r="I8" s="122" t="s">
        <v>462</v>
      </c>
      <c r="J8" s="124">
        <v>9.8000000000000004E-2</v>
      </c>
      <c r="K8" s="17">
        <f>Table2[[#This Row],[λ]]*Table2[[#This Row],[Failure rate distribution]]</f>
        <v>0.87727524854744987</v>
      </c>
      <c r="L8" s="318" t="s">
        <v>58</v>
      </c>
      <c r="M8" s="20" t="str">
        <f>VLOOKUP(Table2[[#This Row],[Applicable Safety mechanism]],Table3[],2,FALSE)</f>
        <v>Voltage supervisor (Monitoring of voltage)</v>
      </c>
      <c r="N8" s="21" t="str">
        <f>VLOOKUP(Table2[[#This Row],[Applicable Safety mechanism]], Table3[], 3,FALSE)</f>
        <v>D.2.8.2</v>
      </c>
      <c r="O8" s="16">
        <f>VLOOKUP(Table2[[#This Row],[Applicable Safety mechanism]], Table3[], 6,FALSE)</f>
        <v>0.99</v>
      </c>
      <c r="P8" s="22">
        <f>IF(Table2[[#This Row],[Failure mode that has the potential to violate the safety goal in absence of safety mechanism?]]="Yes", Table2[[#This Row],[Failure mode rate]]*(1-Table2[[#This Row],[Failure mode coverage wrt. violation of safety goals]]), 0)</f>
        <v>8.7727524854745061E-3</v>
      </c>
      <c r="Q8" s="318" t="s">
        <v>36</v>
      </c>
      <c r="R8" s="11"/>
      <c r="S8" s="324"/>
      <c r="T8" s="68"/>
      <c r="U8" s="16"/>
      <c r="V8" s="125">
        <f>IF(Table2[[#This Row],[Failure mode that may lead to the violation of safety goals in combination with an independent failure of another block ?]]="Yes",(1-Table2[[#This Row],[Failure mode coverage with respect to latent failures]])*Table2[[#This Row],[Failure mode rate]], 0)</f>
        <v>0</v>
      </c>
      <c r="W8" s="12"/>
      <c r="X8" s="339"/>
      <c r="Y8" s="125">
        <f>IF(Table2[[#This Row],[SR]]="Yes",Table2[[#This Row],[λ]], 0)</f>
        <v>0</v>
      </c>
    </row>
    <row r="9" spans="1:25" ht="43.2" outlineLevel="1">
      <c r="A9" s="18" t="s">
        <v>239</v>
      </c>
      <c r="B9" s="12" t="s">
        <v>3</v>
      </c>
      <c r="C9" s="12" t="s">
        <v>26</v>
      </c>
      <c r="D9" s="12"/>
      <c r="E9" s="12"/>
      <c r="F9" s="125">
        <f>VLOOKUP(Table2[Function], Table1[], 5, FALSE)</f>
        <v>8.9517882504841815</v>
      </c>
      <c r="G9" s="19" t="s">
        <v>30</v>
      </c>
      <c r="H9" s="318" t="s">
        <v>35</v>
      </c>
      <c r="I9" s="122" t="s">
        <v>462</v>
      </c>
      <c r="J9" s="124">
        <v>9.8000000000000004E-2</v>
      </c>
      <c r="K9" s="17">
        <f>Table2[[#This Row],[λ]]*Table2[[#This Row],[Failure rate distribution]]</f>
        <v>0.87727524854744987</v>
      </c>
      <c r="L9" s="318" t="s">
        <v>44</v>
      </c>
      <c r="M9" s="20" t="str">
        <f>VLOOKUP(Table2[[#This Row],[Applicable Safety mechanism]],Table3[],2,FALSE)</f>
        <v>Voltage supervisor (Monitoring of voltage)
Undervoltage detection</v>
      </c>
      <c r="N9" s="21" t="str">
        <f>VLOOKUP(Table2[[#This Row],[Applicable Safety mechanism]], Table3[], 3,FALSE)</f>
        <v>D.2.8.2</v>
      </c>
      <c r="O9" s="16">
        <f>VLOOKUP(Table2[[#This Row],[Applicable Safety mechanism]], Table3[], 6,FALSE)</f>
        <v>0.99</v>
      </c>
      <c r="P9" s="22">
        <f>IF(Table2[[#This Row],[Failure mode that has the potential to violate the safety goal in absence of safety mechanism?]]="Yes", Table2[[#This Row],[Failure mode rate]]*(1-Table2[[#This Row],[Failure mode coverage wrt. violation of safety goals]]), 0)</f>
        <v>8.7727524854745061E-3</v>
      </c>
      <c r="Q9" s="318" t="s">
        <v>36</v>
      </c>
      <c r="R9" s="11"/>
      <c r="S9" s="324"/>
      <c r="T9" s="68"/>
      <c r="U9" s="16"/>
      <c r="V9" s="125">
        <f>IF(Table2[[#This Row],[Failure mode that may lead to the violation of safety goals in combination with an independent failure of another block ?]]="Yes",(1-Table2[[#This Row],[Failure mode coverage with respect to latent failures]])*Table2[[#This Row],[Failure mode rate]], 0)</f>
        <v>0</v>
      </c>
      <c r="W9" s="12"/>
      <c r="X9" s="339"/>
      <c r="Y9" s="125">
        <f>IF(Table2[[#This Row],[SR]]="Yes",Table2[[#This Row],[λ]], 0)</f>
        <v>0</v>
      </c>
    </row>
    <row r="10" spans="1:25" ht="43.2" outlineLevel="1">
      <c r="A10" s="128" t="s">
        <v>240</v>
      </c>
      <c r="B10" s="12" t="s">
        <v>3</v>
      </c>
      <c r="C10" s="12" t="s">
        <v>26</v>
      </c>
      <c r="D10" s="12"/>
      <c r="E10" s="12"/>
      <c r="F10" s="125">
        <f>VLOOKUP(Table2[Function], Table1[], 5, FALSE)</f>
        <v>8.9517882504841815</v>
      </c>
      <c r="G10" s="19" t="s">
        <v>31</v>
      </c>
      <c r="H10" s="318" t="s">
        <v>35</v>
      </c>
      <c r="I10" s="122" t="s">
        <v>462</v>
      </c>
      <c r="J10" s="124">
        <v>9.8000000000000004E-2</v>
      </c>
      <c r="K10" s="17">
        <f>Table2[[#This Row],[λ]]*Table2[[#This Row],[Failure rate distribution]]</f>
        <v>0.87727524854744987</v>
      </c>
      <c r="L10" s="318" t="s">
        <v>41</v>
      </c>
      <c r="M10" s="20" t="str">
        <f>VLOOKUP(Table2[[#This Row],[Applicable Safety mechanism]],Table3[],2,FALSE)</f>
        <v>Voltage supervisor (Monitoring of voltage)
Overvoltage detection</v>
      </c>
      <c r="N10" s="21" t="str">
        <f>VLOOKUP(Table2[[#This Row],[Applicable Safety mechanism]], Table3[], 3,FALSE)</f>
        <v>D.2.8.2</v>
      </c>
      <c r="O10" s="16">
        <f>VLOOKUP(Table2[[#This Row],[Applicable Safety mechanism]], Table3[], 6,FALSE)</f>
        <v>0.99</v>
      </c>
      <c r="P10" s="22">
        <f>IF(Table2[[#This Row],[Failure mode that has the potential to violate the safety goal in absence of safety mechanism?]]="Yes", Table2[[#This Row],[Failure mode rate]]*(1-Table2[[#This Row],[Failure mode coverage wrt. violation of safety goals]]), 0)</f>
        <v>8.7727524854745061E-3</v>
      </c>
      <c r="Q10" s="318" t="s">
        <v>36</v>
      </c>
      <c r="R10" s="11"/>
      <c r="S10" s="324"/>
      <c r="T10" s="68"/>
      <c r="U10" s="16"/>
      <c r="V10" s="125">
        <f>IF(Table2[[#This Row],[Failure mode that may lead to the violation of safety goals in combination with an independent failure of another block ?]]="Yes",(1-Table2[[#This Row],[Failure mode coverage with respect to latent failures]])*Table2[[#This Row],[Failure mode rate]], 0)</f>
        <v>0</v>
      </c>
      <c r="W10" s="12"/>
      <c r="X10" s="339"/>
      <c r="Y10" s="125">
        <f>IF(Table2[[#This Row],[SR]]="Yes",Table2[[#This Row],[λ]], 0)</f>
        <v>0</v>
      </c>
    </row>
    <row r="11" spans="1:25" ht="57.6" outlineLevel="1">
      <c r="A11" s="18" t="s">
        <v>241</v>
      </c>
      <c r="B11" s="12" t="s">
        <v>3</v>
      </c>
      <c r="C11" s="12" t="s">
        <v>26</v>
      </c>
      <c r="D11" s="12"/>
      <c r="E11" s="12"/>
      <c r="F11" s="125">
        <f>VLOOKUP(Table2[Function], Table1[], 5, FALSE)</f>
        <v>8.9517882504841815</v>
      </c>
      <c r="G11" s="19" t="s">
        <v>32</v>
      </c>
      <c r="H11" s="318" t="s">
        <v>35</v>
      </c>
      <c r="I11" s="122" t="s">
        <v>462</v>
      </c>
      <c r="J11" s="124">
        <v>9.8000000000000004E-2</v>
      </c>
      <c r="K11" s="17">
        <f>Table2[[#This Row],[λ]]*Table2[[#This Row],[Failure rate distribution]]</f>
        <v>0.87727524854744987</v>
      </c>
      <c r="L11" s="318" t="s">
        <v>45</v>
      </c>
      <c r="M11" s="20" t="str">
        <f>VLOOKUP(Table2[[#This Row],[Applicable Safety mechanism]],Table3[],2,FALSE)</f>
        <v>FB_core monitoring (Monitoring of voltage)
Overvoltage and Undervoltage detections</v>
      </c>
      <c r="N11" s="21" t="str">
        <f>VLOOKUP(Table2[[#This Row],[Applicable Safety mechanism]], Table3[], 3,FALSE)</f>
        <v>D.2.8.2</v>
      </c>
      <c r="O11" s="16">
        <f>VLOOKUP(Table2[[#This Row],[Applicable Safety mechanism]], Table3[], 6,FALSE)</f>
        <v>0.99</v>
      </c>
      <c r="P11" s="22">
        <f>IF(Table2[[#This Row],[Failure mode that has the potential to violate the safety goal in absence of safety mechanism?]]="Yes", Table2[[#This Row],[Failure mode rate]]*(1-Table2[[#This Row],[Failure mode coverage wrt. violation of safety goals]]), 0)</f>
        <v>8.7727524854745061E-3</v>
      </c>
      <c r="Q11" s="318" t="s">
        <v>36</v>
      </c>
      <c r="R11" s="11"/>
      <c r="S11" s="324"/>
      <c r="T11" s="68"/>
      <c r="U11" s="16"/>
      <c r="V11" s="125">
        <f>IF(Table2[[#This Row],[Failure mode that may lead to the violation of safety goals in combination with an independent failure of another block ?]]="Yes",(1-Table2[[#This Row],[Failure mode coverage with respect to latent failures]])*Table2[[#This Row],[Failure mode rate]], 0)</f>
        <v>0</v>
      </c>
      <c r="W11" s="12"/>
      <c r="X11" s="339"/>
      <c r="Y11" s="125">
        <f>IF(Table2[[#This Row],[SR]]="Yes",Table2[[#This Row],[λ]], 0)</f>
        <v>0</v>
      </c>
    </row>
    <row r="12" spans="1:25" ht="57.6" outlineLevel="1">
      <c r="A12" s="128" t="s">
        <v>242</v>
      </c>
      <c r="B12" s="12" t="s">
        <v>3</v>
      </c>
      <c r="C12" s="12" t="s">
        <v>26</v>
      </c>
      <c r="D12" s="12"/>
      <c r="E12" s="12"/>
      <c r="F12" s="125">
        <f>VLOOKUP(Table2[Function], Table1[], 5, FALSE)</f>
        <v>8.9517882504841815</v>
      </c>
      <c r="G12" s="19" t="s">
        <v>33</v>
      </c>
      <c r="H12" s="318" t="s">
        <v>35</v>
      </c>
      <c r="I12" s="122" t="s">
        <v>462</v>
      </c>
      <c r="J12" s="124">
        <v>9.8000000000000004E-2</v>
      </c>
      <c r="K12" s="17">
        <f>Table2[[#This Row],[λ]]*Table2[[#This Row],[Failure rate distribution]]</f>
        <v>0.87727524854744987</v>
      </c>
      <c r="L12" s="318" t="s">
        <v>45</v>
      </c>
      <c r="M12" s="20" t="str">
        <f>VLOOKUP(Table2[[#This Row],[Applicable Safety mechanism]],Table3[],2,FALSE)</f>
        <v>FB_core monitoring (Monitoring of voltage)
Overvoltage and Undervoltage detections</v>
      </c>
      <c r="N12" s="21" t="str">
        <f>VLOOKUP(Table2[[#This Row],[Applicable Safety mechanism]], Table3[], 3,FALSE)</f>
        <v>D.2.8.2</v>
      </c>
      <c r="O12" s="16">
        <f>VLOOKUP(Table2[[#This Row],[Applicable Safety mechanism]], Table3[], 6,FALSE)</f>
        <v>0.99</v>
      </c>
      <c r="P12" s="22">
        <f>IF(Table2[[#This Row],[Failure mode that has the potential to violate the safety goal in absence of safety mechanism?]]="Yes", Table2[[#This Row],[Failure mode rate]]*(1-Table2[[#This Row],[Failure mode coverage wrt. violation of safety goals]]), 0)</f>
        <v>8.7727524854745061E-3</v>
      </c>
      <c r="Q12" s="318" t="s">
        <v>36</v>
      </c>
      <c r="R12" s="11"/>
      <c r="S12" s="324"/>
      <c r="T12" s="68"/>
      <c r="U12" s="16"/>
      <c r="V12" s="125">
        <f>IF(Table2[[#This Row],[Failure mode that may lead to the violation of safety goals in combination with an independent failure of another block ?]]="Yes",(1-Table2[[#This Row],[Failure mode coverage with respect to latent failures]])*Table2[[#This Row],[Failure mode rate]], 0)</f>
        <v>0</v>
      </c>
      <c r="W12" s="12"/>
      <c r="X12" s="339"/>
      <c r="Y12" s="125">
        <f>IF(Table2[[#This Row],[SR]]="Yes",Table2[[#This Row],[λ]], 0)</f>
        <v>0</v>
      </c>
    </row>
    <row r="13" spans="1:25" ht="43.2" outlineLevel="1">
      <c r="A13" s="18" t="s">
        <v>243</v>
      </c>
      <c r="B13" s="12" t="s">
        <v>3</v>
      </c>
      <c r="C13" s="12" t="s">
        <v>26</v>
      </c>
      <c r="D13" s="12"/>
      <c r="E13" s="12"/>
      <c r="F13" s="125">
        <f>VLOOKUP(Table2[Function], Table1[], 5, FALSE)</f>
        <v>8.9517882504841815</v>
      </c>
      <c r="G13" s="19" t="s">
        <v>34</v>
      </c>
      <c r="H13" s="318" t="s">
        <v>35</v>
      </c>
      <c r="I13" s="122" t="s">
        <v>462</v>
      </c>
      <c r="J13" s="124">
        <v>9.8000000000000004E-2</v>
      </c>
      <c r="K13" s="17">
        <f>Table2[[#This Row],[λ]]*Table2[[#This Row],[Failure rate distribution]]</f>
        <v>0.87727524854744987</v>
      </c>
      <c r="L13" s="318" t="s">
        <v>44</v>
      </c>
      <c r="M13" s="20" t="str">
        <f>VLOOKUP(Table2[[#This Row],[Applicable Safety mechanism]],Table3[],2,FALSE)</f>
        <v>Voltage supervisor (Monitoring of voltage)
Undervoltage detection</v>
      </c>
      <c r="N13" s="21" t="str">
        <f>VLOOKUP(Table2[[#This Row],[Applicable Safety mechanism]], Table3[], 3,FALSE)</f>
        <v>D.2.8.2</v>
      </c>
      <c r="O13" s="16">
        <f>VLOOKUP(Table2[[#This Row],[Applicable Safety mechanism]], Table3[], 6,FALSE)</f>
        <v>0.99</v>
      </c>
      <c r="P13" s="22">
        <f>IF(Table2[[#This Row],[Failure mode that has the potential to violate the safety goal in absence of safety mechanism?]]="Yes", Table2[[#This Row],[Failure mode rate]]*(1-Table2[[#This Row],[Failure mode coverage wrt. violation of safety goals]]), 0)</f>
        <v>8.7727524854745061E-3</v>
      </c>
      <c r="Q13" s="318" t="s">
        <v>36</v>
      </c>
      <c r="R13" s="11"/>
      <c r="S13" s="324"/>
      <c r="T13" s="68"/>
      <c r="U13" s="16"/>
      <c r="V13" s="125">
        <f>IF(Table2[[#This Row],[Failure mode that may lead to the violation of safety goals in combination with an independent failure of another block ?]]="Yes",(1-Table2[[#This Row],[Failure mode coverage with respect to latent failures]])*Table2[[#This Row],[Failure mode rate]], 0)</f>
        <v>0</v>
      </c>
      <c r="W13" s="12"/>
      <c r="X13" s="339"/>
      <c r="Y13" s="125">
        <f>IF(Table2[[#This Row],[SR]]="Yes",Table2[[#This Row],[λ]], 0)</f>
        <v>0</v>
      </c>
    </row>
    <row r="14" spans="1:25" ht="57.6" outlineLevel="1">
      <c r="A14" s="128" t="s">
        <v>618</v>
      </c>
      <c r="B14" s="123" t="s">
        <v>3</v>
      </c>
      <c r="C14" s="123" t="s">
        <v>26</v>
      </c>
      <c r="D14" s="123"/>
      <c r="E14" s="123"/>
      <c r="F14" s="125">
        <f>VLOOKUP(Table2[Function], Table1[], 5, FALSE)</f>
        <v>8.9517882504841815</v>
      </c>
      <c r="G14" s="19" t="s">
        <v>372</v>
      </c>
      <c r="H14" s="318" t="s">
        <v>36</v>
      </c>
      <c r="I14" s="122" t="s">
        <v>63</v>
      </c>
      <c r="J14" s="178">
        <v>0.01</v>
      </c>
      <c r="K14" s="125">
        <f>Table2[[#This Row],[λ]]*Table2[[#This Row],[Failure rate distribution]]</f>
        <v>8.9517882504841814E-2</v>
      </c>
      <c r="L14" s="318" t="s">
        <v>63</v>
      </c>
      <c r="M14" s="20" t="str">
        <f>VLOOKUP(Table2[[#This Row],[Applicable Safety mechanism]],Table3[],2,FALSE)</f>
        <v>Not applicable</v>
      </c>
      <c r="N14" s="21" t="str">
        <f>VLOOKUP(Table2[[#This Row],[Applicable Safety mechanism]], Table3[], 3,FALSE)</f>
        <v>-</v>
      </c>
      <c r="O14" s="16">
        <f>VLOOKUP(Table2[[#This Row],[Applicable Safety mechanism]], Table3[], 6,FALSE)</f>
        <v>0</v>
      </c>
      <c r="P14" s="126">
        <f>IF(Table2[[#This Row],[Failure mode that has the potential to violate the safety goal in absence of safety mechanism?]]="Yes", Table2[[#This Row],[Failure mode rate]]*(1-Table2[[#This Row],[Failure mode coverage wrt. violation of safety goals]]), 0)</f>
        <v>0</v>
      </c>
      <c r="Q14" s="318" t="s">
        <v>36</v>
      </c>
      <c r="R14" s="122"/>
      <c r="S14" s="324"/>
      <c r="T14" s="68"/>
      <c r="U14" s="16"/>
      <c r="V14" s="125">
        <f>IF(Table2[[#This Row],[Failure mode that may lead to the violation of safety goals in combination with an independent failure of another block ?]]="Yes",(1-Table2[[#This Row],[Failure mode coverage with respect to latent failures]])*Table2[[#This Row],[Failure mode rate]], 0)</f>
        <v>0</v>
      </c>
      <c r="W14" s="123" t="s">
        <v>373</v>
      </c>
      <c r="X14" s="339"/>
      <c r="Y14" s="125">
        <f>IF(Table2[[#This Row],[SR]]="Yes",Table2[[#This Row],[λ]], 0)</f>
        <v>0</v>
      </c>
    </row>
    <row r="15" spans="1:25" ht="57.6" outlineLevel="1">
      <c r="A15" s="18" t="s">
        <v>619</v>
      </c>
      <c r="B15" s="123" t="s">
        <v>3</v>
      </c>
      <c r="C15" s="123" t="s">
        <v>26</v>
      </c>
      <c r="D15" s="123"/>
      <c r="E15" s="123"/>
      <c r="F15" s="125">
        <f>VLOOKUP(Table2[Function], Table1[], 5, FALSE)</f>
        <v>8.9517882504841815</v>
      </c>
      <c r="G15" s="19" t="s">
        <v>374</v>
      </c>
      <c r="H15" s="318" t="s">
        <v>36</v>
      </c>
      <c r="I15" s="122" t="s">
        <v>63</v>
      </c>
      <c r="J15" s="178">
        <v>0.01</v>
      </c>
      <c r="K15" s="125">
        <f>Table2[[#This Row],[λ]]*Table2[[#This Row],[Failure rate distribution]]</f>
        <v>8.9517882504841814E-2</v>
      </c>
      <c r="L15" s="318" t="s">
        <v>63</v>
      </c>
      <c r="M15" s="20" t="str">
        <f>VLOOKUP(Table2[[#This Row],[Applicable Safety mechanism]],Table3[],2,FALSE)</f>
        <v>Not applicable</v>
      </c>
      <c r="N15" s="21" t="str">
        <f>VLOOKUP(Table2[[#This Row],[Applicable Safety mechanism]], Table3[], 3,FALSE)</f>
        <v>-</v>
      </c>
      <c r="O15" s="16">
        <f>VLOOKUP(Table2[[#This Row],[Applicable Safety mechanism]], Table3[], 6,FALSE)</f>
        <v>0</v>
      </c>
      <c r="P15" s="126">
        <f>IF(Table2[[#This Row],[Failure mode that has the potential to violate the safety goal in absence of safety mechanism?]]="Yes", Table2[[#This Row],[Failure mode rate]]*(1-Table2[[#This Row],[Failure mode coverage wrt. violation of safety goals]]), 0)</f>
        <v>0</v>
      </c>
      <c r="Q15" s="318" t="s">
        <v>36</v>
      </c>
      <c r="R15" s="122"/>
      <c r="S15" s="324"/>
      <c r="T15" s="68"/>
      <c r="U15" s="16"/>
      <c r="V15" s="125">
        <f>IF(Table2[[#This Row],[Failure mode that may lead to the violation of safety goals in combination with an independent failure of another block ?]]="Yes",(1-Table2[[#This Row],[Failure mode coverage with respect to latent failures]])*Table2[[#This Row],[Failure mode rate]], 0)</f>
        <v>0</v>
      </c>
      <c r="W15" s="123" t="s">
        <v>373</v>
      </c>
      <c r="X15" s="339"/>
      <c r="Y15" s="125">
        <f>IF(Table2[[#This Row],[SR]]="Yes",Table2[[#This Row],[λ]], 0)</f>
        <v>0</v>
      </c>
    </row>
    <row r="16" spans="1:25">
      <c r="A16" s="128" t="s">
        <v>620</v>
      </c>
      <c r="B16" s="24" t="s">
        <v>3</v>
      </c>
      <c r="C16" s="24" t="s">
        <v>26</v>
      </c>
      <c r="D16" s="11" t="s">
        <v>63</v>
      </c>
      <c r="E16" s="11"/>
      <c r="F16" s="125">
        <f>VLOOKUP(Table2[Function], Table1[], 5, FALSE)</f>
        <v>8.9517882504841815</v>
      </c>
      <c r="G16" s="11" t="s">
        <v>63</v>
      </c>
      <c r="H16" s="318" t="s">
        <v>63</v>
      </c>
      <c r="I16" s="122" t="s">
        <v>63</v>
      </c>
      <c r="J16" s="11" t="s">
        <v>63</v>
      </c>
      <c r="K16" s="17" t="s">
        <v>63</v>
      </c>
      <c r="L16" s="318" t="s">
        <v>63</v>
      </c>
      <c r="M16" s="11" t="s">
        <v>63</v>
      </c>
      <c r="N16" s="11" t="s">
        <v>63</v>
      </c>
      <c r="O16" s="11" t="s">
        <v>63</v>
      </c>
      <c r="P16" s="11" t="s">
        <v>63</v>
      </c>
      <c r="Q16" s="318" t="s">
        <v>63</v>
      </c>
      <c r="R16" s="11"/>
      <c r="S16" s="318"/>
      <c r="T16" s="170"/>
      <c r="U16" s="122"/>
      <c r="V16" s="122"/>
      <c r="W16" s="122"/>
      <c r="X16" s="339"/>
      <c r="Y16" s="125"/>
    </row>
    <row r="17" spans="1:25" ht="129.6" outlineLevel="1">
      <c r="A17" s="18" t="s">
        <v>621</v>
      </c>
      <c r="B17" s="12" t="s">
        <v>4</v>
      </c>
      <c r="C17" s="12" t="s">
        <v>61</v>
      </c>
      <c r="D17" s="12" t="s">
        <v>197</v>
      </c>
      <c r="E17" s="12" t="s">
        <v>193</v>
      </c>
      <c r="F17" s="125">
        <f>VLOOKUP(Table2[Function], Table1[], 5, FALSE)</f>
        <v>12.533195610071012</v>
      </c>
      <c r="G17" s="19" t="s">
        <v>27</v>
      </c>
      <c r="H17" s="318" t="s">
        <v>35</v>
      </c>
      <c r="I17" s="122" t="s">
        <v>462</v>
      </c>
      <c r="J17" s="13">
        <f t="shared" ref="J17:J24" si="0">1/8</f>
        <v>0.125</v>
      </c>
      <c r="K17" s="17">
        <f>Table2[[#This Row],[λ]]*Table2[[#This Row],[Failure rate distribution]]</f>
        <v>1.5666494512588764</v>
      </c>
      <c r="L17" s="318" t="s">
        <v>41</v>
      </c>
      <c r="M17" s="20" t="str">
        <f>VLOOKUP(Table2[[#This Row],[Applicable Safety mechanism]],Table3[],2,FALSE)</f>
        <v>Voltage supervisor (Monitoring of voltage)
Overvoltage detection</v>
      </c>
      <c r="N17" s="21" t="str">
        <f>VLOOKUP(Table2[[#This Row],[Applicable Safety mechanism]], Table3[], 3,FALSE)</f>
        <v>D.2.8.2</v>
      </c>
      <c r="O17" s="16">
        <f>VLOOKUP(Table2[[#This Row],[Applicable Safety mechanism]], Table3[], 6,FALSE)</f>
        <v>0.99</v>
      </c>
      <c r="P17" s="22">
        <f>IF(Table2[[#This Row],[Failure mode that has the potential to violate the safety goal in absence of safety mechanism?]]="Yes", Table2[[#This Row],[Failure mode rate]]*(1-Table2[[#This Row],[Failure mode coverage wrt. violation of safety goals]]), 0)</f>
        <v>1.566649451258878E-2</v>
      </c>
      <c r="Q17" s="318" t="s">
        <v>36</v>
      </c>
      <c r="R17" s="11"/>
      <c r="S17" s="318"/>
      <c r="T17" s="170"/>
      <c r="U17" s="16"/>
      <c r="V17" s="125">
        <f>IF(Table2[[#This Row],[Failure mode that may lead to the violation of safety goals in combination with an independent failure of another block ?]]="Yes",(1-Table2[[#This Row],[Failure mode coverage with respect to latent failures]])*Table2[[#This Row],[Failure mode rate]], 0)</f>
        <v>0</v>
      </c>
      <c r="W17" s="12"/>
      <c r="X17" s="339" t="s">
        <v>35</v>
      </c>
      <c r="Y17" s="125">
        <f>IF(Table2[[#This Row],[SR]]="Yes",Table2[[#This Row],[λ]], 0)</f>
        <v>12.533195610071012</v>
      </c>
    </row>
    <row r="18" spans="1:25" outlineLevel="1">
      <c r="A18" s="128" t="s">
        <v>622</v>
      </c>
      <c r="B18" s="12" t="s">
        <v>4</v>
      </c>
      <c r="C18" s="12" t="s">
        <v>61</v>
      </c>
      <c r="D18" s="12"/>
      <c r="E18" s="12"/>
      <c r="F18" s="125">
        <f>VLOOKUP(Table2[Function], Table1[], 5, FALSE)</f>
        <v>12.533195610071012</v>
      </c>
      <c r="G18" s="19" t="s">
        <v>28</v>
      </c>
      <c r="H18" s="318" t="s">
        <v>36</v>
      </c>
      <c r="I18" s="122" t="s">
        <v>63</v>
      </c>
      <c r="J18" s="13">
        <f t="shared" si="0"/>
        <v>0.125</v>
      </c>
      <c r="K18" s="17">
        <f>Table2[[#This Row],[λ]]*Table2[[#This Row],[Failure rate distribution]]</f>
        <v>1.5666494512588764</v>
      </c>
      <c r="L18" s="318" t="s">
        <v>63</v>
      </c>
      <c r="M18" s="20" t="str">
        <f>VLOOKUP(Table2[[#This Row],[Applicable Safety mechanism]],Table3[],2,FALSE)</f>
        <v>Not applicable</v>
      </c>
      <c r="N18" s="21" t="str">
        <f>VLOOKUP(Table2[[#This Row],[Applicable Safety mechanism]], Table3[], 3,FALSE)</f>
        <v>-</v>
      </c>
      <c r="O18" s="16">
        <f>VLOOKUP(Table2[[#This Row],[Applicable Safety mechanism]], Table3[], 6,FALSE)</f>
        <v>0</v>
      </c>
      <c r="P18" s="22">
        <f>IF(Table2[[#This Row],[Failure mode that has the potential to violate the safety goal in absence of safety mechanism?]]="Yes", Table2[[#This Row],[Failure mode rate]]*(1-Table2[[#This Row],[Failure mode coverage wrt. violation of safety goals]]), 0)</f>
        <v>0</v>
      </c>
      <c r="Q18" s="318" t="s">
        <v>36</v>
      </c>
      <c r="R18" s="11"/>
      <c r="S18" s="318"/>
      <c r="T18" s="170"/>
      <c r="U18" s="16"/>
      <c r="V18" s="125">
        <f>IF(Table2[[#This Row],[Failure mode that may lead to the violation of safety goals in combination with an independent failure of another block ?]]="Yes",(1-Table2[[#This Row],[Failure mode coverage with respect to latent failures]])*Table2[[#This Row],[Failure mode rate]], 0)</f>
        <v>0</v>
      </c>
      <c r="W18" s="12"/>
      <c r="X18" s="339"/>
      <c r="Y18" s="125">
        <f>IF(Table2[[#This Row],[SR]]="Yes",Table2[[#This Row],[λ]], 0)</f>
        <v>0</v>
      </c>
    </row>
    <row r="19" spans="1:25" ht="43.2" outlineLevel="1">
      <c r="A19" s="18" t="s">
        <v>623</v>
      </c>
      <c r="B19" s="12" t="s">
        <v>4</v>
      </c>
      <c r="C19" s="12" t="s">
        <v>61</v>
      </c>
      <c r="D19" s="12"/>
      <c r="E19" s="12"/>
      <c r="F19" s="125">
        <f>VLOOKUP(Table2[Function], Table1[], 5, FALSE)</f>
        <v>12.533195610071012</v>
      </c>
      <c r="G19" s="19" t="s">
        <v>64</v>
      </c>
      <c r="H19" s="318" t="s">
        <v>35</v>
      </c>
      <c r="I19" s="122" t="s">
        <v>462</v>
      </c>
      <c r="J19" s="13">
        <f t="shared" si="0"/>
        <v>0.125</v>
      </c>
      <c r="K19" s="17">
        <f>Table2[[#This Row],[λ]]*Table2[[#This Row],[Failure rate distribution]]</f>
        <v>1.5666494512588764</v>
      </c>
      <c r="L19" s="318" t="s">
        <v>41</v>
      </c>
      <c r="M19" s="20" t="str">
        <f>VLOOKUP(Table2[[#This Row],[Applicable Safety mechanism]],Table3[],2,FALSE)</f>
        <v>Voltage supervisor (Monitoring of voltage)
Overvoltage detection</v>
      </c>
      <c r="N19" s="21" t="str">
        <f>VLOOKUP(Table2[[#This Row],[Applicable Safety mechanism]], Table3[], 3,FALSE)</f>
        <v>D.2.8.2</v>
      </c>
      <c r="O19" s="16">
        <f>VLOOKUP(Table2[[#This Row],[Applicable Safety mechanism]], Table3[], 6,FALSE)</f>
        <v>0.99</v>
      </c>
      <c r="P19" s="22">
        <f>IF(Table2[[#This Row],[Failure mode that has the potential to violate the safety goal in absence of safety mechanism?]]="Yes", Table2[[#This Row],[Failure mode rate]]*(1-Table2[[#This Row],[Failure mode coverage wrt. violation of safety goals]]), 0)</f>
        <v>1.566649451258878E-2</v>
      </c>
      <c r="Q19" s="318" t="s">
        <v>36</v>
      </c>
      <c r="R19" s="11"/>
      <c r="S19" s="318"/>
      <c r="T19" s="170"/>
      <c r="U19" s="16"/>
      <c r="V19" s="125">
        <f>IF(Table2[[#This Row],[Failure mode that may lead to the violation of safety goals in combination with an independent failure of another block ?]]="Yes",(1-Table2[[#This Row],[Failure mode coverage with respect to latent failures]])*Table2[[#This Row],[Failure mode rate]], 0)</f>
        <v>0</v>
      </c>
      <c r="W19" s="12"/>
      <c r="X19" s="339"/>
      <c r="Y19" s="125">
        <f>IF(Table2[[#This Row],[SR]]="Yes",Table2[[#This Row],[λ]], 0)</f>
        <v>0</v>
      </c>
    </row>
    <row r="20" spans="1:25" ht="43.2" outlineLevel="1">
      <c r="A20" s="128" t="s">
        <v>624</v>
      </c>
      <c r="B20" s="12" t="s">
        <v>4</v>
      </c>
      <c r="C20" s="12" t="s">
        <v>61</v>
      </c>
      <c r="D20" s="12"/>
      <c r="E20" s="12"/>
      <c r="F20" s="125">
        <f>VLOOKUP(Table2[Function], Table1[], 5, FALSE)</f>
        <v>12.533195610071012</v>
      </c>
      <c r="G20" s="19" t="s">
        <v>65</v>
      </c>
      <c r="H20" s="318" t="s">
        <v>35</v>
      </c>
      <c r="I20" s="122" t="s">
        <v>462</v>
      </c>
      <c r="J20" s="13">
        <f t="shared" si="0"/>
        <v>0.125</v>
      </c>
      <c r="K20" s="17">
        <f>Table2[[#This Row],[λ]]*Table2[[#This Row],[Failure rate distribution]]</f>
        <v>1.5666494512588764</v>
      </c>
      <c r="L20" s="318" t="s">
        <v>41</v>
      </c>
      <c r="M20" s="20" t="str">
        <f>VLOOKUP(Table2[[#This Row],[Applicable Safety mechanism]],Table3[],2,FALSE)</f>
        <v>Voltage supervisor (Monitoring of voltage)
Overvoltage detection</v>
      </c>
      <c r="N20" s="21" t="str">
        <f>VLOOKUP(Table2[[#This Row],[Applicable Safety mechanism]], Table3[], 3,FALSE)</f>
        <v>D.2.8.2</v>
      </c>
      <c r="O20" s="16">
        <f>VLOOKUP(Table2[[#This Row],[Applicable Safety mechanism]], Table3[], 6,FALSE)</f>
        <v>0.99</v>
      </c>
      <c r="P20" s="22">
        <f>IF(Table2[[#This Row],[Failure mode that has the potential to violate the safety goal in absence of safety mechanism?]]="Yes", Table2[[#This Row],[Failure mode rate]]*(1-Table2[[#This Row],[Failure mode coverage wrt. violation of safety goals]]), 0)</f>
        <v>1.566649451258878E-2</v>
      </c>
      <c r="Q20" s="318" t="s">
        <v>36</v>
      </c>
      <c r="R20" s="11"/>
      <c r="S20" s="318"/>
      <c r="T20" s="170"/>
      <c r="U20" s="16"/>
      <c r="V20" s="125">
        <f>IF(Table2[[#This Row],[Failure mode that may lead to the violation of safety goals in combination with an independent failure of another block ?]]="Yes",(1-Table2[[#This Row],[Failure mode coverage with respect to latent failures]])*Table2[[#This Row],[Failure mode rate]], 0)</f>
        <v>0</v>
      </c>
      <c r="W20" s="12"/>
      <c r="X20" s="339"/>
      <c r="Y20" s="125">
        <f>IF(Table2[[#This Row],[SR]]="Yes",Table2[[#This Row],[λ]], 0)</f>
        <v>0</v>
      </c>
    </row>
    <row r="21" spans="1:25" ht="43.2" outlineLevel="1">
      <c r="A21" s="18" t="s">
        <v>625</v>
      </c>
      <c r="B21" s="12" t="s">
        <v>4</v>
      </c>
      <c r="C21" s="12" t="s">
        <v>61</v>
      </c>
      <c r="D21" s="12"/>
      <c r="E21" s="12"/>
      <c r="F21" s="125">
        <f>VLOOKUP(Table2[Function], Table1[], 5, FALSE)</f>
        <v>12.533195610071012</v>
      </c>
      <c r="G21" s="19" t="s">
        <v>69</v>
      </c>
      <c r="H21" s="318" t="s">
        <v>35</v>
      </c>
      <c r="I21" s="122" t="s">
        <v>462</v>
      </c>
      <c r="J21" s="13">
        <f t="shared" si="0"/>
        <v>0.125</v>
      </c>
      <c r="K21" s="17">
        <f>Table2[[#This Row],[λ]]*Table2[[#This Row],[Failure rate distribution]]</f>
        <v>1.5666494512588764</v>
      </c>
      <c r="L21" s="318" t="s">
        <v>41</v>
      </c>
      <c r="M21" s="20" t="str">
        <f>VLOOKUP(Table2[[#This Row],[Applicable Safety mechanism]],Table3[],2,FALSE)</f>
        <v>Voltage supervisor (Monitoring of voltage)
Overvoltage detection</v>
      </c>
      <c r="N21" s="21" t="str">
        <f>VLOOKUP(Table2[[#This Row],[Applicable Safety mechanism]], Table3[], 3,FALSE)</f>
        <v>D.2.8.2</v>
      </c>
      <c r="O21" s="16">
        <f>VLOOKUP(Table2[[#This Row],[Applicable Safety mechanism]], Table3[], 6,FALSE)</f>
        <v>0.99</v>
      </c>
      <c r="P21" s="22">
        <f>IF(Table2[[#This Row],[Failure mode that has the potential to violate the safety goal in absence of safety mechanism?]]="Yes", Table2[[#This Row],[Failure mode rate]]*(1-Table2[[#This Row],[Failure mode coverage wrt. violation of safety goals]]), 0)</f>
        <v>1.566649451258878E-2</v>
      </c>
      <c r="Q21" s="318" t="s">
        <v>36</v>
      </c>
      <c r="R21" s="11"/>
      <c r="S21" s="318"/>
      <c r="T21" s="170"/>
      <c r="U21" s="16"/>
      <c r="V21" s="125">
        <f>IF(Table2[[#This Row],[Failure mode that may lead to the violation of safety goals in combination with an independent failure of another block ?]]="Yes",(1-Table2[[#This Row],[Failure mode coverage with respect to latent failures]])*Table2[[#This Row],[Failure mode rate]], 0)</f>
        <v>0</v>
      </c>
      <c r="W21" s="12"/>
      <c r="X21" s="339"/>
      <c r="Y21" s="125">
        <f>IF(Table2[[#This Row],[SR]]="Yes",Table2[[#This Row],[λ]], 0)</f>
        <v>0</v>
      </c>
    </row>
    <row r="22" spans="1:25" ht="43.2" outlineLevel="1">
      <c r="A22" s="128" t="s">
        <v>626</v>
      </c>
      <c r="B22" s="12" t="s">
        <v>4</v>
      </c>
      <c r="C22" s="12" t="s">
        <v>61</v>
      </c>
      <c r="D22" s="12"/>
      <c r="E22" s="12"/>
      <c r="F22" s="125">
        <f>VLOOKUP(Table2[Function], Table1[], 5, FALSE)</f>
        <v>12.533195610071012</v>
      </c>
      <c r="G22" s="19" t="s">
        <v>66</v>
      </c>
      <c r="H22" s="320" t="s">
        <v>35</v>
      </c>
      <c r="I22" s="122" t="s">
        <v>462</v>
      </c>
      <c r="J22" s="13">
        <f t="shared" si="0"/>
        <v>0.125</v>
      </c>
      <c r="K22" s="70">
        <f>Table2[[#This Row],[λ]]*Table2[[#This Row],[Failure rate distribution]]</f>
        <v>1.5666494512588764</v>
      </c>
      <c r="L22" s="320" t="s">
        <v>44</v>
      </c>
      <c r="M22" s="26" t="str">
        <f>VLOOKUP(Table2[[#This Row],[Applicable Safety mechanism]],Table3[],2,FALSE)</f>
        <v>Voltage supervisor (Monitoring of voltage)
Undervoltage detection</v>
      </c>
      <c r="N22" s="27" t="str">
        <f>VLOOKUP(Table2[[#This Row],[Applicable Safety mechanism]], Table3[], 3,FALSE)</f>
        <v>D.2.8.2</v>
      </c>
      <c r="O22" s="28">
        <f>VLOOKUP(Table2[[#This Row],[Applicable Safety mechanism]], Table3[], 6,FALSE)</f>
        <v>0.99</v>
      </c>
      <c r="P22" s="29">
        <f>IF(Table2[[#This Row],[Failure mode that has the potential to violate the safety goal in absence of safety mechanism?]]="Yes", Table2[[#This Row],[Failure mode rate]]*(1-Table2[[#This Row],[Failure mode coverage wrt. violation of safety goals]]), 0)</f>
        <v>1.566649451258878E-2</v>
      </c>
      <c r="Q22" s="318" t="s">
        <v>36</v>
      </c>
      <c r="R22" s="11"/>
      <c r="S22" s="318"/>
      <c r="T22" s="170"/>
      <c r="U22" s="16"/>
      <c r="V22" s="125">
        <f>IF(Table2[[#This Row],[Failure mode that may lead to the violation of safety goals in combination with an independent failure of another block ?]]="Yes",(1-Table2[[#This Row],[Failure mode coverage with respect to latent failures]])*Table2[[#This Row],[Failure mode rate]], 0)</f>
        <v>0</v>
      </c>
      <c r="W22" s="12"/>
      <c r="X22" s="339"/>
      <c r="Y22" s="125">
        <f>IF(Table2[[#This Row],[SR]]="Yes",Table2[[#This Row],[λ]], 0)</f>
        <v>0</v>
      </c>
    </row>
    <row r="23" spans="1:25" ht="43.2" outlineLevel="1">
      <c r="A23" s="18" t="s">
        <v>627</v>
      </c>
      <c r="B23" s="12" t="s">
        <v>4</v>
      </c>
      <c r="C23" s="12" t="s">
        <v>61</v>
      </c>
      <c r="D23" s="12"/>
      <c r="E23" s="12"/>
      <c r="F23" s="125">
        <f>VLOOKUP(Table2[Function], Table1[], 5, FALSE)</f>
        <v>12.533195610071012</v>
      </c>
      <c r="G23" s="19" t="s">
        <v>67</v>
      </c>
      <c r="H23" s="318" t="s">
        <v>35</v>
      </c>
      <c r="I23" s="122" t="s">
        <v>462</v>
      </c>
      <c r="J23" s="13">
        <f t="shared" si="0"/>
        <v>0.125</v>
      </c>
      <c r="K23" s="17">
        <f>Table2[[#This Row],[λ]]*Table2[[#This Row],[Failure rate distribution]]</f>
        <v>1.5666494512588764</v>
      </c>
      <c r="L23" s="318" t="s">
        <v>44</v>
      </c>
      <c r="M23" s="20" t="str">
        <f>VLOOKUP(Table2[[#This Row],[Applicable Safety mechanism]],Table3[],2,FALSE)</f>
        <v>Voltage supervisor (Monitoring of voltage)
Undervoltage detection</v>
      </c>
      <c r="N23" s="21" t="str">
        <f>VLOOKUP(Table2[[#This Row],[Applicable Safety mechanism]], Table3[], 3,FALSE)</f>
        <v>D.2.8.2</v>
      </c>
      <c r="O23" s="16">
        <f>VLOOKUP(Table2[[#This Row],[Applicable Safety mechanism]], Table3[], 6,FALSE)</f>
        <v>0.99</v>
      </c>
      <c r="P23" s="22">
        <f>IF(Table2[[#This Row],[Failure mode that has the potential to violate the safety goal in absence of safety mechanism?]]="Yes", Table2[[#This Row],[Failure mode rate]]*(1-Table2[[#This Row],[Failure mode coverage wrt. violation of safety goals]]), 0)</f>
        <v>1.566649451258878E-2</v>
      </c>
      <c r="Q23" s="318" t="s">
        <v>36</v>
      </c>
      <c r="R23" s="11"/>
      <c r="S23" s="318"/>
      <c r="T23" s="170"/>
      <c r="U23" s="16"/>
      <c r="V23" s="125">
        <f>IF(Table2[[#This Row],[Failure mode that may lead to the violation of safety goals in combination with an independent failure of another block ?]]="Yes",(1-Table2[[#This Row],[Failure mode coverage with respect to latent failures]])*Table2[[#This Row],[Failure mode rate]], 0)</f>
        <v>0</v>
      </c>
      <c r="W23" s="12"/>
      <c r="X23" s="339"/>
      <c r="Y23" s="125">
        <f>IF(Table2[[#This Row],[SR]]="Yes",Table2[[#This Row],[λ]], 0)</f>
        <v>0</v>
      </c>
    </row>
    <row r="24" spans="1:25" ht="43.2" outlineLevel="1">
      <c r="A24" s="128" t="s">
        <v>628</v>
      </c>
      <c r="B24" s="12" t="s">
        <v>4</v>
      </c>
      <c r="C24" s="12" t="s">
        <v>61</v>
      </c>
      <c r="D24" s="12"/>
      <c r="E24" s="12"/>
      <c r="F24" s="125">
        <f>VLOOKUP(Table2[Function], Table1[], 5, FALSE)</f>
        <v>12.533195610071012</v>
      </c>
      <c r="G24" s="19" t="s">
        <v>68</v>
      </c>
      <c r="H24" s="318" t="s">
        <v>35</v>
      </c>
      <c r="I24" s="122" t="s">
        <v>462</v>
      </c>
      <c r="J24" s="13">
        <f t="shared" si="0"/>
        <v>0.125</v>
      </c>
      <c r="K24" s="17">
        <f>Table2[[#This Row],[λ]]*Table2[[#This Row],[Failure rate distribution]]</f>
        <v>1.5666494512588764</v>
      </c>
      <c r="L24" s="318" t="s">
        <v>41</v>
      </c>
      <c r="M24" s="20" t="str">
        <f>VLOOKUP(Table2[[#This Row],[Applicable Safety mechanism]],Table3[],2,FALSE)</f>
        <v>Voltage supervisor (Monitoring of voltage)
Overvoltage detection</v>
      </c>
      <c r="N24" s="21" t="str">
        <f>VLOOKUP(Table2[[#This Row],[Applicable Safety mechanism]], Table3[], 3,FALSE)</f>
        <v>D.2.8.2</v>
      </c>
      <c r="O24" s="16">
        <f>VLOOKUP(Table2[[#This Row],[Applicable Safety mechanism]], Table3[], 6,FALSE)</f>
        <v>0.99</v>
      </c>
      <c r="P24" s="22">
        <f>IF(Table2[[#This Row],[Failure mode that has the potential to violate the safety goal in absence of safety mechanism?]]="Yes", Table2[[#This Row],[Failure mode rate]]*(1-Table2[[#This Row],[Failure mode coverage wrt. violation of safety goals]]), 0)</f>
        <v>1.566649451258878E-2</v>
      </c>
      <c r="Q24" s="318" t="s">
        <v>36</v>
      </c>
      <c r="R24" s="11"/>
      <c r="S24" s="318"/>
      <c r="T24" s="170"/>
      <c r="U24" s="16"/>
      <c r="V24" s="125">
        <f>IF(Table2[[#This Row],[Failure mode that may lead to the violation of safety goals in combination with an independent failure of another block ?]]="Yes",(1-Table2[[#This Row],[Failure mode coverage with respect to latent failures]])*Table2[[#This Row],[Failure mode rate]], 0)</f>
        <v>0</v>
      </c>
      <c r="W24" s="12"/>
      <c r="X24" s="339"/>
      <c r="Y24" s="125">
        <f>IF(Table2[[#This Row],[SR]]="Yes",Table2[[#This Row],[λ]], 0)</f>
        <v>0</v>
      </c>
    </row>
    <row r="25" spans="1:25">
      <c r="A25" s="18" t="s">
        <v>629</v>
      </c>
      <c r="B25" s="24" t="s">
        <v>4</v>
      </c>
      <c r="C25" s="24" t="s">
        <v>61</v>
      </c>
      <c r="D25" s="11" t="s">
        <v>63</v>
      </c>
      <c r="E25" s="11"/>
      <c r="F25" s="125">
        <f>VLOOKUP(Table2[Function], Table1[], 5, FALSE)</f>
        <v>12.533195610071012</v>
      </c>
      <c r="G25" s="122" t="s">
        <v>63</v>
      </c>
      <c r="H25" s="318" t="s">
        <v>63</v>
      </c>
      <c r="I25" s="122" t="s">
        <v>63</v>
      </c>
      <c r="J25" s="122" t="s">
        <v>63</v>
      </c>
      <c r="K25" s="125" t="s">
        <v>63</v>
      </c>
      <c r="L25" s="318" t="s">
        <v>63</v>
      </c>
      <c r="M25" s="122" t="s">
        <v>63</v>
      </c>
      <c r="N25" s="122" t="s">
        <v>63</v>
      </c>
      <c r="O25" s="122" t="s">
        <v>63</v>
      </c>
      <c r="P25" s="122" t="s">
        <v>63</v>
      </c>
      <c r="Q25" s="318" t="s">
        <v>63</v>
      </c>
      <c r="R25" s="11"/>
      <c r="S25" s="318"/>
      <c r="T25" s="170"/>
      <c r="U25" s="122"/>
      <c r="V25" s="122"/>
      <c r="W25" s="122"/>
      <c r="X25" s="318"/>
      <c r="Y25" s="125"/>
    </row>
    <row r="26" spans="1:25" ht="72" outlineLevel="1">
      <c r="A26" s="128" t="s">
        <v>630</v>
      </c>
      <c r="B26" s="12" t="s">
        <v>5</v>
      </c>
      <c r="C26" s="12" t="s">
        <v>72</v>
      </c>
      <c r="D26" s="12" t="s">
        <v>199</v>
      </c>
      <c r="E26" s="20" t="s">
        <v>200</v>
      </c>
      <c r="F26" s="125">
        <f>VLOOKUP(Table2[Function], Table1[], 5, FALSE)</f>
        <v>2.3876049063912199</v>
      </c>
      <c r="G26" s="19" t="s">
        <v>27</v>
      </c>
      <c r="H26" s="318" t="s">
        <v>35</v>
      </c>
      <c r="I26" s="122" t="s">
        <v>462</v>
      </c>
      <c r="J26" s="13">
        <f t="shared" ref="J26:J33" si="1">1/9</f>
        <v>0.1111111111111111</v>
      </c>
      <c r="K26" s="17">
        <f>Table2[[#This Row],[λ]]*Table2[[#This Row],[Failure rate distribution]]</f>
        <v>0.26528943404346889</v>
      </c>
      <c r="L26" s="318" t="s">
        <v>41</v>
      </c>
      <c r="M26" s="20" t="str">
        <f>VLOOKUP(Table2[[#This Row],[Applicable Safety mechanism]],Table3[],2,FALSE)</f>
        <v>Voltage supervisor (Monitoring of voltage)
Overvoltage detection</v>
      </c>
      <c r="N26" s="21" t="str">
        <f>VLOOKUP(Table2[[#This Row],[Applicable Safety mechanism]], Table3[], 3,FALSE)</f>
        <v>D.2.8.2</v>
      </c>
      <c r="O26" s="16">
        <f>VLOOKUP(Table2[[#This Row],[Applicable Safety mechanism]], Table3[], 6,FALSE)</f>
        <v>0.99</v>
      </c>
      <c r="P26" s="22">
        <f>IF(Table2[[#This Row],[Failure mode that has the potential to violate the safety goal in absence of safety mechanism?]]="Yes", Table2[[#This Row],[Failure mode rate]]*(1-Table2[[#This Row],[Failure mode coverage wrt. violation of safety goals]]), 0)</f>
        <v>2.6528943404346911E-3</v>
      </c>
      <c r="Q26" s="318" t="s">
        <v>36</v>
      </c>
      <c r="R26" s="11"/>
      <c r="S26" s="318"/>
      <c r="T26" s="170"/>
      <c r="U26" s="16"/>
      <c r="V26" s="125">
        <f>IF(Table2[[#This Row],[Failure mode that may lead to the violation of safety goals in combination with an independent failure of another block ?]]="Yes",(1-Table2[[#This Row],[Failure mode coverage with respect to latent failures]])*Table2[[#This Row],[Failure mode rate]], 0)</f>
        <v>0</v>
      </c>
      <c r="W26" s="12"/>
      <c r="X26" s="339" t="s">
        <v>35</v>
      </c>
      <c r="Y26" s="125">
        <f>IF(Table2[[#This Row],[SR]]="Yes",Table2[[#This Row],[λ]], 0)</f>
        <v>2.3876049063912199</v>
      </c>
    </row>
    <row r="27" spans="1:25" ht="43.2" outlineLevel="1">
      <c r="A27" s="18" t="s">
        <v>631</v>
      </c>
      <c r="B27" s="12" t="s">
        <v>5</v>
      </c>
      <c r="C27" s="12" t="s">
        <v>72</v>
      </c>
      <c r="D27" s="12"/>
      <c r="E27" s="12"/>
      <c r="F27" s="125">
        <f>VLOOKUP(Table2[Function], Table1[], 5, FALSE)</f>
        <v>2.3876049063912199</v>
      </c>
      <c r="G27" s="19" t="s">
        <v>28</v>
      </c>
      <c r="H27" s="318" t="s">
        <v>35</v>
      </c>
      <c r="I27" s="122" t="s">
        <v>462</v>
      </c>
      <c r="J27" s="13">
        <f t="shared" si="1"/>
        <v>0.1111111111111111</v>
      </c>
      <c r="K27" s="17">
        <f>Table2[[#This Row],[λ]]*Table2[[#This Row],[Failure rate distribution]]</f>
        <v>0.26528943404346889</v>
      </c>
      <c r="L27" s="318" t="s">
        <v>44</v>
      </c>
      <c r="M27" s="20" t="str">
        <f>VLOOKUP(Table2[[#This Row],[Applicable Safety mechanism]],Table3[],2,FALSE)</f>
        <v>Voltage supervisor (Monitoring of voltage)
Undervoltage detection</v>
      </c>
      <c r="N27" s="21" t="str">
        <f>VLOOKUP(Table2[[#This Row],[Applicable Safety mechanism]], Table3[], 3,FALSE)</f>
        <v>D.2.8.2</v>
      </c>
      <c r="O27" s="16">
        <f>VLOOKUP(Table2[[#This Row],[Applicable Safety mechanism]], Table3[], 6,FALSE)</f>
        <v>0.99</v>
      </c>
      <c r="P27" s="22">
        <f>IF(Table2[[#This Row],[Failure mode that has the potential to violate the safety goal in absence of safety mechanism?]]="Yes", Table2[[#This Row],[Failure mode rate]]*(1-Table2[[#This Row],[Failure mode coverage wrt. violation of safety goals]]), 0)</f>
        <v>2.6528943404346911E-3</v>
      </c>
      <c r="Q27" s="318" t="s">
        <v>36</v>
      </c>
      <c r="R27" s="11"/>
      <c r="S27" s="318"/>
      <c r="T27" s="170"/>
      <c r="U27" s="16"/>
      <c r="V27" s="125">
        <f>IF(Table2[[#This Row],[Failure mode that may lead to the violation of safety goals in combination with an independent failure of another block ?]]="Yes",(1-Table2[[#This Row],[Failure mode coverage with respect to latent failures]])*Table2[[#This Row],[Failure mode rate]], 0)</f>
        <v>0</v>
      </c>
      <c r="W27" s="12"/>
      <c r="X27" s="339"/>
      <c r="Y27" s="125">
        <f>IF(Table2[[#This Row],[SR]]="Yes",Table2[[#This Row],[λ]], 0)</f>
        <v>0</v>
      </c>
    </row>
    <row r="28" spans="1:25" ht="28.8" outlineLevel="1">
      <c r="A28" s="128" t="s">
        <v>632</v>
      </c>
      <c r="B28" s="12" t="s">
        <v>5</v>
      </c>
      <c r="C28" s="12" t="s">
        <v>72</v>
      </c>
      <c r="D28" s="12"/>
      <c r="E28" s="12"/>
      <c r="F28" s="125">
        <f>VLOOKUP(Table2[Function], Table1[], 5, FALSE)</f>
        <v>2.3876049063912199</v>
      </c>
      <c r="G28" s="19" t="s">
        <v>64</v>
      </c>
      <c r="H28" s="318" t="s">
        <v>35</v>
      </c>
      <c r="I28" s="122" t="s">
        <v>462</v>
      </c>
      <c r="J28" s="13">
        <f t="shared" si="1"/>
        <v>0.1111111111111111</v>
      </c>
      <c r="K28" s="17">
        <f>Table2[[#This Row],[λ]]*Table2[[#This Row],[Failure rate distribution]]</f>
        <v>0.26528943404346889</v>
      </c>
      <c r="L28" s="318" t="s">
        <v>58</v>
      </c>
      <c r="M28" s="20" t="str">
        <f>VLOOKUP(Table2[[#This Row],[Applicable Safety mechanism]],Table3[],2,FALSE)</f>
        <v>Voltage supervisor (Monitoring of voltage)</v>
      </c>
      <c r="N28" s="21" t="str">
        <f>VLOOKUP(Table2[[#This Row],[Applicable Safety mechanism]], Table3[], 3,FALSE)</f>
        <v>D.2.8.2</v>
      </c>
      <c r="O28" s="16">
        <f>VLOOKUP(Table2[[#This Row],[Applicable Safety mechanism]], Table3[], 6,FALSE)</f>
        <v>0.99</v>
      </c>
      <c r="P28" s="22">
        <f>IF(Table2[[#This Row],[Failure mode that has the potential to violate the safety goal in absence of safety mechanism?]]="Yes", Table2[[#This Row],[Failure mode rate]]*(1-Table2[[#This Row],[Failure mode coverage wrt. violation of safety goals]]), 0)</f>
        <v>2.6528943404346911E-3</v>
      </c>
      <c r="Q28" s="318" t="s">
        <v>36</v>
      </c>
      <c r="R28" s="11"/>
      <c r="S28" s="318"/>
      <c r="T28" s="170"/>
      <c r="U28" s="16"/>
      <c r="V28" s="125">
        <f>IF(Table2[[#This Row],[Failure mode that may lead to the violation of safety goals in combination with an independent failure of another block ?]]="Yes",(1-Table2[[#This Row],[Failure mode coverage with respect to latent failures]])*Table2[[#This Row],[Failure mode rate]], 0)</f>
        <v>0</v>
      </c>
      <c r="W28" s="12"/>
      <c r="X28" s="339"/>
      <c r="Y28" s="125">
        <f>IF(Table2[[#This Row],[SR]]="Yes",Table2[[#This Row],[λ]], 0)</f>
        <v>0</v>
      </c>
    </row>
    <row r="29" spans="1:25" ht="28.8" outlineLevel="1">
      <c r="A29" s="18" t="s">
        <v>633</v>
      </c>
      <c r="B29" s="12" t="s">
        <v>5</v>
      </c>
      <c r="C29" s="12" t="s">
        <v>72</v>
      </c>
      <c r="D29" s="12"/>
      <c r="E29" s="12"/>
      <c r="F29" s="125">
        <f>VLOOKUP(Table2[Function], Table1[], 5, FALSE)</f>
        <v>2.3876049063912199</v>
      </c>
      <c r="G29" s="19" t="s">
        <v>65</v>
      </c>
      <c r="H29" s="318" t="s">
        <v>35</v>
      </c>
      <c r="I29" s="122" t="s">
        <v>462</v>
      </c>
      <c r="J29" s="13">
        <f t="shared" si="1"/>
        <v>0.1111111111111111</v>
      </c>
      <c r="K29" s="17">
        <f>Table2[[#This Row],[λ]]*Table2[[#This Row],[Failure rate distribution]]</f>
        <v>0.26528943404346889</v>
      </c>
      <c r="L29" s="318" t="s">
        <v>58</v>
      </c>
      <c r="M29" s="20" t="str">
        <f>VLOOKUP(Table2[[#This Row],[Applicable Safety mechanism]],Table3[],2,FALSE)</f>
        <v>Voltage supervisor (Monitoring of voltage)</v>
      </c>
      <c r="N29" s="21" t="str">
        <f>VLOOKUP(Table2[[#This Row],[Applicable Safety mechanism]], Table3[], 3,FALSE)</f>
        <v>D.2.8.2</v>
      </c>
      <c r="O29" s="16">
        <f>VLOOKUP(Table2[[#This Row],[Applicable Safety mechanism]], Table3[], 6,FALSE)</f>
        <v>0.99</v>
      </c>
      <c r="P29" s="22">
        <f>IF(Table2[[#This Row],[Failure mode that has the potential to violate the safety goal in absence of safety mechanism?]]="Yes", Table2[[#This Row],[Failure mode rate]]*(1-Table2[[#This Row],[Failure mode coverage wrt. violation of safety goals]]), 0)</f>
        <v>2.6528943404346911E-3</v>
      </c>
      <c r="Q29" s="318" t="s">
        <v>36</v>
      </c>
      <c r="R29" s="11"/>
      <c r="S29" s="318"/>
      <c r="T29" s="170"/>
      <c r="U29" s="16"/>
      <c r="V29" s="125">
        <f>IF(Table2[[#This Row],[Failure mode that may lead to the violation of safety goals in combination with an independent failure of another block ?]]="Yes",(1-Table2[[#This Row],[Failure mode coverage with respect to latent failures]])*Table2[[#This Row],[Failure mode rate]], 0)</f>
        <v>0</v>
      </c>
      <c r="W29" s="12"/>
      <c r="X29" s="339"/>
      <c r="Y29" s="125">
        <f>IF(Table2[[#This Row],[SR]]="Yes",Table2[[#This Row],[λ]], 0)</f>
        <v>0</v>
      </c>
    </row>
    <row r="30" spans="1:25" ht="43.2" outlineLevel="1">
      <c r="A30" s="128" t="s">
        <v>634</v>
      </c>
      <c r="B30" s="12" t="s">
        <v>5</v>
      </c>
      <c r="C30" s="12" t="s">
        <v>72</v>
      </c>
      <c r="D30" s="12"/>
      <c r="E30" s="12"/>
      <c r="F30" s="125">
        <f>VLOOKUP(Table2[Function], Table1[], 5, FALSE)</f>
        <v>2.3876049063912199</v>
      </c>
      <c r="G30" s="19" t="s">
        <v>69</v>
      </c>
      <c r="H30" s="318" t="s">
        <v>35</v>
      </c>
      <c r="I30" s="122" t="s">
        <v>462</v>
      </c>
      <c r="J30" s="13">
        <f t="shared" si="1"/>
        <v>0.1111111111111111</v>
      </c>
      <c r="K30" s="17">
        <f>Table2[[#This Row],[λ]]*Table2[[#This Row],[Failure rate distribution]]</f>
        <v>0.26528943404346889</v>
      </c>
      <c r="L30" s="318" t="s">
        <v>41</v>
      </c>
      <c r="M30" s="20" t="str">
        <f>VLOOKUP(Table2[[#This Row],[Applicable Safety mechanism]],Table3[],2,FALSE)</f>
        <v>Voltage supervisor (Monitoring of voltage)
Overvoltage detection</v>
      </c>
      <c r="N30" s="21" t="str">
        <f>VLOOKUP(Table2[[#This Row],[Applicable Safety mechanism]], Table3[], 3,FALSE)</f>
        <v>D.2.8.2</v>
      </c>
      <c r="O30" s="16">
        <f>VLOOKUP(Table2[[#This Row],[Applicable Safety mechanism]], Table3[], 6,FALSE)</f>
        <v>0.99</v>
      </c>
      <c r="P30" s="22">
        <f>IF(Table2[[#This Row],[Failure mode that has the potential to violate the safety goal in absence of safety mechanism?]]="Yes", Table2[[#This Row],[Failure mode rate]]*(1-Table2[[#This Row],[Failure mode coverage wrt. violation of safety goals]]), 0)</f>
        <v>2.6528943404346911E-3</v>
      </c>
      <c r="Q30" s="318" t="s">
        <v>36</v>
      </c>
      <c r="R30" s="11"/>
      <c r="S30" s="318"/>
      <c r="T30" s="170"/>
      <c r="U30" s="16"/>
      <c r="V30" s="125">
        <f>IF(Table2[[#This Row],[Failure mode that may lead to the violation of safety goals in combination with an independent failure of another block ?]]="Yes",(1-Table2[[#This Row],[Failure mode coverage with respect to latent failures]])*Table2[[#This Row],[Failure mode rate]], 0)</f>
        <v>0</v>
      </c>
      <c r="W30" s="12"/>
      <c r="X30" s="339"/>
      <c r="Y30" s="125">
        <f>IF(Table2[[#This Row],[SR]]="Yes",Table2[[#This Row],[λ]], 0)</f>
        <v>0</v>
      </c>
    </row>
    <row r="31" spans="1:25" ht="43.2" outlineLevel="1">
      <c r="A31" s="18" t="s">
        <v>635</v>
      </c>
      <c r="B31" s="12" t="s">
        <v>5</v>
      </c>
      <c r="C31" s="12" t="s">
        <v>72</v>
      </c>
      <c r="D31" s="12"/>
      <c r="E31" s="12"/>
      <c r="F31" s="125">
        <f>VLOOKUP(Table2[Function], Table1[], 5, FALSE)</f>
        <v>2.3876049063912199</v>
      </c>
      <c r="G31" s="19" t="s">
        <v>70</v>
      </c>
      <c r="H31" s="318" t="s">
        <v>35</v>
      </c>
      <c r="I31" s="122" t="s">
        <v>462</v>
      </c>
      <c r="J31" s="13">
        <f t="shared" si="1"/>
        <v>0.1111111111111111</v>
      </c>
      <c r="K31" s="17">
        <f>Table2[[#This Row],[λ]]*Table2[[#This Row],[Failure rate distribution]]</f>
        <v>0.26528943404346889</v>
      </c>
      <c r="L31" s="318" t="s">
        <v>44</v>
      </c>
      <c r="M31" s="20" t="str">
        <f>VLOOKUP(Table2[[#This Row],[Applicable Safety mechanism]],Table3[],2,FALSE)</f>
        <v>Voltage supervisor (Monitoring of voltage)
Undervoltage detection</v>
      </c>
      <c r="N31" s="21" t="str">
        <f>VLOOKUP(Table2[[#This Row],[Applicable Safety mechanism]], Table3[], 3,FALSE)</f>
        <v>D.2.8.2</v>
      </c>
      <c r="O31" s="16">
        <f>VLOOKUP(Table2[[#This Row],[Applicable Safety mechanism]], Table3[], 6,FALSE)</f>
        <v>0.99</v>
      </c>
      <c r="P31" s="22">
        <f>IF(Table2[[#This Row],[Failure mode that has the potential to violate the safety goal in absence of safety mechanism?]]="Yes", Table2[[#This Row],[Failure mode rate]]*(1-Table2[[#This Row],[Failure mode coverage wrt. violation of safety goals]]), 0)</f>
        <v>2.6528943404346911E-3</v>
      </c>
      <c r="Q31" s="318" t="s">
        <v>36</v>
      </c>
      <c r="R31" s="11"/>
      <c r="S31" s="318"/>
      <c r="T31" s="170"/>
      <c r="U31" s="16"/>
      <c r="V31" s="125">
        <f>IF(Table2[[#This Row],[Failure mode that may lead to the violation of safety goals in combination with an independent failure of another block ?]]="Yes",(1-Table2[[#This Row],[Failure mode coverage with respect to latent failures]])*Table2[[#This Row],[Failure mode rate]], 0)</f>
        <v>0</v>
      </c>
      <c r="W31" s="12"/>
      <c r="X31" s="339"/>
      <c r="Y31" s="125">
        <f>IF(Table2[[#This Row],[SR]]="Yes",Table2[[#This Row],[λ]], 0)</f>
        <v>0</v>
      </c>
    </row>
    <row r="32" spans="1:25" ht="43.2" outlineLevel="1">
      <c r="A32" s="128" t="s">
        <v>636</v>
      </c>
      <c r="B32" s="12" t="s">
        <v>5</v>
      </c>
      <c r="C32" s="12" t="s">
        <v>72</v>
      </c>
      <c r="D32" s="12"/>
      <c r="E32" s="12"/>
      <c r="F32" s="125">
        <f>VLOOKUP(Table2[Function], Table1[], 5, FALSE)</f>
        <v>2.3876049063912199</v>
      </c>
      <c r="G32" s="19" t="s">
        <v>71</v>
      </c>
      <c r="H32" s="318" t="s">
        <v>35</v>
      </c>
      <c r="I32" s="122" t="s">
        <v>462</v>
      </c>
      <c r="J32" s="13">
        <f t="shared" si="1"/>
        <v>0.1111111111111111</v>
      </c>
      <c r="K32" s="17">
        <f>Table2[[#This Row],[λ]]*Table2[[#This Row],[Failure rate distribution]]</f>
        <v>0.26528943404346889</v>
      </c>
      <c r="L32" s="318" t="s">
        <v>44</v>
      </c>
      <c r="M32" s="20" t="str">
        <f>VLOOKUP(Table2[[#This Row],[Applicable Safety mechanism]],Table3[],2,FALSE)</f>
        <v>Voltage supervisor (Monitoring of voltage)
Undervoltage detection</v>
      </c>
      <c r="N32" s="21" t="str">
        <f>VLOOKUP(Table2[[#This Row],[Applicable Safety mechanism]], Table3[], 3,FALSE)</f>
        <v>D.2.8.2</v>
      </c>
      <c r="O32" s="16">
        <f>VLOOKUP(Table2[[#This Row],[Applicable Safety mechanism]], Table3[], 6,FALSE)</f>
        <v>0.99</v>
      </c>
      <c r="P32" s="126">
        <f>IF(Table2[[#This Row],[Failure mode that has the potential to violate the safety goal in absence of safety mechanism?]]="Yes", Table2[[#This Row],[Failure mode rate]]*(1-Table2[[#This Row],[Failure mode coverage wrt. violation of safety goals]]), 0)</f>
        <v>2.6528943404346911E-3</v>
      </c>
      <c r="Q32" s="318" t="s">
        <v>36</v>
      </c>
      <c r="R32" s="11"/>
      <c r="S32" s="318"/>
      <c r="T32" s="170"/>
      <c r="U32" s="16"/>
      <c r="V32" s="125">
        <f>IF(Table2[[#This Row],[Failure mode that may lead to the violation of safety goals in combination with an independent failure of another block ?]]="Yes",(1-Table2[[#This Row],[Failure mode coverage with respect to latent failures]])*Table2[[#This Row],[Failure mode rate]], 0)</f>
        <v>0</v>
      </c>
      <c r="W32" s="123" t="s">
        <v>379</v>
      </c>
      <c r="X32" s="339"/>
      <c r="Y32" s="125">
        <f>IF(Table2[[#This Row],[SR]]="Yes",Table2[[#This Row],[λ]], 0)</f>
        <v>0</v>
      </c>
    </row>
    <row r="33" spans="1:25" ht="28.8" outlineLevel="1">
      <c r="A33" s="18" t="s">
        <v>637</v>
      </c>
      <c r="B33" s="12" t="s">
        <v>5</v>
      </c>
      <c r="C33" s="12" t="s">
        <v>72</v>
      </c>
      <c r="D33" s="12"/>
      <c r="E33" s="12"/>
      <c r="F33" s="125">
        <f>VLOOKUP(Table2[Function], Table1[], 5, FALSE)</f>
        <v>2.3876049063912199</v>
      </c>
      <c r="G33" s="19" t="s">
        <v>74</v>
      </c>
      <c r="H33" s="318" t="s">
        <v>35</v>
      </c>
      <c r="I33" s="122" t="s">
        <v>462</v>
      </c>
      <c r="J33" s="13">
        <f t="shared" si="1"/>
        <v>0.1111111111111111</v>
      </c>
      <c r="K33" s="70">
        <f>Table2[[#This Row],[λ]]*Table2[[#This Row],[Failure rate distribution]]</f>
        <v>0.26528943404346889</v>
      </c>
      <c r="L33" s="320" t="s">
        <v>58</v>
      </c>
      <c r="M33" s="26" t="str">
        <f>VLOOKUP(Table2[[#This Row],[Applicable Safety mechanism]],Table3[],2,FALSE)</f>
        <v>Voltage supervisor (Monitoring of voltage)</v>
      </c>
      <c r="N33" s="27" t="str">
        <f>VLOOKUP(Table2[[#This Row],[Applicable Safety mechanism]], Table3[], 3,FALSE)</f>
        <v>D.2.8.2</v>
      </c>
      <c r="O33" s="28">
        <f>VLOOKUP(Table2[[#This Row],[Applicable Safety mechanism]], Table3[], 6,FALSE)</f>
        <v>0.99</v>
      </c>
      <c r="P33" s="29">
        <f>IF(Table2[[#This Row],[Failure mode that has the potential to violate the safety goal in absence of safety mechanism?]]="Yes", Table2[[#This Row],[Failure mode rate]]*(1-Table2[[#This Row],[Failure mode coverage wrt. violation of safety goals]]), 0)</f>
        <v>2.6528943404346911E-3</v>
      </c>
      <c r="Q33" s="318" t="s">
        <v>36</v>
      </c>
      <c r="R33" s="11"/>
      <c r="S33" s="318"/>
      <c r="T33" s="170"/>
      <c r="U33" s="16"/>
      <c r="V33" s="125">
        <f>IF(Table2[[#This Row],[Failure mode that may lead to the violation of safety goals in combination with an independent failure of another block ?]]="Yes",(1-Table2[[#This Row],[Failure mode coverage with respect to latent failures]])*Table2[[#This Row],[Failure mode rate]], 0)</f>
        <v>0</v>
      </c>
      <c r="W33" s="12"/>
      <c r="X33" s="339"/>
      <c r="Y33" s="125">
        <f>IF(Table2[[#This Row],[SR]]="Yes",Table2[[#This Row],[λ]], 0)</f>
        <v>0</v>
      </c>
    </row>
    <row r="34" spans="1:25" ht="43.2" outlineLevel="1">
      <c r="A34" s="128" t="s">
        <v>638</v>
      </c>
      <c r="B34" s="12" t="s">
        <v>5</v>
      </c>
      <c r="C34" s="12" t="s">
        <v>72</v>
      </c>
      <c r="D34" s="12"/>
      <c r="E34" s="12"/>
      <c r="F34" s="125">
        <f>VLOOKUP(Table2[Function], Table1[], 5, FALSE)</f>
        <v>2.3876049063912199</v>
      </c>
      <c r="G34" s="19" t="s">
        <v>73</v>
      </c>
      <c r="H34" s="318" t="s">
        <v>35</v>
      </c>
      <c r="I34" s="122" t="s">
        <v>462</v>
      </c>
      <c r="J34" s="13">
        <f t="shared" ref="J34:J44" si="2">1/9</f>
        <v>0.1111111111111111</v>
      </c>
      <c r="K34" s="17">
        <f>Table2[[#This Row],[λ]]*Table2[[#This Row],[Failure rate distribution]]</f>
        <v>0.26528943404346889</v>
      </c>
      <c r="L34" s="318" t="s">
        <v>41</v>
      </c>
      <c r="M34" s="20" t="str">
        <f>VLOOKUP(Table2[[#This Row],[Applicable Safety mechanism]],Table3[],2,FALSE)</f>
        <v>Voltage supervisor (Monitoring of voltage)
Overvoltage detection</v>
      </c>
      <c r="N34" s="21" t="str">
        <f>VLOOKUP(Table2[[#This Row],[Applicable Safety mechanism]], Table3[], 3,FALSE)</f>
        <v>D.2.8.2</v>
      </c>
      <c r="O34" s="16">
        <f>VLOOKUP(Table2[[#This Row],[Applicable Safety mechanism]], Table3[], 6,FALSE)</f>
        <v>0.99</v>
      </c>
      <c r="P34" s="22">
        <f>IF(Table2[[#This Row],[Failure mode that has the potential to violate the safety goal in absence of safety mechanism?]]="Yes", Table2[[#This Row],[Failure mode rate]]*(1-Table2[[#This Row],[Failure mode coverage wrt. violation of safety goals]]), 0)</f>
        <v>2.6528943404346911E-3</v>
      </c>
      <c r="Q34" s="318" t="s">
        <v>36</v>
      </c>
      <c r="R34" s="11"/>
      <c r="S34" s="318"/>
      <c r="T34" s="170"/>
      <c r="U34" s="16"/>
      <c r="V34" s="125">
        <f>IF(Table2[[#This Row],[Failure mode that may lead to the violation of safety goals in combination with an independent failure of another block ?]]="Yes",(1-Table2[[#This Row],[Failure mode coverage with respect to latent failures]])*Table2[[#This Row],[Failure mode rate]], 0)</f>
        <v>0</v>
      </c>
      <c r="W34" s="12"/>
      <c r="X34" s="339"/>
      <c r="Y34" s="125">
        <f>IF(Table2[[#This Row],[SR]]="Yes",Table2[[#This Row],[λ]], 0)</f>
        <v>0</v>
      </c>
    </row>
    <row r="35" spans="1:25">
      <c r="A35" s="18" t="s">
        <v>639</v>
      </c>
      <c r="B35" s="24" t="s">
        <v>5</v>
      </c>
      <c r="C35" s="24" t="s">
        <v>72</v>
      </c>
      <c r="D35" s="11" t="s">
        <v>63</v>
      </c>
      <c r="E35" s="11"/>
      <c r="F35" s="125">
        <f>VLOOKUP(Table2[Function], Table1[], 5, FALSE)</f>
        <v>2.3876049063912199</v>
      </c>
      <c r="G35" s="122" t="s">
        <v>63</v>
      </c>
      <c r="H35" s="318" t="s">
        <v>63</v>
      </c>
      <c r="I35" s="122" t="s">
        <v>63</v>
      </c>
      <c r="J35" s="122" t="s">
        <v>63</v>
      </c>
      <c r="K35" s="125" t="s">
        <v>63</v>
      </c>
      <c r="L35" s="318" t="s">
        <v>63</v>
      </c>
      <c r="M35" s="122" t="s">
        <v>63</v>
      </c>
      <c r="N35" s="122" t="s">
        <v>63</v>
      </c>
      <c r="O35" s="122" t="s">
        <v>63</v>
      </c>
      <c r="P35" s="122" t="s">
        <v>63</v>
      </c>
      <c r="Q35" s="318" t="s">
        <v>63</v>
      </c>
      <c r="R35" s="11"/>
      <c r="S35" s="318"/>
      <c r="T35" s="170"/>
      <c r="U35" s="122"/>
      <c r="V35" s="122"/>
      <c r="W35" s="122"/>
      <c r="X35" s="318"/>
      <c r="Y35" s="125"/>
    </row>
    <row r="36" spans="1:25" ht="72" outlineLevel="1">
      <c r="A36" s="128" t="s">
        <v>640</v>
      </c>
      <c r="B36" s="12" t="s">
        <v>6</v>
      </c>
      <c r="C36" s="123" t="s">
        <v>72</v>
      </c>
      <c r="D36" s="12" t="s">
        <v>201</v>
      </c>
      <c r="E36" s="12" t="s">
        <v>202</v>
      </c>
      <c r="F36" s="125">
        <f>VLOOKUP(Table2[Function], Table1[], 5, FALSE)</f>
        <v>2.3876049063912199</v>
      </c>
      <c r="G36" s="19" t="s">
        <v>27</v>
      </c>
      <c r="H36" s="318" t="s">
        <v>35</v>
      </c>
      <c r="I36" s="122" t="s">
        <v>462</v>
      </c>
      <c r="J36" s="13">
        <f t="shared" si="2"/>
        <v>0.1111111111111111</v>
      </c>
      <c r="K36" s="17">
        <f>Table2[[#This Row],[λ]]*Table2[[#This Row],[Failure rate distribution]]</f>
        <v>0.26528943404346889</v>
      </c>
      <c r="L36" s="318" t="s">
        <v>41</v>
      </c>
      <c r="M36" s="20" t="str">
        <f>VLOOKUP(Table2[[#This Row],[Applicable Safety mechanism]],Table3[],2,FALSE)</f>
        <v>Voltage supervisor (Monitoring of voltage)
Overvoltage detection</v>
      </c>
      <c r="N36" s="21" t="str">
        <f>VLOOKUP(Table2[[#This Row],[Applicable Safety mechanism]], Table3[], 3,FALSE)</f>
        <v>D.2.8.2</v>
      </c>
      <c r="O36" s="16">
        <f>VLOOKUP(Table2[[#This Row],[Applicable Safety mechanism]], Table3[], 6,FALSE)</f>
        <v>0.99</v>
      </c>
      <c r="P36" s="22">
        <f>IF(Table2[[#This Row],[Failure mode that has the potential to violate the safety goal in absence of safety mechanism?]]="Yes", Table2[[#This Row],[Failure mode rate]]*(1-Table2[[#This Row],[Failure mode coverage wrt. violation of safety goals]]), 0)</f>
        <v>2.6528943404346911E-3</v>
      </c>
      <c r="Q36" s="318" t="s">
        <v>36</v>
      </c>
      <c r="R36" s="11"/>
      <c r="S36" s="318"/>
      <c r="T36" s="170"/>
      <c r="U36" s="16"/>
      <c r="V36" s="125">
        <f>IF(Table2[[#This Row],[Failure mode that may lead to the violation of safety goals in combination with an independent failure of another block ?]]="Yes",(1-Table2[[#This Row],[Failure mode coverage with respect to latent failures]])*Table2[[#This Row],[Failure mode rate]], 0)</f>
        <v>0</v>
      </c>
      <c r="W36" s="12"/>
      <c r="X36" s="339" t="s">
        <v>35</v>
      </c>
      <c r="Y36" s="125">
        <f>IF(Table2[[#This Row],[SR]]="Yes",Table2[[#This Row],[λ]], 0)</f>
        <v>2.3876049063912199</v>
      </c>
    </row>
    <row r="37" spans="1:25" ht="43.2" outlineLevel="1">
      <c r="A37" s="18" t="s">
        <v>641</v>
      </c>
      <c r="B37" s="12" t="s">
        <v>6</v>
      </c>
      <c r="C37" s="12" t="s">
        <v>72</v>
      </c>
      <c r="D37" s="12"/>
      <c r="E37" s="12"/>
      <c r="F37" s="125">
        <f>VLOOKUP(Table2[Function], Table1[], 5, FALSE)</f>
        <v>2.3876049063912199</v>
      </c>
      <c r="G37" s="19" t="s">
        <v>28</v>
      </c>
      <c r="H37" s="318" t="s">
        <v>35</v>
      </c>
      <c r="I37" s="122" t="s">
        <v>462</v>
      </c>
      <c r="J37" s="13">
        <f t="shared" si="2"/>
        <v>0.1111111111111111</v>
      </c>
      <c r="K37" s="17">
        <f>Table2[[#This Row],[λ]]*Table2[[#This Row],[Failure rate distribution]]</f>
        <v>0.26528943404346889</v>
      </c>
      <c r="L37" s="318" t="s">
        <v>44</v>
      </c>
      <c r="M37" s="20" t="str">
        <f>VLOOKUP(Table2[[#This Row],[Applicable Safety mechanism]],Table3[],2,FALSE)</f>
        <v>Voltage supervisor (Monitoring of voltage)
Undervoltage detection</v>
      </c>
      <c r="N37" s="21" t="str">
        <f>VLOOKUP(Table2[[#This Row],[Applicable Safety mechanism]], Table3[], 3,FALSE)</f>
        <v>D.2.8.2</v>
      </c>
      <c r="O37" s="16">
        <f>VLOOKUP(Table2[[#This Row],[Applicable Safety mechanism]], Table3[], 6,FALSE)</f>
        <v>0.99</v>
      </c>
      <c r="P37" s="22">
        <f>IF(Table2[[#This Row],[Failure mode that has the potential to violate the safety goal in absence of safety mechanism?]]="Yes", Table2[[#This Row],[Failure mode rate]]*(1-Table2[[#This Row],[Failure mode coverage wrt. violation of safety goals]]), 0)</f>
        <v>2.6528943404346911E-3</v>
      </c>
      <c r="Q37" s="318" t="s">
        <v>36</v>
      </c>
      <c r="R37" s="11"/>
      <c r="S37" s="318"/>
      <c r="T37" s="170"/>
      <c r="U37" s="16"/>
      <c r="V37" s="125">
        <f>IF(Table2[[#This Row],[Failure mode that may lead to the violation of safety goals in combination with an independent failure of another block ?]]="Yes",(1-Table2[[#This Row],[Failure mode coverage with respect to latent failures]])*Table2[[#This Row],[Failure mode rate]], 0)</f>
        <v>0</v>
      </c>
      <c r="W37" s="12"/>
      <c r="X37" s="339"/>
      <c r="Y37" s="125">
        <f>IF(Table2[[#This Row],[SR]]="Yes",Table2[[#This Row],[λ]], 0)</f>
        <v>0</v>
      </c>
    </row>
    <row r="38" spans="1:25" ht="28.8" outlineLevel="1">
      <c r="A38" s="128" t="s">
        <v>642</v>
      </c>
      <c r="B38" s="12" t="s">
        <v>6</v>
      </c>
      <c r="C38" s="12" t="s">
        <v>72</v>
      </c>
      <c r="D38" s="12"/>
      <c r="E38" s="12"/>
      <c r="F38" s="125">
        <f>VLOOKUP(Table2[Function], Table1[], 5, FALSE)</f>
        <v>2.3876049063912199</v>
      </c>
      <c r="G38" s="19" t="s">
        <v>64</v>
      </c>
      <c r="H38" s="318" t="s">
        <v>35</v>
      </c>
      <c r="I38" s="122" t="s">
        <v>462</v>
      </c>
      <c r="J38" s="13">
        <f t="shared" si="2"/>
        <v>0.1111111111111111</v>
      </c>
      <c r="K38" s="17">
        <f>Table2[[#This Row],[λ]]*Table2[[#This Row],[Failure rate distribution]]</f>
        <v>0.26528943404346889</v>
      </c>
      <c r="L38" s="318" t="s">
        <v>58</v>
      </c>
      <c r="M38" s="20" t="str">
        <f>VLOOKUP(Table2[[#This Row],[Applicable Safety mechanism]],Table3[],2,FALSE)</f>
        <v>Voltage supervisor (Monitoring of voltage)</v>
      </c>
      <c r="N38" s="21" t="str">
        <f>VLOOKUP(Table2[[#This Row],[Applicable Safety mechanism]], Table3[], 3,FALSE)</f>
        <v>D.2.8.2</v>
      </c>
      <c r="O38" s="16">
        <f>VLOOKUP(Table2[[#This Row],[Applicable Safety mechanism]], Table3[], 6,FALSE)</f>
        <v>0.99</v>
      </c>
      <c r="P38" s="22">
        <f>IF(Table2[[#This Row],[Failure mode that has the potential to violate the safety goal in absence of safety mechanism?]]="Yes", Table2[[#This Row],[Failure mode rate]]*(1-Table2[[#This Row],[Failure mode coverage wrt. violation of safety goals]]), 0)</f>
        <v>2.6528943404346911E-3</v>
      </c>
      <c r="Q38" s="318" t="s">
        <v>36</v>
      </c>
      <c r="R38" s="11"/>
      <c r="S38" s="318"/>
      <c r="T38" s="170"/>
      <c r="U38" s="16"/>
      <c r="V38" s="125">
        <f>IF(Table2[[#This Row],[Failure mode that may lead to the violation of safety goals in combination with an independent failure of another block ?]]="Yes",(1-Table2[[#This Row],[Failure mode coverage with respect to latent failures]])*Table2[[#This Row],[Failure mode rate]], 0)</f>
        <v>0</v>
      </c>
      <c r="W38" s="12"/>
      <c r="X38" s="339"/>
      <c r="Y38" s="125">
        <f>IF(Table2[[#This Row],[SR]]="Yes",Table2[[#This Row],[λ]], 0)</f>
        <v>0</v>
      </c>
    </row>
    <row r="39" spans="1:25" ht="28.8" outlineLevel="1">
      <c r="A39" s="18" t="s">
        <v>643</v>
      </c>
      <c r="B39" s="12" t="s">
        <v>6</v>
      </c>
      <c r="C39" s="12" t="s">
        <v>72</v>
      </c>
      <c r="D39" s="12"/>
      <c r="E39" s="12"/>
      <c r="F39" s="125">
        <f>VLOOKUP(Table2[Function], Table1[], 5, FALSE)</f>
        <v>2.3876049063912199</v>
      </c>
      <c r="G39" s="19" t="s">
        <v>65</v>
      </c>
      <c r="H39" s="318" t="s">
        <v>35</v>
      </c>
      <c r="I39" s="122" t="s">
        <v>462</v>
      </c>
      <c r="J39" s="13">
        <f t="shared" si="2"/>
        <v>0.1111111111111111</v>
      </c>
      <c r="K39" s="17">
        <f>Table2[[#This Row],[λ]]*Table2[[#This Row],[Failure rate distribution]]</f>
        <v>0.26528943404346889</v>
      </c>
      <c r="L39" s="318" t="s">
        <v>58</v>
      </c>
      <c r="M39" s="20" t="str">
        <f>VLOOKUP(Table2[[#This Row],[Applicable Safety mechanism]],Table3[],2,FALSE)</f>
        <v>Voltage supervisor (Monitoring of voltage)</v>
      </c>
      <c r="N39" s="21" t="str">
        <f>VLOOKUP(Table2[[#This Row],[Applicable Safety mechanism]], Table3[], 3,FALSE)</f>
        <v>D.2.8.2</v>
      </c>
      <c r="O39" s="16">
        <f>VLOOKUP(Table2[[#This Row],[Applicable Safety mechanism]], Table3[], 6,FALSE)</f>
        <v>0.99</v>
      </c>
      <c r="P39" s="22">
        <f>IF(Table2[[#This Row],[Failure mode that has the potential to violate the safety goal in absence of safety mechanism?]]="Yes", Table2[[#This Row],[Failure mode rate]]*(1-Table2[[#This Row],[Failure mode coverage wrt. violation of safety goals]]), 0)</f>
        <v>2.6528943404346911E-3</v>
      </c>
      <c r="Q39" s="318" t="s">
        <v>36</v>
      </c>
      <c r="R39" s="11"/>
      <c r="S39" s="318"/>
      <c r="T39" s="170"/>
      <c r="U39" s="16"/>
      <c r="V39" s="125">
        <f>IF(Table2[[#This Row],[Failure mode that may lead to the violation of safety goals in combination with an independent failure of another block ?]]="Yes",(1-Table2[[#This Row],[Failure mode coverage with respect to latent failures]])*Table2[[#This Row],[Failure mode rate]], 0)</f>
        <v>0</v>
      </c>
      <c r="W39" s="12"/>
      <c r="X39" s="339"/>
      <c r="Y39" s="125">
        <f>IF(Table2[[#This Row],[SR]]="Yes",Table2[[#This Row],[λ]], 0)</f>
        <v>0</v>
      </c>
    </row>
    <row r="40" spans="1:25" ht="43.2" outlineLevel="1">
      <c r="A40" s="128" t="s">
        <v>644</v>
      </c>
      <c r="B40" s="12" t="s">
        <v>6</v>
      </c>
      <c r="C40" s="12" t="s">
        <v>72</v>
      </c>
      <c r="D40" s="12"/>
      <c r="E40" s="12"/>
      <c r="F40" s="125">
        <f>VLOOKUP(Table2[Function], Table1[], 5, FALSE)</f>
        <v>2.3876049063912199</v>
      </c>
      <c r="G40" s="19" t="s">
        <v>69</v>
      </c>
      <c r="H40" s="318" t="s">
        <v>35</v>
      </c>
      <c r="I40" s="122" t="s">
        <v>462</v>
      </c>
      <c r="J40" s="13">
        <f t="shared" si="2"/>
        <v>0.1111111111111111</v>
      </c>
      <c r="K40" s="17">
        <f>Table2[[#This Row],[λ]]*Table2[[#This Row],[Failure rate distribution]]</f>
        <v>0.26528943404346889</v>
      </c>
      <c r="L40" s="318" t="s">
        <v>41</v>
      </c>
      <c r="M40" s="20" t="str">
        <f>VLOOKUP(Table2[[#This Row],[Applicable Safety mechanism]],Table3[],2,FALSE)</f>
        <v>Voltage supervisor (Monitoring of voltage)
Overvoltage detection</v>
      </c>
      <c r="N40" s="21" t="str">
        <f>VLOOKUP(Table2[[#This Row],[Applicable Safety mechanism]], Table3[], 3,FALSE)</f>
        <v>D.2.8.2</v>
      </c>
      <c r="O40" s="16">
        <f>VLOOKUP(Table2[[#This Row],[Applicable Safety mechanism]], Table3[], 6,FALSE)</f>
        <v>0.99</v>
      </c>
      <c r="P40" s="22">
        <f>IF(Table2[[#This Row],[Failure mode that has the potential to violate the safety goal in absence of safety mechanism?]]="Yes", Table2[[#This Row],[Failure mode rate]]*(1-Table2[[#This Row],[Failure mode coverage wrt. violation of safety goals]]), 0)</f>
        <v>2.6528943404346911E-3</v>
      </c>
      <c r="Q40" s="318" t="s">
        <v>36</v>
      </c>
      <c r="R40" s="11"/>
      <c r="S40" s="318"/>
      <c r="T40" s="170"/>
      <c r="U40" s="16"/>
      <c r="V40" s="125">
        <f>IF(Table2[[#This Row],[Failure mode that may lead to the violation of safety goals in combination with an independent failure of another block ?]]="Yes",(1-Table2[[#This Row],[Failure mode coverage with respect to latent failures]])*Table2[[#This Row],[Failure mode rate]], 0)</f>
        <v>0</v>
      </c>
      <c r="W40" s="12"/>
      <c r="X40" s="339"/>
      <c r="Y40" s="125">
        <f>IF(Table2[[#This Row],[SR]]="Yes",Table2[[#This Row],[λ]], 0)</f>
        <v>0</v>
      </c>
    </row>
    <row r="41" spans="1:25" ht="43.2" outlineLevel="1">
      <c r="A41" s="18" t="s">
        <v>645</v>
      </c>
      <c r="B41" s="12" t="s">
        <v>6</v>
      </c>
      <c r="C41" s="12" t="s">
        <v>72</v>
      </c>
      <c r="D41" s="12"/>
      <c r="E41" s="12"/>
      <c r="F41" s="125">
        <f>VLOOKUP(Table2[Function], Table1[], 5, FALSE)</f>
        <v>2.3876049063912199</v>
      </c>
      <c r="G41" s="33" t="s">
        <v>245</v>
      </c>
      <c r="H41" s="318" t="s">
        <v>35</v>
      </c>
      <c r="I41" s="122" t="s">
        <v>462</v>
      </c>
      <c r="J41" s="13">
        <f t="shared" si="2"/>
        <v>0.1111111111111111</v>
      </c>
      <c r="K41" s="17">
        <f>Table2[[#This Row],[λ]]*Table2[[#This Row],[Failure rate distribution]]</f>
        <v>0.26528943404346889</v>
      </c>
      <c r="L41" s="318" t="s">
        <v>44</v>
      </c>
      <c r="M41" s="20" t="str">
        <f>VLOOKUP(Table2[[#This Row],[Applicable Safety mechanism]],Table3[],2,FALSE)</f>
        <v>Voltage supervisor (Monitoring of voltage)
Undervoltage detection</v>
      </c>
      <c r="N41" s="21" t="str">
        <f>VLOOKUP(Table2[[#This Row],[Applicable Safety mechanism]], Table3[], 3,FALSE)</f>
        <v>D.2.8.2</v>
      </c>
      <c r="O41" s="16">
        <f>VLOOKUP(Table2[[#This Row],[Applicable Safety mechanism]], Table3[], 6,FALSE)</f>
        <v>0.99</v>
      </c>
      <c r="P41" s="22">
        <f>IF(Table2[[#This Row],[Failure mode that has the potential to violate the safety goal in absence of safety mechanism?]]="Yes", Table2[[#This Row],[Failure mode rate]]*(1-Table2[[#This Row],[Failure mode coverage wrt. violation of safety goals]]), 0)</f>
        <v>2.6528943404346911E-3</v>
      </c>
      <c r="Q41" s="318" t="s">
        <v>36</v>
      </c>
      <c r="R41" s="11"/>
      <c r="S41" s="318"/>
      <c r="T41" s="170"/>
      <c r="U41" s="16"/>
      <c r="V41" s="125">
        <f>IF(Table2[[#This Row],[Failure mode that may lead to the violation of safety goals in combination with an independent failure of another block ?]]="Yes",(1-Table2[[#This Row],[Failure mode coverage with respect to latent failures]])*Table2[[#This Row],[Failure mode rate]], 0)</f>
        <v>0</v>
      </c>
      <c r="W41" s="12"/>
      <c r="X41" s="339"/>
      <c r="Y41" s="125">
        <f>IF(Table2[[#This Row],[SR]]="Yes",Table2[[#This Row],[λ]], 0)</f>
        <v>0</v>
      </c>
    </row>
    <row r="42" spans="1:25" ht="43.2" outlineLevel="1">
      <c r="A42" s="128" t="s">
        <v>646</v>
      </c>
      <c r="B42" s="12" t="s">
        <v>6</v>
      </c>
      <c r="C42" s="12" t="s">
        <v>72</v>
      </c>
      <c r="D42" s="12"/>
      <c r="E42" s="12"/>
      <c r="F42" s="125">
        <f>VLOOKUP(Table2[Function], Table1[], 5, FALSE)</f>
        <v>2.3876049063912199</v>
      </c>
      <c r="G42" s="33" t="s">
        <v>246</v>
      </c>
      <c r="H42" s="318" t="s">
        <v>35</v>
      </c>
      <c r="I42" s="122" t="s">
        <v>462</v>
      </c>
      <c r="J42" s="13">
        <f t="shared" si="2"/>
        <v>0.1111111111111111</v>
      </c>
      <c r="K42" s="17">
        <f>Table2[[#This Row],[λ]]*Table2[[#This Row],[Failure rate distribution]]</f>
        <v>0.26528943404346889</v>
      </c>
      <c r="L42" s="318" t="s">
        <v>44</v>
      </c>
      <c r="M42" s="20" t="str">
        <f>VLOOKUP(Table2[[#This Row],[Applicable Safety mechanism]],Table3[],2,FALSE)</f>
        <v>Voltage supervisor (Monitoring of voltage)
Undervoltage detection</v>
      </c>
      <c r="N42" s="21" t="str">
        <f>VLOOKUP(Table2[[#This Row],[Applicable Safety mechanism]], Table3[], 3,FALSE)</f>
        <v>D.2.8.2</v>
      </c>
      <c r="O42" s="16">
        <f>VLOOKUP(Table2[[#This Row],[Applicable Safety mechanism]], Table3[], 6,FALSE)</f>
        <v>0.99</v>
      </c>
      <c r="P42" s="22">
        <f>IF(Table2[[#This Row],[Failure mode that has the potential to violate the safety goal in absence of safety mechanism?]]="Yes", Table2[[#This Row],[Failure mode rate]]*(1-Table2[[#This Row],[Failure mode coverage wrt. violation of safety goals]]), 0)</f>
        <v>2.6528943404346911E-3</v>
      </c>
      <c r="Q42" s="318" t="s">
        <v>36</v>
      </c>
      <c r="R42" s="11"/>
      <c r="S42" s="318"/>
      <c r="T42" s="170"/>
      <c r="U42" s="16"/>
      <c r="V42" s="125">
        <f>IF(Table2[[#This Row],[Failure mode that may lead to the violation of safety goals in combination with an independent failure of another block ?]]="Yes",(1-Table2[[#This Row],[Failure mode coverage with respect to latent failures]])*Table2[[#This Row],[Failure mode rate]], 0)</f>
        <v>0</v>
      </c>
      <c r="W42" s="12"/>
      <c r="X42" s="339"/>
      <c r="Y42" s="125">
        <f>IF(Table2[[#This Row],[SR]]="Yes",Table2[[#This Row],[λ]], 0)</f>
        <v>0</v>
      </c>
    </row>
    <row r="43" spans="1:25" ht="43.2" outlineLevel="1">
      <c r="A43" s="18" t="s">
        <v>647</v>
      </c>
      <c r="B43" s="12" t="s">
        <v>6</v>
      </c>
      <c r="C43" s="12" t="s">
        <v>72</v>
      </c>
      <c r="D43" s="12"/>
      <c r="E43" s="12"/>
      <c r="F43" s="125">
        <f>VLOOKUP(Table2[Function], Table1[], 5, FALSE)</f>
        <v>2.3876049063912199</v>
      </c>
      <c r="G43" s="19" t="s">
        <v>75</v>
      </c>
      <c r="H43" s="318" t="s">
        <v>35</v>
      </c>
      <c r="I43" s="122" t="s">
        <v>462</v>
      </c>
      <c r="J43" s="13">
        <f t="shared" si="2"/>
        <v>0.1111111111111111</v>
      </c>
      <c r="K43" s="17">
        <f>Table2[[#This Row],[λ]]*Table2[[#This Row],[Failure rate distribution]]</f>
        <v>0.26528943404346889</v>
      </c>
      <c r="L43" s="318" t="s">
        <v>41</v>
      </c>
      <c r="M43" s="20" t="str">
        <f>VLOOKUP(Table2[[#This Row],[Applicable Safety mechanism]],Table3[],2,FALSE)</f>
        <v>Voltage supervisor (Monitoring of voltage)
Overvoltage detection</v>
      </c>
      <c r="N43" s="21" t="str">
        <f>VLOOKUP(Table2[[#This Row],[Applicable Safety mechanism]], Table3[], 3,FALSE)</f>
        <v>D.2.8.2</v>
      </c>
      <c r="O43" s="16">
        <f>VLOOKUP(Table2[[#This Row],[Applicable Safety mechanism]], Table3[], 6,FALSE)</f>
        <v>0.99</v>
      </c>
      <c r="P43" s="22">
        <f>IF(Table2[[#This Row],[Failure mode that has the potential to violate the safety goal in absence of safety mechanism?]]="Yes", Table2[[#This Row],[Failure mode rate]]*(1-Table2[[#This Row],[Failure mode coverage wrt. violation of safety goals]]), 0)</f>
        <v>2.6528943404346911E-3</v>
      </c>
      <c r="Q43" s="318" t="s">
        <v>36</v>
      </c>
      <c r="R43" s="11"/>
      <c r="S43" s="318"/>
      <c r="T43" s="170"/>
      <c r="U43" s="16"/>
      <c r="V43" s="125">
        <f>IF(Table2[[#This Row],[Failure mode that may lead to the violation of safety goals in combination with an independent failure of another block ?]]="Yes",(1-Table2[[#This Row],[Failure mode coverage with respect to latent failures]])*Table2[[#This Row],[Failure mode rate]], 0)</f>
        <v>0</v>
      </c>
      <c r="W43" s="12"/>
      <c r="X43" s="339"/>
      <c r="Y43" s="125">
        <f>IF(Table2[[#This Row],[SR]]="Yes",Table2[[#This Row],[λ]], 0)</f>
        <v>0</v>
      </c>
    </row>
    <row r="44" spans="1:25" ht="43.2" outlineLevel="1">
      <c r="A44" s="128" t="s">
        <v>648</v>
      </c>
      <c r="B44" s="11" t="s">
        <v>6</v>
      </c>
      <c r="C44" s="12" t="s">
        <v>72</v>
      </c>
      <c r="D44" s="12"/>
      <c r="E44" s="12"/>
      <c r="F44" s="125">
        <f>VLOOKUP(Table2[Function], Table1[], 5, FALSE)</f>
        <v>2.3876049063912199</v>
      </c>
      <c r="G44" s="19" t="s">
        <v>76</v>
      </c>
      <c r="H44" s="318" t="s">
        <v>35</v>
      </c>
      <c r="I44" s="122" t="s">
        <v>462</v>
      </c>
      <c r="J44" s="13">
        <f t="shared" si="2"/>
        <v>0.1111111111111111</v>
      </c>
      <c r="K44" s="17">
        <f>Table2[[#This Row],[λ]]*Table2[[#This Row],[Failure rate distribution]]</f>
        <v>0.26528943404346889</v>
      </c>
      <c r="L44" s="318" t="s">
        <v>41</v>
      </c>
      <c r="M44" s="20" t="str">
        <f>VLOOKUP(Table2[[#This Row],[Applicable Safety mechanism]],Table3[],2,FALSE)</f>
        <v>Voltage supervisor (Monitoring of voltage)
Overvoltage detection</v>
      </c>
      <c r="N44" s="21" t="str">
        <f>VLOOKUP(Table2[[#This Row],[Applicable Safety mechanism]], Table3[], 3,FALSE)</f>
        <v>D.2.8.2</v>
      </c>
      <c r="O44" s="16">
        <f>VLOOKUP(Table2[[#This Row],[Applicable Safety mechanism]], Table3[], 6,FALSE)</f>
        <v>0.99</v>
      </c>
      <c r="P44" s="22">
        <f>IF(Table2[[#This Row],[Failure mode that has the potential to violate the safety goal in absence of safety mechanism?]]="Yes", Table2[[#This Row],[Failure mode rate]]*(1-Table2[[#This Row],[Failure mode coverage wrt. violation of safety goals]]), 0)</f>
        <v>2.6528943404346911E-3</v>
      </c>
      <c r="Q44" s="318" t="s">
        <v>36</v>
      </c>
      <c r="R44" s="11"/>
      <c r="S44" s="318"/>
      <c r="T44" s="170"/>
      <c r="U44" s="16"/>
      <c r="V44" s="125">
        <f>IF(Table2[[#This Row],[Failure mode that may lead to the violation of safety goals in combination with an independent failure of another block ?]]="Yes",(1-Table2[[#This Row],[Failure mode coverage with respect to latent failures]])*Table2[[#This Row],[Failure mode rate]], 0)</f>
        <v>0</v>
      </c>
      <c r="W44" s="12"/>
      <c r="X44" s="339"/>
      <c r="Y44" s="125">
        <f>IF(Table2[[#This Row],[SR]]="Yes",Table2[[#This Row],[λ]], 0)</f>
        <v>0</v>
      </c>
    </row>
    <row r="45" spans="1:25">
      <c r="A45" s="18" t="s">
        <v>649</v>
      </c>
      <c r="B45" s="24" t="s">
        <v>6</v>
      </c>
      <c r="C45" s="24" t="s">
        <v>72</v>
      </c>
      <c r="D45" s="11" t="s">
        <v>63</v>
      </c>
      <c r="E45" s="11"/>
      <c r="F45" s="125">
        <f>VLOOKUP(Table2[Function], Table1[], 5, FALSE)</f>
        <v>2.3876049063912199</v>
      </c>
      <c r="G45" s="122" t="s">
        <v>63</v>
      </c>
      <c r="H45" s="318" t="s">
        <v>63</v>
      </c>
      <c r="I45" s="122" t="s">
        <v>63</v>
      </c>
      <c r="J45" s="122" t="s">
        <v>63</v>
      </c>
      <c r="K45" s="125" t="s">
        <v>63</v>
      </c>
      <c r="L45" s="318" t="s">
        <v>63</v>
      </c>
      <c r="M45" s="122" t="s">
        <v>63</v>
      </c>
      <c r="N45" s="122" t="s">
        <v>63</v>
      </c>
      <c r="O45" s="122" t="s">
        <v>63</v>
      </c>
      <c r="P45" s="122" t="s">
        <v>63</v>
      </c>
      <c r="Q45" s="318" t="s">
        <v>63</v>
      </c>
      <c r="R45" s="11"/>
      <c r="S45" s="318"/>
      <c r="T45" s="170"/>
      <c r="U45" s="122"/>
      <c r="V45" s="122"/>
      <c r="W45" s="122"/>
      <c r="X45" s="318"/>
      <c r="Y45" s="125"/>
    </row>
    <row r="46" spans="1:25" ht="86.4" outlineLevel="1">
      <c r="A46" s="128" t="s">
        <v>650</v>
      </c>
      <c r="B46" s="12" t="s">
        <v>7</v>
      </c>
      <c r="C46" s="12" t="s">
        <v>79</v>
      </c>
      <c r="D46" s="12" t="s">
        <v>203</v>
      </c>
      <c r="E46" s="12" t="s">
        <v>204</v>
      </c>
      <c r="F46" s="125">
        <f>VLOOKUP(Table2[Function], Table1[], 5, FALSE)</f>
        <v>3.38417043253712</v>
      </c>
      <c r="G46" s="19" t="s">
        <v>80</v>
      </c>
      <c r="H46" s="318" t="s">
        <v>36</v>
      </c>
      <c r="I46" s="122" t="s">
        <v>63</v>
      </c>
      <c r="J46" s="13">
        <v>0.25</v>
      </c>
      <c r="K46" s="17">
        <f>Table2[[#This Row],[λ]]*Table2[[#This Row],[Failure rate distribution]]</f>
        <v>0.84604260813428001</v>
      </c>
      <c r="L46" s="318" t="s">
        <v>63</v>
      </c>
      <c r="M46" s="20" t="str">
        <f>VLOOKUP(Table2[[#This Row],[Applicable Safety mechanism]],Table3[],2,FALSE)</f>
        <v>Not applicable</v>
      </c>
      <c r="N46" s="21" t="str">
        <f>VLOOKUP(Table2[[#This Row],[Applicable Safety mechanism]], Table3[], 3,FALSE)</f>
        <v>-</v>
      </c>
      <c r="O46" s="16">
        <f>VLOOKUP(Table2[[#This Row],[Applicable Safety mechanism]], Table3[], 6,FALSE)</f>
        <v>0</v>
      </c>
      <c r="P46" s="126">
        <f>IF(Table2[[#This Row],[Failure mode that has the potential to violate the safety goal in absence of safety mechanism?]]="Yes", Table2[[#This Row],[Failure mode rate]]*(1-Table2[[#This Row],[Failure mode coverage wrt. violation of safety goals]]), 0)</f>
        <v>0</v>
      </c>
      <c r="Q46" s="318" t="s">
        <v>35</v>
      </c>
      <c r="R46" s="11" t="s">
        <v>462</v>
      </c>
      <c r="S46" s="318" t="s">
        <v>126</v>
      </c>
      <c r="T46" s="171" t="str">
        <f>VLOOKUP(Table2[[#This Row],[Detection means ? Safety mechanism(s) allowing to prevent the failure mode from being latent ?]],Table3[],2,FALSE)</f>
        <v>Analog and Logical BuitIn Self Test</v>
      </c>
      <c r="U46" s="16">
        <f>VLOOKUP(Table2[[#This Row],[Detection means ? Safety mechanism(s) allowing to prevent the failure mode from being latent ?]], Table3[], 6,FALSE)</f>
        <v>0.6</v>
      </c>
      <c r="V46" s="125">
        <f>IF(Table2[[#This Row],[Failure mode that may lead to the violation of safety goals in combination with an independent failure of another block ?]]="Yes",(1-Table2[[#This Row],[Failure mode coverage with respect to latent failures]])*Table2[[#This Row],[Failure mode rate]], 0)</f>
        <v>0.33841704325371202</v>
      </c>
      <c r="W46" s="12"/>
      <c r="X46" s="339" t="s">
        <v>35</v>
      </c>
      <c r="Y46" s="125">
        <f>IF(Table2[[#This Row],[SR]]="Yes",Table2[[#This Row],[λ]], 0)</f>
        <v>3.38417043253712</v>
      </c>
    </row>
    <row r="47" spans="1:25" outlineLevel="1">
      <c r="A47" s="18" t="s">
        <v>651</v>
      </c>
      <c r="B47" s="123" t="s">
        <v>7</v>
      </c>
      <c r="C47" s="123" t="s">
        <v>79</v>
      </c>
      <c r="D47" s="123" t="s">
        <v>203</v>
      </c>
      <c r="E47" s="123" t="s">
        <v>204</v>
      </c>
      <c r="F47" s="125">
        <f>VLOOKUP(Table2[Function], Table1[], 5, FALSE)</f>
        <v>3.38417043253712</v>
      </c>
      <c r="G47" s="30" t="s">
        <v>81</v>
      </c>
      <c r="H47" s="318" t="s">
        <v>36</v>
      </c>
      <c r="I47" s="122" t="s">
        <v>63</v>
      </c>
      <c r="J47" s="124">
        <v>0.25</v>
      </c>
      <c r="K47" s="17">
        <f>Table2[[#This Row],[λ]]*Table2[[#This Row],[Failure rate distribution]]</f>
        <v>0.84604260813428001</v>
      </c>
      <c r="L47" s="324" t="s">
        <v>63</v>
      </c>
      <c r="M47" s="20" t="str">
        <f>VLOOKUP(Table2[[#This Row],[Applicable Safety mechanism]],Table3[],2,FALSE)</f>
        <v>Not applicable</v>
      </c>
      <c r="N47" s="21" t="str">
        <f>VLOOKUP(Table2[[#This Row],[Applicable Safety mechanism]], Table3[], 3,FALSE)</f>
        <v>-</v>
      </c>
      <c r="O47" s="16">
        <f>VLOOKUP(Table2[[#This Row],[Applicable Safety mechanism]], Table3[], 6,FALSE)</f>
        <v>0</v>
      </c>
      <c r="P47" s="126">
        <f>IF(Table2[[#This Row],[Failure mode that has the potential to violate the safety goal in absence of safety mechanism?]]="Yes", Table2[[#This Row],[Failure mode rate]]*(1-Table2[[#This Row],[Failure mode coverage wrt. violation of safety goals]]), 0)</f>
        <v>0</v>
      </c>
      <c r="Q47" s="318" t="s">
        <v>36</v>
      </c>
      <c r="R47" s="122"/>
      <c r="S47" s="330"/>
      <c r="T47" s="172"/>
      <c r="U47" s="125">
        <f>IF(Table2[[#This Row],[Failure mode that may lead to the violation of safety goals in combination with an independent failure of another block ?]]="Yes",(1-Table2[[#This Row],[Failure mode coverage with respect to latent failures]])*Table2[[#This Row],[Failure mode rate]], 0)</f>
        <v>0</v>
      </c>
      <c r="V47" s="125">
        <f>IF(Table2[[#This Row],[Failure mode that may lead to the violation of safety goals in combination with an independent failure of another block ?]]="Yes",(1-Table2[[#This Row],[Failure mode coverage with respect to latent failures]])*Table2[[#This Row],[Failure mode rate]], 0)</f>
        <v>0</v>
      </c>
      <c r="W47" s="170" t="s">
        <v>221</v>
      </c>
      <c r="X47" s="339"/>
      <c r="Y47" s="125">
        <f>IF(Table2[[#This Row],[SR]]="Yes",Table2[[#This Row],[λ]], 0)</f>
        <v>0</v>
      </c>
    </row>
    <row r="48" spans="1:25" outlineLevel="1">
      <c r="A48" s="128" t="s">
        <v>652</v>
      </c>
      <c r="B48" s="123" t="s">
        <v>7</v>
      </c>
      <c r="C48" s="123" t="s">
        <v>79</v>
      </c>
      <c r="D48" s="123" t="s">
        <v>203</v>
      </c>
      <c r="E48" s="123" t="s">
        <v>204</v>
      </c>
      <c r="F48" s="125">
        <f>VLOOKUP(Table2[Function], Table1[], 5, FALSE)</f>
        <v>3.38417043253712</v>
      </c>
      <c r="G48" s="129" t="s">
        <v>358</v>
      </c>
      <c r="H48" s="318" t="s">
        <v>36</v>
      </c>
      <c r="I48" s="122" t="s">
        <v>63</v>
      </c>
      <c r="J48" s="124">
        <v>0.25</v>
      </c>
      <c r="K48" s="125">
        <f>Table2[[#This Row],[λ]]*Table2[[#This Row],[Failure rate distribution]]</f>
        <v>0.84604260813428001</v>
      </c>
      <c r="L48" s="318" t="s">
        <v>63</v>
      </c>
      <c r="M48" s="20" t="str">
        <f>VLOOKUP(Table2[[#This Row],[Applicable Safety mechanism]],Table3[],2,FALSE)</f>
        <v>Not applicable</v>
      </c>
      <c r="N48" s="21" t="str">
        <f>VLOOKUP(Table2[[#This Row],[Applicable Safety mechanism]], Table3[], 3,FALSE)</f>
        <v>-</v>
      </c>
      <c r="O48" s="16">
        <f>VLOOKUP(Table2[[#This Row],[Applicable Safety mechanism]], Table3[], 6,FALSE)</f>
        <v>0</v>
      </c>
      <c r="P48" s="126">
        <f>IF(Table2[[#This Row],[Failure mode that has the potential to violate the safety goal in absence of safety mechanism?]]="Yes", Table2[[#This Row],[Failure mode rate]]*(1-Table2[[#This Row],[Failure mode coverage wrt. violation of safety goals]]), 0)</f>
        <v>0</v>
      </c>
      <c r="Q48" s="318" t="s">
        <v>36</v>
      </c>
      <c r="R48" s="122"/>
      <c r="S48" s="330"/>
      <c r="T48" s="172"/>
      <c r="U48" s="16"/>
      <c r="V48" s="125">
        <f>IF(Table2[[#This Row],[Failure mode that may lead to the violation of safety goals in combination with an independent failure of another block ?]]="Yes",(1-Table2[[#This Row],[Failure mode coverage with respect to latent failures]])*Table2[[#This Row],[Failure mode rate]], 0)</f>
        <v>0</v>
      </c>
      <c r="W48" s="123"/>
      <c r="X48" s="339"/>
      <c r="Y48" s="125">
        <f>IF(Table2[[#This Row],[SR]]="Yes",Table2[[#This Row],[λ]], 0)</f>
        <v>0</v>
      </c>
    </row>
    <row r="49" spans="1:25" outlineLevel="1">
      <c r="A49" s="18" t="s">
        <v>653</v>
      </c>
      <c r="B49" s="123" t="s">
        <v>7</v>
      </c>
      <c r="C49" s="123" t="s">
        <v>79</v>
      </c>
      <c r="D49" s="123" t="s">
        <v>203</v>
      </c>
      <c r="E49" s="123" t="s">
        <v>204</v>
      </c>
      <c r="F49" s="125">
        <f>VLOOKUP(Table2[Function], Table1[], 5, FALSE)</f>
        <v>3.38417043253712</v>
      </c>
      <c r="G49" s="129" t="s">
        <v>371</v>
      </c>
      <c r="H49" s="318" t="s">
        <v>36</v>
      </c>
      <c r="I49" s="122" t="s">
        <v>63</v>
      </c>
      <c r="J49" s="124">
        <v>0.25</v>
      </c>
      <c r="K49" s="125">
        <f>Table2[[#This Row],[λ]]*Table2[[#This Row],[Failure rate distribution]]</f>
        <v>0.84604260813428001</v>
      </c>
      <c r="L49" s="318" t="s">
        <v>63</v>
      </c>
      <c r="M49" s="20" t="str">
        <f>VLOOKUP(Table2[[#This Row],[Applicable Safety mechanism]],Table3[],2,FALSE)</f>
        <v>Not applicable</v>
      </c>
      <c r="N49" s="21" t="str">
        <f>VLOOKUP(Table2[[#This Row],[Applicable Safety mechanism]], Table3[], 3,FALSE)</f>
        <v>-</v>
      </c>
      <c r="O49" s="16">
        <f>VLOOKUP(Table2[[#This Row],[Applicable Safety mechanism]], Table3[], 6,FALSE)</f>
        <v>0</v>
      </c>
      <c r="P49" s="126">
        <f>IF(Table2[[#This Row],[Failure mode that has the potential to violate the safety goal in absence of safety mechanism?]]="Yes", Table2[[#This Row],[Failure mode rate]]*(1-Table2[[#This Row],[Failure mode coverage wrt. violation of safety goals]]), 0)</f>
        <v>0</v>
      </c>
      <c r="Q49" s="318" t="s">
        <v>36</v>
      </c>
      <c r="R49" s="122"/>
      <c r="S49" s="330"/>
      <c r="T49" s="172"/>
      <c r="U49" s="16"/>
      <c r="V49" s="125">
        <f>IF(Table2[[#This Row],[Failure mode that may lead to the violation of safety goals in combination with an independent failure of another block ?]]="Yes",(1-Table2[[#This Row],[Failure mode coverage with respect to latent failures]])*Table2[[#This Row],[Failure mode rate]], 0)</f>
        <v>0</v>
      </c>
      <c r="W49" s="123"/>
      <c r="X49" s="339"/>
      <c r="Y49" s="125">
        <f>IF(Table2[[#This Row],[SR]]="Yes",Table2[[#This Row],[λ]], 0)</f>
        <v>0</v>
      </c>
    </row>
    <row r="50" spans="1:25" ht="28.8">
      <c r="A50" s="128" t="s">
        <v>654</v>
      </c>
      <c r="B50" s="24" t="s">
        <v>7</v>
      </c>
      <c r="C50" s="24" t="s">
        <v>79</v>
      </c>
      <c r="D50" s="11" t="s">
        <v>63</v>
      </c>
      <c r="E50" s="11"/>
      <c r="F50" s="125">
        <f>VLOOKUP(Table2[Function], Table1[], 5, FALSE)</f>
        <v>3.38417043253712</v>
      </c>
      <c r="G50" s="122" t="s">
        <v>63</v>
      </c>
      <c r="H50" s="318" t="s">
        <v>63</v>
      </c>
      <c r="I50" s="122" t="s">
        <v>63</v>
      </c>
      <c r="J50" s="122" t="s">
        <v>63</v>
      </c>
      <c r="K50" s="125" t="s">
        <v>63</v>
      </c>
      <c r="L50" s="318" t="s">
        <v>63</v>
      </c>
      <c r="M50" s="122" t="s">
        <v>63</v>
      </c>
      <c r="N50" s="122" t="s">
        <v>63</v>
      </c>
      <c r="O50" s="122" t="s">
        <v>63</v>
      </c>
      <c r="P50" s="122" t="s">
        <v>63</v>
      </c>
      <c r="Q50" s="318" t="s">
        <v>63</v>
      </c>
      <c r="R50" s="11"/>
      <c r="S50" s="318"/>
      <c r="T50" s="170"/>
      <c r="U50" s="122"/>
      <c r="V50" s="122"/>
      <c r="W50" s="122"/>
      <c r="X50" s="318"/>
      <c r="Y50" s="125"/>
    </row>
    <row r="51" spans="1:25" ht="86.4" outlineLevel="1">
      <c r="A51" s="18" t="s">
        <v>655</v>
      </c>
      <c r="B51" s="12" t="s">
        <v>223</v>
      </c>
      <c r="C51" s="12" t="s">
        <v>83</v>
      </c>
      <c r="D51" s="12" t="s">
        <v>208</v>
      </c>
      <c r="E51" s="12" t="s">
        <v>205</v>
      </c>
      <c r="F51" s="125">
        <f>VLOOKUP(Table2[Function], Table1[], 5, FALSE)</f>
        <v>0.28028405422853453</v>
      </c>
      <c r="G51" s="19" t="s">
        <v>86</v>
      </c>
      <c r="H51" s="319" t="s">
        <v>35</v>
      </c>
      <c r="I51" s="122" t="s">
        <v>508</v>
      </c>
      <c r="J51" s="13">
        <f>1/7</f>
        <v>0.14285714285714285</v>
      </c>
      <c r="K51" s="17">
        <f>Table2[[#This Row],[λ]]*Table2[[#This Row],[Failure rate distribution]]</f>
        <v>4.004057917550493E-2</v>
      </c>
      <c r="L51" s="318" t="s">
        <v>407</v>
      </c>
      <c r="M51" s="20" t="str">
        <f>VLOOKUP(Table2[[#This Row],[Applicable Safety mechanism]],Table3[],2,FALSE)</f>
        <v>Read HW_Config SPI register and extract Vcca_HW, Vaux_HW, LS_detect, DBG_HW and DFS_HW1/2 configuration bits to compare with expected values before releasing Fail Safe path</v>
      </c>
      <c r="N51" s="21" t="str">
        <f>VLOOKUP(Table2[[#This Row],[Applicable Safety mechanism]], Table3[], 3,FALSE)</f>
        <v>-</v>
      </c>
      <c r="O51" s="16">
        <f>VLOOKUP(Table2[[#This Row],[Applicable Safety mechanism]], Table3[], 6,FALSE)</f>
        <v>0.99</v>
      </c>
      <c r="P51" s="22">
        <f>IF(Table2[[#This Row],[Failure mode that has the potential to violate the safety goal in absence of safety mechanism?]]="Yes", Table2[[#This Row],[Failure mode rate]]*(1-Table2[[#This Row],[Failure mode coverage wrt. violation of safety goals]]), 0)</f>
        <v>4.0040579175504965E-4</v>
      </c>
      <c r="Q51" s="318" t="s">
        <v>36</v>
      </c>
      <c r="R51" s="11"/>
      <c r="S51" s="318"/>
      <c r="T51" s="170"/>
      <c r="U51" s="16"/>
      <c r="V51" s="125">
        <f>IF(Table2[[#This Row],[Failure mode that may lead to the violation of safety goals in combination with an independent failure of another block ?]]="Yes",(1-Table2[[#This Row],[Failure mode coverage with respect to latent failures]])*Table2[[#This Row],[Failure mode rate]], 0)</f>
        <v>0</v>
      </c>
      <c r="W51" s="12" t="s">
        <v>82</v>
      </c>
      <c r="X51" s="339" t="s">
        <v>35</v>
      </c>
      <c r="Y51" s="125">
        <f>IF(Table2[[#This Row],[SR]]="Yes",Table2[[#This Row],[λ]], 0)</f>
        <v>0.28028405422853453</v>
      </c>
    </row>
    <row r="52" spans="1:25" ht="86.4" outlineLevel="1">
      <c r="A52" s="128" t="s">
        <v>656</v>
      </c>
      <c r="B52" s="12" t="s">
        <v>223</v>
      </c>
      <c r="C52" s="12" t="s">
        <v>83</v>
      </c>
      <c r="D52" s="12"/>
      <c r="E52" s="12"/>
      <c r="F52" s="125">
        <f>VLOOKUP(Table2[Function], Table1[], 5, FALSE)</f>
        <v>0.28028405422853453</v>
      </c>
      <c r="G52" s="19" t="s">
        <v>87</v>
      </c>
      <c r="H52" s="319" t="s">
        <v>35</v>
      </c>
      <c r="I52" s="122" t="s">
        <v>508</v>
      </c>
      <c r="J52" s="124">
        <f>1/7</f>
        <v>0.14285714285714285</v>
      </c>
      <c r="K52" s="17">
        <f>Table2[[#This Row],[λ]]*Table2[[#This Row],[Failure rate distribution]]</f>
        <v>4.004057917550493E-2</v>
      </c>
      <c r="L52" s="318" t="s">
        <v>407</v>
      </c>
      <c r="M52" s="20" t="str">
        <f>VLOOKUP(Table2[[#This Row],[Applicable Safety mechanism]],Table3[],2,FALSE)</f>
        <v>Read HW_Config SPI register and extract Vcca_HW, Vaux_HW, LS_detect, DBG_HW and DFS_HW1/2 configuration bits to compare with expected values before releasing Fail Safe path</v>
      </c>
      <c r="N52" s="21" t="str">
        <f>VLOOKUP(Table2[[#This Row],[Applicable Safety mechanism]], Table3[], 3,FALSE)</f>
        <v>-</v>
      </c>
      <c r="O52" s="16">
        <f>VLOOKUP(Table2[[#This Row],[Applicable Safety mechanism]], Table3[], 6,FALSE)</f>
        <v>0.99</v>
      </c>
      <c r="P52" s="22">
        <f>IF(Table2[[#This Row],[Failure mode that has the potential to violate the safety goal in absence of safety mechanism?]]="Yes", Table2[[#This Row],[Failure mode rate]]*(1-Table2[[#This Row],[Failure mode coverage wrt. violation of safety goals]]), 0)</f>
        <v>4.0040579175504965E-4</v>
      </c>
      <c r="Q52" s="318" t="s">
        <v>36</v>
      </c>
      <c r="R52" s="11"/>
      <c r="S52" s="318"/>
      <c r="T52" s="170"/>
      <c r="U52" s="16"/>
      <c r="V52" s="125">
        <f>IF(Table2[[#This Row],[Failure mode that may lead to the violation of safety goals in combination with an independent failure of another block ?]]="Yes",(1-Table2[[#This Row],[Failure mode coverage with respect to latent failures]])*Table2[[#This Row],[Failure mode rate]], 0)</f>
        <v>0</v>
      </c>
      <c r="W52" s="12" t="s">
        <v>82</v>
      </c>
      <c r="X52" s="339"/>
      <c r="Y52" s="125">
        <f>IF(Table2[[#This Row],[SR]]="Yes",Table2[[#This Row],[λ]], 0)</f>
        <v>0</v>
      </c>
    </row>
    <row r="53" spans="1:25" s="203" customFormat="1" ht="86.4" outlineLevel="1">
      <c r="A53" s="18" t="s">
        <v>657</v>
      </c>
      <c r="B53" s="144" t="s">
        <v>223</v>
      </c>
      <c r="C53" s="144" t="s">
        <v>83</v>
      </c>
      <c r="D53" s="144"/>
      <c r="E53" s="144"/>
      <c r="F53" s="146">
        <f>VLOOKUP(Table2[Function], Table1[], 5, FALSE)</f>
        <v>0.28028405422853453</v>
      </c>
      <c r="G53" s="19" t="s">
        <v>88</v>
      </c>
      <c r="H53" s="319" t="s">
        <v>35</v>
      </c>
      <c r="I53" s="122" t="s">
        <v>508</v>
      </c>
      <c r="J53" s="124">
        <v>0</v>
      </c>
      <c r="K53" s="146">
        <f>Table2[[#This Row],[λ]]*Table2[[#This Row],[Failure rate distribution]]</f>
        <v>0</v>
      </c>
      <c r="L53" s="318" t="s">
        <v>407</v>
      </c>
      <c r="M53" s="147" t="str">
        <f>VLOOKUP(Table2[[#This Row],[Applicable Safety mechanism]],Table3[],2,FALSE)</f>
        <v>Read HW_Config SPI register and extract Vcca_HW, Vaux_HW, LS_detect, DBG_HW and DFS_HW1/2 configuration bits to compare with expected values before releasing Fail Safe path</v>
      </c>
      <c r="N53" s="148" t="str">
        <f>VLOOKUP(Table2[[#This Row],[Applicable Safety mechanism]], Table3[], 3,FALSE)</f>
        <v>-</v>
      </c>
      <c r="O53" s="16">
        <f>VLOOKUP(Table2[[#This Row],[Applicable Safety mechanism]], Table3[], 6,FALSE)</f>
        <v>0.99</v>
      </c>
      <c r="P53" s="150">
        <f>IF(Table2[[#This Row],[Failure mode that has the potential to violate the safety goal in absence of safety mechanism?]]="Yes", Table2[[#This Row],[Failure mode rate]]*(1-Table2[[#This Row],[Failure mode coverage wrt. violation of safety goals]]), 0)</f>
        <v>0</v>
      </c>
      <c r="Q53" s="319" t="s">
        <v>36</v>
      </c>
      <c r="R53" s="145"/>
      <c r="S53" s="319"/>
      <c r="T53" s="129"/>
      <c r="U53" s="149"/>
      <c r="V53" s="146">
        <f>IF(Table2[[#This Row],[Failure mode that may lead to the violation of safety goals in combination with an independent failure of another block ?]]="Yes",(1-Table2[[#This Row],[Failure mode coverage with respect to latent failures]])*Table2[[#This Row],[Failure mode rate]], 0)</f>
        <v>0</v>
      </c>
      <c r="W53" s="144" t="s">
        <v>82</v>
      </c>
      <c r="X53" s="340"/>
      <c r="Y53" s="146">
        <f>IF(Table2[[#This Row],[SR]]="Yes",Table2[[#This Row],[λ]], 0)</f>
        <v>0</v>
      </c>
    </row>
    <row r="54" spans="1:25" s="203" customFormat="1" ht="86.4" outlineLevel="1">
      <c r="A54" s="128" t="s">
        <v>658</v>
      </c>
      <c r="B54" s="144" t="s">
        <v>223</v>
      </c>
      <c r="C54" s="144" t="s">
        <v>83</v>
      </c>
      <c r="D54" s="144"/>
      <c r="E54" s="144"/>
      <c r="F54" s="146">
        <f>VLOOKUP(Table2[Function], Table1[], 5, FALSE)</f>
        <v>0.28028405422853453</v>
      </c>
      <c r="G54" s="19" t="s">
        <v>89</v>
      </c>
      <c r="H54" s="319" t="s">
        <v>35</v>
      </c>
      <c r="I54" s="122" t="s">
        <v>508</v>
      </c>
      <c r="J54" s="124">
        <v>0</v>
      </c>
      <c r="K54" s="146">
        <f>Table2[[#This Row],[λ]]*Table2[[#This Row],[Failure rate distribution]]</f>
        <v>0</v>
      </c>
      <c r="L54" s="318" t="s">
        <v>407</v>
      </c>
      <c r="M54" s="147" t="str">
        <f>VLOOKUP(Table2[[#This Row],[Applicable Safety mechanism]],Table3[],2,FALSE)</f>
        <v>Read HW_Config SPI register and extract Vcca_HW, Vaux_HW, LS_detect, DBG_HW and DFS_HW1/2 configuration bits to compare with expected values before releasing Fail Safe path</v>
      </c>
      <c r="N54" s="148" t="str">
        <f>VLOOKUP(Table2[[#This Row],[Applicable Safety mechanism]], Table3[], 3,FALSE)</f>
        <v>-</v>
      </c>
      <c r="O54" s="16">
        <f>VLOOKUP(Table2[[#This Row],[Applicable Safety mechanism]], Table3[], 6,FALSE)</f>
        <v>0.99</v>
      </c>
      <c r="P54" s="150">
        <f>IF(Table2[[#This Row],[Failure mode that has the potential to violate the safety goal in absence of safety mechanism?]]="Yes", Table2[[#This Row],[Failure mode rate]]*(1-Table2[[#This Row],[Failure mode coverage wrt. violation of safety goals]]), 0)</f>
        <v>0</v>
      </c>
      <c r="Q54" s="319" t="s">
        <v>36</v>
      </c>
      <c r="R54" s="145"/>
      <c r="S54" s="319"/>
      <c r="T54" s="129"/>
      <c r="U54" s="149"/>
      <c r="V54" s="146">
        <f>IF(Table2[[#This Row],[Failure mode that may lead to the violation of safety goals in combination with an independent failure of another block ?]]="Yes",(1-Table2[[#This Row],[Failure mode coverage with respect to latent failures]])*Table2[[#This Row],[Failure mode rate]], 0)</f>
        <v>0</v>
      </c>
      <c r="W54" s="144" t="s">
        <v>82</v>
      </c>
      <c r="X54" s="340"/>
      <c r="Y54" s="146">
        <f>IF(Table2[[#This Row],[SR]]="Yes",Table2[[#This Row],[λ]], 0)</f>
        <v>0</v>
      </c>
    </row>
    <row r="55" spans="1:25" ht="86.4" outlineLevel="1">
      <c r="A55" s="18" t="s">
        <v>659</v>
      </c>
      <c r="B55" s="12" t="s">
        <v>223</v>
      </c>
      <c r="C55" s="12" t="s">
        <v>83</v>
      </c>
      <c r="D55" s="12"/>
      <c r="E55" s="12"/>
      <c r="F55" s="125">
        <f>VLOOKUP(Table2[Function], Table1[], 5, FALSE)</f>
        <v>0.28028405422853453</v>
      </c>
      <c r="G55" s="19" t="s">
        <v>90</v>
      </c>
      <c r="H55" s="319" t="s">
        <v>35</v>
      </c>
      <c r="I55" s="122" t="s">
        <v>508</v>
      </c>
      <c r="J55" s="124">
        <f>1/7</f>
        <v>0.14285714285714285</v>
      </c>
      <c r="K55" s="17">
        <f>Table2[[#This Row],[λ]]*Table2[[#This Row],[Failure rate distribution]]</f>
        <v>4.004057917550493E-2</v>
      </c>
      <c r="L55" s="318" t="s">
        <v>407</v>
      </c>
      <c r="M55" s="20" t="str">
        <f>VLOOKUP(Table2[[#This Row],[Applicable Safety mechanism]],Table3[],2,FALSE)</f>
        <v>Read HW_Config SPI register and extract Vcca_HW, Vaux_HW, LS_detect, DBG_HW and DFS_HW1/2 configuration bits to compare with expected values before releasing Fail Safe path</v>
      </c>
      <c r="N55" s="21" t="str">
        <f>VLOOKUP(Table2[[#This Row],[Applicable Safety mechanism]], Table3[], 3,FALSE)</f>
        <v>-</v>
      </c>
      <c r="O55" s="16">
        <f>VLOOKUP(Table2[[#This Row],[Applicable Safety mechanism]], Table3[], 6,FALSE)</f>
        <v>0.99</v>
      </c>
      <c r="P55" s="22">
        <f>IF(Table2[[#This Row],[Failure mode that has the potential to violate the safety goal in absence of safety mechanism?]]="Yes", Table2[[#This Row],[Failure mode rate]]*(1-Table2[[#This Row],[Failure mode coverage wrt. violation of safety goals]]), 0)</f>
        <v>4.0040579175504965E-4</v>
      </c>
      <c r="Q55" s="318" t="s">
        <v>36</v>
      </c>
      <c r="R55" s="11"/>
      <c r="S55" s="318"/>
      <c r="T55" s="170"/>
      <c r="U55" s="16"/>
      <c r="V55" s="125">
        <f>IF(Table2[[#This Row],[Failure mode that may lead to the violation of safety goals in combination with an independent failure of another block ?]]="Yes",(1-Table2[[#This Row],[Failure mode coverage with respect to latent failures]])*Table2[[#This Row],[Failure mode rate]], 0)</f>
        <v>0</v>
      </c>
      <c r="W55" s="12" t="s">
        <v>82</v>
      </c>
      <c r="X55" s="339"/>
      <c r="Y55" s="125">
        <f>IF(Table2[[#This Row],[SR]]="Yes",Table2[[#This Row],[λ]], 0)</f>
        <v>0</v>
      </c>
    </row>
    <row r="56" spans="1:25" ht="86.4" outlineLevel="1">
      <c r="A56" s="128" t="s">
        <v>660</v>
      </c>
      <c r="B56" s="12" t="s">
        <v>223</v>
      </c>
      <c r="C56" s="12" t="s">
        <v>83</v>
      </c>
      <c r="D56" s="12"/>
      <c r="E56" s="12"/>
      <c r="F56" s="125">
        <f>VLOOKUP(Table2[Function], Table1[], 5, FALSE)</f>
        <v>0.28028405422853453</v>
      </c>
      <c r="G56" s="19" t="s">
        <v>91</v>
      </c>
      <c r="H56" s="319" t="s">
        <v>35</v>
      </c>
      <c r="I56" s="122" t="s">
        <v>508</v>
      </c>
      <c r="J56" s="124">
        <f>1/7</f>
        <v>0.14285714285714285</v>
      </c>
      <c r="K56" s="17">
        <f>Table2[[#This Row],[λ]]*Table2[[#This Row],[Failure rate distribution]]</f>
        <v>4.004057917550493E-2</v>
      </c>
      <c r="L56" s="318" t="s">
        <v>407</v>
      </c>
      <c r="M56" s="20" t="str">
        <f>VLOOKUP(Table2[[#This Row],[Applicable Safety mechanism]],Table3[],2,FALSE)</f>
        <v>Read HW_Config SPI register and extract Vcca_HW, Vaux_HW, LS_detect, DBG_HW and DFS_HW1/2 configuration bits to compare with expected values before releasing Fail Safe path</v>
      </c>
      <c r="N56" s="21" t="str">
        <f>VLOOKUP(Table2[[#This Row],[Applicable Safety mechanism]], Table3[], 3,FALSE)</f>
        <v>-</v>
      </c>
      <c r="O56" s="16">
        <f>VLOOKUP(Table2[[#This Row],[Applicable Safety mechanism]], Table3[], 6,FALSE)</f>
        <v>0.99</v>
      </c>
      <c r="P56" s="22">
        <f>IF(Table2[[#This Row],[Failure mode that has the potential to violate the safety goal in absence of safety mechanism?]]="Yes", Table2[[#This Row],[Failure mode rate]]*(1-Table2[[#This Row],[Failure mode coverage wrt. violation of safety goals]]), 0)</f>
        <v>4.0040579175504965E-4</v>
      </c>
      <c r="Q56" s="318" t="s">
        <v>36</v>
      </c>
      <c r="R56" s="11"/>
      <c r="S56" s="318"/>
      <c r="T56" s="170"/>
      <c r="U56" s="16"/>
      <c r="V56" s="125">
        <f>IF(Table2[[#This Row],[Failure mode that may lead to the violation of safety goals in combination with an independent failure of another block ?]]="Yes",(1-Table2[[#This Row],[Failure mode coverage with respect to latent failures]])*Table2[[#This Row],[Failure mode rate]], 0)</f>
        <v>0</v>
      </c>
      <c r="W56" s="12" t="s">
        <v>82</v>
      </c>
      <c r="X56" s="339"/>
      <c r="Y56" s="125">
        <f>IF(Table2[[#This Row],[SR]]="Yes",Table2[[#This Row],[λ]], 0)</f>
        <v>0</v>
      </c>
    </row>
    <row r="57" spans="1:25" s="204" customFormat="1" ht="86.4" outlineLevel="1">
      <c r="A57" s="18" t="s">
        <v>661</v>
      </c>
      <c r="B57" s="34" t="s">
        <v>223</v>
      </c>
      <c r="C57" s="34" t="s">
        <v>83</v>
      </c>
      <c r="D57" s="34"/>
      <c r="E57" s="34"/>
      <c r="F57" s="153">
        <f>VLOOKUP(Table2[Function], Table1[], 5, FALSE)</f>
        <v>0.28028405422853453</v>
      </c>
      <c r="G57" s="152" t="s">
        <v>349</v>
      </c>
      <c r="H57" s="321" t="s">
        <v>35</v>
      </c>
      <c r="I57" s="122" t="s">
        <v>508</v>
      </c>
      <c r="J57" s="124">
        <f>1/7</f>
        <v>0.14285714285714285</v>
      </c>
      <c r="K57" s="153">
        <f>Table2[[#This Row],[λ]]*Table2[[#This Row],[Failure rate distribution]]</f>
        <v>4.004057917550493E-2</v>
      </c>
      <c r="L57" s="318" t="s">
        <v>407</v>
      </c>
      <c r="M57" s="154" t="str">
        <f>VLOOKUP(Table2[[#This Row],[Applicable Safety mechanism]],Table3[],2,FALSE)</f>
        <v>Read HW_Config SPI register and extract Vcca_HW, Vaux_HW, LS_detect, DBG_HW and DFS_HW1/2 configuration bits to compare with expected values before releasing Fail Safe path</v>
      </c>
      <c r="N57" s="67" t="str">
        <f>VLOOKUP(Table2[[#This Row],[Applicable Safety mechanism]], Table3[], 3,FALSE)</f>
        <v>-</v>
      </c>
      <c r="O57" s="155">
        <f>VLOOKUP(Table2[[#This Row],[Applicable Safety mechanism]], Table3[], 6,FALSE)</f>
        <v>0.99</v>
      </c>
      <c r="P57" s="156">
        <f>IF(Table2[[#This Row],[Failure mode that has the potential to violate the safety goal in absence of safety mechanism?]]="Yes", Table2[[#This Row],[Failure mode rate]]*(1-Table2[[#This Row],[Failure mode coverage wrt. violation of safety goals]]), 0)</f>
        <v>4.0040579175504965E-4</v>
      </c>
      <c r="Q57" s="321" t="s">
        <v>36</v>
      </c>
      <c r="R57" s="143"/>
      <c r="S57" s="321"/>
      <c r="T57" s="173"/>
      <c r="U57" s="155"/>
      <c r="V57" s="153">
        <f>IF(Table2[[#This Row],[Failure mode that may lead to the violation of safety goals in combination with an independent failure of another block ?]]="Yes",(1-Table2[[#This Row],[Failure mode coverage with respect to latent failures]])*Table2[[#This Row],[Failure mode rate]], 0)</f>
        <v>0</v>
      </c>
      <c r="W57" s="34" t="s">
        <v>82</v>
      </c>
      <c r="X57" s="341"/>
      <c r="Y57" s="153">
        <f>IF(Table2[[#This Row],[SR]]="Yes",Table2[[#This Row],[λ]], 0)</f>
        <v>0</v>
      </c>
    </row>
    <row r="58" spans="1:25" ht="57.6" outlineLevel="1">
      <c r="A58" s="128" t="s">
        <v>662</v>
      </c>
      <c r="B58" s="12" t="s">
        <v>223</v>
      </c>
      <c r="C58" s="12" t="s">
        <v>83</v>
      </c>
      <c r="D58" s="12"/>
      <c r="E58" s="12"/>
      <c r="F58" s="125">
        <f>VLOOKUP(Table2[Function], Table1[], 5, FALSE)</f>
        <v>0.28028405422853453</v>
      </c>
      <c r="G58" s="19" t="s">
        <v>92</v>
      </c>
      <c r="H58" s="318" t="s">
        <v>35</v>
      </c>
      <c r="I58" s="122" t="s">
        <v>508</v>
      </c>
      <c r="J58" s="124">
        <f>1/7</f>
        <v>0.14285714285714285</v>
      </c>
      <c r="K58" s="17">
        <f>Table2[[#This Row],[λ]]*Table2[[#This Row],[Failure rate distribution]]</f>
        <v>4.004057917550493E-2</v>
      </c>
      <c r="L58" s="318" t="s">
        <v>58</v>
      </c>
      <c r="M58" s="20" t="str">
        <f>VLOOKUP(Table2[[#This Row],[Applicable Safety mechanism]],Table3[],2,FALSE)</f>
        <v>Voltage supervisor (Monitoring of voltage)</v>
      </c>
      <c r="N58" s="21" t="str">
        <f>VLOOKUP(Table2[[#This Row],[Applicable Safety mechanism]], Table3[], 3,FALSE)</f>
        <v>D.2.8.2</v>
      </c>
      <c r="O58" s="16">
        <f>VLOOKUP(Table2[[#This Row],[Applicable Safety mechanism]], Table3[], 6,FALSE)</f>
        <v>0.99</v>
      </c>
      <c r="P58" s="22">
        <f>IF(Table2[[#This Row],[Failure mode that has the potential to violate the safety goal in absence of safety mechanism?]]="Yes", Table2[[#This Row],[Failure mode rate]]*(1-Table2[[#This Row],[Failure mode coverage wrt. violation of safety goals]]), 0)</f>
        <v>4.0040579175504965E-4</v>
      </c>
      <c r="Q58" s="318" t="s">
        <v>36</v>
      </c>
      <c r="R58" s="11"/>
      <c r="S58" s="318"/>
      <c r="T58" s="170"/>
      <c r="U58" s="16"/>
      <c r="V58" s="125">
        <f>IF(Table2[[#This Row],[Failure mode that may lead to the violation of safety goals in combination with an independent failure of another block ?]]="Yes",(1-Table2[[#This Row],[Failure mode coverage with respect to latent failures]])*Table2[[#This Row],[Failure mode rate]], 0)</f>
        <v>0</v>
      </c>
      <c r="W58" s="12" t="s">
        <v>247</v>
      </c>
      <c r="X58" s="339"/>
      <c r="Y58" s="125">
        <f>IF(Table2[[#This Row],[SR]]="Yes",Table2[[#This Row],[λ]], 0)</f>
        <v>0</v>
      </c>
    </row>
    <row r="59" spans="1:25" ht="86.4" outlineLevel="1">
      <c r="A59" s="18" t="s">
        <v>663</v>
      </c>
      <c r="B59" s="123" t="s">
        <v>223</v>
      </c>
      <c r="C59" s="123" t="s">
        <v>83</v>
      </c>
      <c r="D59" s="123"/>
      <c r="E59" s="123"/>
      <c r="F59" s="125">
        <f>VLOOKUP(Table2[Function], Table1[], 5, FALSE)</f>
        <v>0.28028405422853453</v>
      </c>
      <c r="G59" s="129" t="s">
        <v>345</v>
      </c>
      <c r="H59" s="318" t="s">
        <v>35</v>
      </c>
      <c r="I59" s="122" t="s">
        <v>508</v>
      </c>
      <c r="J59" s="124">
        <f>1/7</f>
        <v>0.14285714285714285</v>
      </c>
      <c r="K59" s="125">
        <f>Table2[[#This Row],[λ]]*Table2[[#This Row],[Failure rate distribution]]</f>
        <v>4.004057917550493E-2</v>
      </c>
      <c r="L59" s="318" t="s">
        <v>407</v>
      </c>
      <c r="M59" s="20" t="str">
        <f>VLOOKUP(Table2[[#This Row],[Applicable Safety mechanism]],Table3[],2,FALSE)</f>
        <v>Read HW_Config SPI register and extract Vcca_HW, Vaux_HW, LS_detect, DBG_HW and DFS_HW1/2 configuration bits to compare with expected values before releasing Fail Safe path</v>
      </c>
      <c r="N59" s="67" t="str">
        <f>VLOOKUP(Table2[[#This Row],[Applicable Safety mechanism]], Table3[], 3,FALSE)</f>
        <v>-</v>
      </c>
      <c r="O59" s="16">
        <f>VLOOKUP(Table2[[#This Row],[Applicable Safety mechanism]], Table3[], 6,FALSE)</f>
        <v>0.99</v>
      </c>
      <c r="P59" s="126">
        <f>IF(Table2[[#This Row],[Failure mode that has the potential to violate the safety goal in absence of safety mechanism?]]="Yes", Table2[[#This Row],[Failure mode rate]]*(1-Table2[[#This Row],[Failure mode coverage wrt. violation of safety goals]]), 0)</f>
        <v>4.0040579175504965E-4</v>
      </c>
      <c r="Q59" s="318" t="s">
        <v>36</v>
      </c>
      <c r="R59" s="122"/>
      <c r="S59" s="318"/>
      <c r="T59" s="170"/>
      <c r="U59" s="16"/>
      <c r="V59" s="125">
        <f>IF(Table2[[#This Row],[Failure mode that may lead to the violation of safety goals in combination with an independent failure of another block ?]]="Yes",(1-Table2[[#This Row],[Failure mode coverage with respect to latent failures]])*Table2[[#This Row],[Failure mode rate]], 0)</f>
        <v>0</v>
      </c>
      <c r="W59" s="34" t="s">
        <v>82</v>
      </c>
      <c r="X59" s="339"/>
      <c r="Y59" s="125">
        <f>IF(Table2[[#This Row],[SR]]="Yes",Table2[[#This Row],[λ]], 0)</f>
        <v>0</v>
      </c>
    </row>
    <row r="60" spans="1:25" ht="43.2">
      <c r="A60" s="128" t="s">
        <v>664</v>
      </c>
      <c r="B60" s="24" t="s">
        <v>223</v>
      </c>
      <c r="C60" s="24" t="s">
        <v>83</v>
      </c>
      <c r="D60" s="11" t="s">
        <v>63</v>
      </c>
      <c r="E60" s="11"/>
      <c r="F60" s="125">
        <f>VLOOKUP(Table2[Function], Table1[], 5, FALSE)</f>
        <v>0.28028405422853453</v>
      </c>
      <c r="G60" s="122" t="s">
        <v>63</v>
      </c>
      <c r="H60" s="318" t="s">
        <v>63</v>
      </c>
      <c r="I60" s="122" t="s">
        <v>63</v>
      </c>
      <c r="J60" s="122" t="s">
        <v>63</v>
      </c>
      <c r="K60" s="125" t="s">
        <v>63</v>
      </c>
      <c r="L60" s="318" t="s">
        <v>63</v>
      </c>
      <c r="M60" s="122" t="s">
        <v>63</v>
      </c>
      <c r="N60" s="122" t="s">
        <v>63</v>
      </c>
      <c r="O60" s="122" t="s">
        <v>63</v>
      </c>
      <c r="P60" s="122" t="s">
        <v>63</v>
      </c>
      <c r="Q60" s="318" t="s">
        <v>63</v>
      </c>
      <c r="R60" s="11"/>
      <c r="S60" s="318"/>
      <c r="T60" s="170"/>
      <c r="U60" s="122"/>
      <c r="V60" s="122"/>
      <c r="W60" s="122"/>
      <c r="X60" s="318"/>
      <c r="Y60" s="125"/>
    </row>
    <row r="61" spans="1:25" ht="57.6" outlineLevel="1">
      <c r="A61" s="18" t="s">
        <v>665</v>
      </c>
      <c r="B61" s="67" t="s">
        <v>224</v>
      </c>
      <c r="C61" s="11" t="s">
        <v>84</v>
      </c>
      <c r="D61" s="12" t="s">
        <v>206</v>
      </c>
      <c r="E61" s="12" t="s">
        <v>207</v>
      </c>
      <c r="F61" s="125">
        <f>VLOOKUP(Table2[Function], Table1[], 5, FALSE)</f>
        <v>7.2666236281471924E-2</v>
      </c>
      <c r="G61" s="19" t="s">
        <v>93</v>
      </c>
      <c r="H61" s="318" t="s">
        <v>35</v>
      </c>
      <c r="I61" s="122" t="s">
        <v>508</v>
      </c>
      <c r="J61" s="13">
        <f>1/5</f>
        <v>0.2</v>
      </c>
      <c r="K61" s="17">
        <f>Table2[[#This Row],[λ]]*Table2[[#This Row],[Failure rate distribution]]</f>
        <v>1.4533247256294386E-2</v>
      </c>
      <c r="L61" s="318" t="s">
        <v>44</v>
      </c>
      <c r="M61" s="20" t="str">
        <f>VLOOKUP(Table2[[#This Row],[Applicable Safety mechanism]],Table3[],2,FALSE)</f>
        <v>Voltage supervisor (Monitoring of voltage)
Undervoltage detection</v>
      </c>
      <c r="N61" s="21" t="str">
        <f>VLOOKUP(Table2[[#This Row],[Applicable Safety mechanism]], Table3[], 3,FALSE)</f>
        <v>D.2.8.2</v>
      </c>
      <c r="O61" s="16">
        <f>VLOOKUP(Table2[[#This Row],[Applicable Safety mechanism]], Table3[], 6,FALSE)</f>
        <v>0.99</v>
      </c>
      <c r="P61" s="22">
        <f>IF(Table2[[#This Row],[Failure mode that has the potential to violate the safety goal in absence of safety mechanism?]]="Yes", Table2[[#This Row],[Failure mode rate]]*(1-Table2[[#This Row],[Failure mode coverage wrt. violation of safety goals]]), 0)</f>
        <v>1.4533247256294399E-4</v>
      </c>
      <c r="Q61" s="318" t="s">
        <v>36</v>
      </c>
      <c r="R61" s="11"/>
      <c r="S61" s="318"/>
      <c r="T61" s="170"/>
      <c r="U61" s="16"/>
      <c r="V61" s="167">
        <f>IF(Table2[[#This Row],[Failure mode that may lead to the violation of safety goals in combination with an independent failure of another block ?]]="Yes",(1-Table2[[#This Row],[Failure mode coverage with respect to latent failures]])*Table2[[#This Row],[Failure mode rate]], 0)</f>
        <v>0</v>
      </c>
      <c r="W61" s="12" t="s">
        <v>380</v>
      </c>
      <c r="X61" s="339" t="s">
        <v>35</v>
      </c>
      <c r="Y61" s="125">
        <f>IF(Table2[[#This Row],[SR]]="Yes",Table2[[#This Row],[λ]], 0)</f>
        <v>7.2666236281471924E-2</v>
      </c>
    </row>
    <row r="62" spans="1:25" ht="57.6" outlineLevel="1">
      <c r="A62" s="128" t="s">
        <v>666</v>
      </c>
      <c r="B62" s="12" t="s">
        <v>224</v>
      </c>
      <c r="C62" s="12" t="s">
        <v>84</v>
      </c>
      <c r="D62" s="12"/>
      <c r="E62" s="12"/>
      <c r="F62" s="125">
        <f>VLOOKUP(Table2[Function], Table1[], 5, FALSE)</f>
        <v>7.2666236281471924E-2</v>
      </c>
      <c r="G62" s="19" t="s">
        <v>94</v>
      </c>
      <c r="H62" s="318" t="s">
        <v>35</v>
      </c>
      <c r="I62" s="122" t="s">
        <v>508</v>
      </c>
      <c r="J62" s="124">
        <f t="shared" ref="J62:J65" si="3">1/5</f>
        <v>0.2</v>
      </c>
      <c r="K62" s="17">
        <f>Table2[[#This Row],[λ]]*Table2[[#This Row],[Failure rate distribution]]</f>
        <v>1.4533247256294386E-2</v>
      </c>
      <c r="L62" s="318" t="s">
        <v>44</v>
      </c>
      <c r="M62" s="20" t="str">
        <f>VLOOKUP(Table2[[#This Row],[Applicable Safety mechanism]],Table3[],2,FALSE)</f>
        <v>Voltage supervisor (Monitoring of voltage)
Undervoltage detection</v>
      </c>
      <c r="N62" s="21" t="str">
        <f>VLOOKUP(Table2[[#This Row],[Applicable Safety mechanism]], Table3[], 3,FALSE)</f>
        <v>D.2.8.2</v>
      </c>
      <c r="O62" s="16">
        <f>VLOOKUP(Table2[[#This Row],[Applicable Safety mechanism]], Table3[], 6,FALSE)</f>
        <v>0.99</v>
      </c>
      <c r="P62" s="22">
        <f>IF(Table2[[#This Row],[Failure mode that has the potential to violate the safety goal in absence of safety mechanism?]]="Yes", Table2[[#This Row],[Failure mode rate]]*(1-Table2[[#This Row],[Failure mode coverage wrt. violation of safety goals]]), 0)</f>
        <v>1.4533247256294399E-4</v>
      </c>
      <c r="Q62" s="318" t="s">
        <v>36</v>
      </c>
      <c r="R62" s="122"/>
      <c r="S62" s="318"/>
      <c r="T62" s="170"/>
      <c r="U62" s="16"/>
      <c r="V62" s="167">
        <f>IF(Table2[[#This Row],[Failure mode that may lead to the violation of safety goals in combination with an independent failure of another block ?]]="Yes",(1-Table2[[#This Row],[Failure mode coverage with respect to latent failures]])*Table2[[#This Row],[Failure mode rate]], 0)</f>
        <v>0</v>
      </c>
      <c r="W62" s="123" t="s">
        <v>380</v>
      </c>
      <c r="X62" s="339"/>
      <c r="Y62" s="125">
        <f>IF(Table2[[#This Row],[SR]]="Yes",Table2[[#This Row],[λ]], 0)</f>
        <v>0</v>
      </c>
    </row>
    <row r="63" spans="1:25" ht="28.8" outlineLevel="1">
      <c r="A63" s="18" t="s">
        <v>667</v>
      </c>
      <c r="B63" s="123" t="s">
        <v>224</v>
      </c>
      <c r="C63" s="123" t="s">
        <v>84</v>
      </c>
      <c r="D63" s="12"/>
      <c r="E63" s="12"/>
      <c r="F63" s="125">
        <f>VLOOKUP(Table2[Function], Table1[], 5, FALSE)</f>
        <v>7.2666236281471924E-2</v>
      </c>
      <c r="G63" s="19" t="s">
        <v>350</v>
      </c>
      <c r="H63" s="318" t="s">
        <v>35</v>
      </c>
      <c r="I63" s="122" t="s">
        <v>462</v>
      </c>
      <c r="J63" s="124">
        <f t="shared" si="3"/>
        <v>0.2</v>
      </c>
      <c r="K63" s="17">
        <f>Table2[[#This Row],[λ]]*Table2[[#This Row],[Failure rate distribution]]</f>
        <v>1.4533247256294386E-2</v>
      </c>
      <c r="L63" s="318" t="s">
        <v>58</v>
      </c>
      <c r="M63" s="20" t="str">
        <f>VLOOKUP(Table2[[#This Row],[Applicable Safety mechanism]],Table3[],2,FALSE)</f>
        <v>Voltage supervisor (Monitoring of voltage)</v>
      </c>
      <c r="N63" s="21" t="str">
        <f>VLOOKUP(Table2[[#This Row],[Applicable Safety mechanism]], Table3[], 3,FALSE)</f>
        <v>D.2.8.2</v>
      </c>
      <c r="O63" s="16">
        <f>VLOOKUP(Table2[[#This Row],[Applicable Safety mechanism]], Table3[], 6,FALSE)</f>
        <v>0.99</v>
      </c>
      <c r="P63" s="22">
        <f>IF(Table2[[#This Row],[Failure mode that has the potential to violate the safety goal in absence of safety mechanism?]]="Yes", Table2[[#This Row],[Failure mode rate]]*(1-Table2[[#This Row],[Failure mode coverage wrt. violation of safety goals]]), 0)</f>
        <v>1.4533247256294399E-4</v>
      </c>
      <c r="Q63" s="318" t="s">
        <v>36</v>
      </c>
      <c r="R63" s="68"/>
      <c r="S63" s="318"/>
      <c r="T63" s="170"/>
      <c r="U63" s="16"/>
      <c r="V63" s="125">
        <f>IF(Table2[[#This Row],[Failure mode that may lead to the violation of safety goals in combination with an independent failure of another block ?]]="Yes",(1-Table2[[#This Row],[Failure mode coverage with respect to latent failures]])*Table2[[#This Row],[Failure mode rate]], 0)</f>
        <v>0</v>
      </c>
      <c r="W63" s="12"/>
      <c r="X63" s="339"/>
      <c r="Y63" s="125">
        <f>IF(Table2[[#This Row],[SR]]="Yes",Table2[[#This Row],[λ]], 0)</f>
        <v>0</v>
      </c>
    </row>
    <row r="64" spans="1:25" ht="57.6" outlineLevel="1">
      <c r="A64" s="128" t="s">
        <v>668</v>
      </c>
      <c r="B64" s="123" t="s">
        <v>224</v>
      </c>
      <c r="C64" s="123" t="s">
        <v>84</v>
      </c>
      <c r="D64" s="12"/>
      <c r="E64" s="12"/>
      <c r="F64" s="125">
        <f>VLOOKUP(Table2[Function], Table1[], 5, FALSE)</f>
        <v>7.2666236281471924E-2</v>
      </c>
      <c r="G64" s="19" t="s">
        <v>95</v>
      </c>
      <c r="H64" s="318" t="s">
        <v>35</v>
      </c>
      <c r="I64" s="122" t="s">
        <v>508</v>
      </c>
      <c r="J64" s="124">
        <f t="shared" si="3"/>
        <v>0.2</v>
      </c>
      <c r="K64" s="17">
        <f>Table2[[#This Row],[λ]]*Table2[[#This Row],[Failure rate distribution]]</f>
        <v>1.4533247256294386E-2</v>
      </c>
      <c r="L64" s="318" t="s">
        <v>44</v>
      </c>
      <c r="M64" s="20" t="str">
        <f>VLOOKUP(Table2[[#This Row],[Applicable Safety mechanism]],Table3[],2,FALSE)</f>
        <v>Voltage supervisor (Monitoring of voltage)
Undervoltage detection</v>
      </c>
      <c r="N64" s="21" t="str">
        <f>VLOOKUP(Table2[[#This Row],[Applicable Safety mechanism]], Table3[], 3,FALSE)</f>
        <v>D.2.8.2</v>
      </c>
      <c r="O64" s="16">
        <f>VLOOKUP(Table2[[#This Row],[Applicable Safety mechanism]], Table3[], 6,FALSE)</f>
        <v>0.99</v>
      </c>
      <c r="P64" s="22">
        <f>IF(Table2[[#This Row],[Failure mode that has the potential to violate the safety goal in absence of safety mechanism?]]="Yes", Table2[[#This Row],[Failure mode rate]]*(1-Table2[[#This Row],[Failure mode coverage wrt. violation of safety goals]]), 0)</f>
        <v>1.4533247256294399E-4</v>
      </c>
      <c r="Q64" s="318" t="s">
        <v>36</v>
      </c>
      <c r="R64" s="122"/>
      <c r="S64" s="318"/>
      <c r="T64" s="170"/>
      <c r="U64" s="16"/>
      <c r="V64" s="167">
        <f>IF(Table2[[#This Row],[Failure mode that may lead to the violation of safety goals in combination with an independent failure of another block ?]]="Yes",(1-Table2[[#This Row],[Failure mode coverage with respect to latent failures]])*Table2[[#This Row],[Failure mode rate]], 0)</f>
        <v>0</v>
      </c>
      <c r="W64" s="123" t="s">
        <v>380</v>
      </c>
      <c r="X64" s="339"/>
      <c r="Y64" s="125">
        <f>IF(Table2[[#This Row],[SR]]="Yes",Table2[[#This Row],[λ]], 0)</f>
        <v>0</v>
      </c>
    </row>
    <row r="65" spans="1:25" ht="57.6" outlineLevel="1">
      <c r="A65" s="18" t="s">
        <v>669</v>
      </c>
      <c r="B65" s="123" t="s">
        <v>224</v>
      </c>
      <c r="C65" s="123" t="s">
        <v>84</v>
      </c>
      <c r="D65" s="123"/>
      <c r="E65" s="123"/>
      <c r="F65" s="125">
        <f>VLOOKUP(Table2[Function], Table1[], 5, FALSE)</f>
        <v>7.2666236281471924E-2</v>
      </c>
      <c r="G65" s="129" t="s">
        <v>345</v>
      </c>
      <c r="H65" s="318" t="s">
        <v>35</v>
      </c>
      <c r="I65" s="122" t="s">
        <v>509</v>
      </c>
      <c r="J65" s="124">
        <f t="shared" si="3"/>
        <v>0.2</v>
      </c>
      <c r="K65" s="125">
        <f>Table2[[#This Row],[λ]]*Table2[[#This Row],[Failure rate distribution]]</f>
        <v>1.4533247256294386E-2</v>
      </c>
      <c r="L65" s="318" t="s">
        <v>44</v>
      </c>
      <c r="M65" s="20" t="str">
        <f>VLOOKUP(Table2[[#This Row],[Applicable Safety mechanism]],Table3[],2,FALSE)</f>
        <v>Voltage supervisor (Monitoring of voltage)
Undervoltage detection</v>
      </c>
      <c r="N65" s="21" t="str">
        <f>VLOOKUP(Table2[[#This Row],[Applicable Safety mechanism]], Table3[], 3,FALSE)</f>
        <v>D.2.8.2</v>
      </c>
      <c r="O65" s="16">
        <f>VLOOKUP(Table2[[#This Row],[Applicable Safety mechanism]], Table3[], 6,FALSE)</f>
        <v>0.99</v>
      </c>
      <c r="P65" s="126">
        <f>IF(Table2[[#This Row],[Failure mode that has the potential to violate the safety goal in absence of safety mechanism?]]="Yes", Table2[[#This Row],[Failure mode rate]]*(1-Table2[[#This Row],[Failure mode coverage wrt. violation of safety goals]]), 0)</f>
        <v>1.4533247256294399E-4</v>
      </c>
      <c r="Q65" s="318" t="s">
        <v>36</v>
      </c>
      <c r="R65" s="122"/>
      <c r="S65" s="318"/>
      <c r="T65" s="170"/>
      <c r="U65" s="16"/>
      <c r="V65" s="167">
        <f>IF(Table2[[#This Row],[Failure mode that may lead to the violation of safety goals in combination with an independent failure of another block ?]]="Yes",(1-Table2[[#This Row],[Failure mode coverage with respect to latent failures]])*Table2[[#This Row],[Failure mode rate]], 0)</f>
        <v>0</v>
      </c>
      <c r="W65" s="123" t="s">
        <v>380</v>
      </c>
      <c r="X65" s="339"/>
      <c r="Y65" s="125">
        <f>IF(Table2[[#This Row],[SR]]="Yes",Table2[[#This Row],[λ]], 0)</f>
        <v>0</v>
      </c>
    </row>
    <row r="66" spans="1:25" ht="43.2">
      <c r="A66" s="128" t="s">
        <v>670</v>
      </c>
      <c r="B66" s="24" t="s">
        <v>224</v>
      </c>
      <c r="C66" s="24" t="s">
        <v>84</v>
      </c>
      <c r="D66" s="11" t="s">
        <v>63</v>
      </c>
      <c r="E66" s="11"/>
      <c r="F66" s="125">
        <f>VLOOKUP(Table2[Function], Table1[], 5, FALSE)</f>
        <v>7.2666236281471924E-2</v>
      </c>
      <c r="G66" s="122" t="s">
        <v>63</v>
      </c>
      <c r="H66" s="318" t="s">
        <v>63</v>
      </c>
      <c r="I66" s="122" t="s">
        <v>63</v>
      </c>
      <c r="J66" s="122" t="s">
        <v>63</v>
      </c>
      <c r="K66" s="125" t="s">
        <v>63</v>
      </c>
      <c r="L66" s="318" t="s">
        <v>63</v>
      </c>
      <c r="M66" s="122" t="s">
        <v>63</v>
      </c>
      <c r="N66" s="122" t="s">
        <v>63</v>
      </c>
      <c r="O66" s="122" t="s">
        <v>63</v>
      </c>
      <c r="P66" s="122" t="s">
        <v>63</v>
      </c>
      <c r="Q66" s="318" t="s">
        <v>63</v>
      </c>
      <c r="R66" s="11"/>
      <c r="S66" s="318"/>
      <c r="T66" s="170"/>
      <c r="U66" s="122"/>
      <c r="V66" s="122"/>
      <c r="W66" s="122"/>
      <c r="X66" s="318"/>
      <c r="Y66" s="125"/>
    </row>
    <row r="67" spans="1:25" ht="72" outlineLevel="1">
      <c r="A67" s="18" t="s">
        <v>671</v>
      </c>
      <c r="B67" s="12" t="s">
        <v>229</v>
      </c>
      <c r="C67" s="12" t="s">
        <v>85</v>
      </c>
      <c r="D67" s="12" t="s">
        <v>209</v>
      </c>
      <c r="E67" s="12" t="s">
        <v>207</v>
      </c>
      <c r="F67" s="125">
        <f>VLOOKUP(Table2[Function], Table1[], 5, FALSE)</f>
        <v>0.14187217559715945</v>
      </c>
      <c r="G67" s="19" t="s">
        <v>96</v>
      </c>
      <c r="H67" s="318" t="s">
        <v>35</v>
      </c>
      <c r="I67" s="122" t="s">
        <v>462</v>
      </c>
      <c r="J67" s="13">
        <f>1/13</f>
        <v>7.6923076923076927E-2</v>
      </c>
      <c r="K67" s="17">
        <f>Table2[[#This Row],[λ]]*Table2[[#This Row],[Failure rate distribution]]</f>
        <v>1.0913244276704573E-2</v>
      </c>
      <c r="L67" s="318" t="s">
        <v>44</v>
      </c>
      <c r="M67" s="20" t="str">
        <f>VLOOKUP(Table2[[#This Row],[Applicable Safety mechanism]],Table3[],2,FALSE)</f>
        <v>Voltage supervisor (Monitoring of voltage)
Undervoltage detection</v>
      </c>
      <c r="N67" s="21" t="str">
        <f>VLOOKUP(Table2[[#This Row],[Applicable Safety mechanism]], Table3[], 3,FALSE)</f>
        <v>D.2.8.2</v>
      </c>
      <c r="O67" s="16">
        <f>VLOOKUP(Table2[[#This Row],[Applicable Safety mechanism]], Table3[], 6,FALSE)</f>
        <v>0.99</v>
      </c>
      <c r="P67" s="22">
        <f>IF(Table2[[#This Row],[Failure mode that has the potential to violate the safety goal in absence of safety mechanism?]]="Yes", Table2[[#This Row],[Failure mode rate]]*(1-Table2[[#This Row],[Failure mode coverage wrt. violation of safety goals]]), 0)</f>
        <v>1.0913244276704583E-4</v>
      </c>
      <c r="Q67" s="318" t="s">
        <v>36</v>
      </c>
      <c r="R67" s="11"/>
      <c r="S67" s="318"/>
      <c r="T67" s="170"/>
      <c r="U67" s="16"/>
      <c r="V67" s="125">
        <f>IF(Table2[[#This Row],[Failure mode that may lead to the violation of safety goals in combination with an independent failure of another block ?]]="Yes",(1-Table2[[#This Row],[Failure mode coverage with respect to latent failures]])*Table2[[#This Row],[Failure mode rate]], 0)</f>
        <v>0</v>
      </c>
      <c r="W67" s="12"/>
      <c r="X67" s="339" t="s">
        <v>35</v>
      </c>
      <c r="Y67" s="125">
        <f>IF(Table2[[#This Row],[SR]]="Yes",Table2[[#This Row],[λ]], 0)</f>
        <v>0.14187217559715945</v>
      </c>
    </row>
    <row r="68" spans="1:25" ht="43.2" outlineLevel="1">
      <c r="A68" s="128" t="s">
        <v>672</v>
      </c>
      <c r="B68" s="12" t="s">
        <v>229</v>
      </c>
      <c r="C68" s="12" t="s">
        <v>85</v>
      </c>
      <c r="D68" s="12"/>
      <c r="E68" s="12"/>
      <c r="F68" s="125">
        <f>VLOOKUP(Table2[Function], Table1[], 5, FALSE)</f>
        <v>0.14187217559715945</v>
      </c>
      <c r="G68" s="19" t="s">
        <v>388</v>
      </c>
      <c r="H68" s="318" t="s">
        <v>35</v>
      </c>
      <c r="I68" s="122" t="s">
        <v>462</v>
      </c>
      <c r="J68" s="124">
        <f t="shared" ref="J68:J79" si="4">1/13</f>
        <v>7.6923076923076927E-2</v>
      </c>
      <c r="K68" s="17">
        <f>Table2[[#This Row],[λ]]*Table2[[#This Row],[Failure rate distribution]]</f>
        <v>1.0913244276704573E-2</v>
      </c>
      <c r="L68" s="318" t="s">
        <v>41</v>
      </c>
      <c r="M68" s="20" t="str">
        <f>VLOOKUP(Table2[[#This Row],[Applicable Safety mechanism]],Table3[],2,FALSE)</f>
        <v>Voltage supervisor (Monitoring of voltage)
Overvoltage detection</v>
      </c>
      <c r="N68" s="21" t="str">
        <f>VLOOKUP(Table2[[#This Row],[Applicable Safety mechanism]], Table3[], 3,FALSE)</f>
        <v>D.2.8.2</v>
      </c>
      <c r="O68" s="16">
        <f>VLOOKUP(Table2[[#This Row],[Applicable Safety mechanism]], Table3[], 6,FALSE)</f>
        <v>0.99</v>
      </c>
      <c r="P68" s="22">
        <f>IF(Table2[[#This Row],[Failure mode that has the potential to violate the safety goal in absence of safety mechanism?]]="Yes", Table2[[#This Row],[Failure mode rate]]*(1-Table2[[#This Row],[Failure mode coverage wrt. violation of safety goals]]), 0)</f>
        <v>1.0913244276704583E-4</v>
      </c>
      <c r="Q68" s="318" t="s">
        <v>36</v>
      </c>
      <c r="R68" s="11"/>
      <c r="S68" s="318"/>
      <c r="T68" s="170"/>
      <c r="U68" s="16"/>
      <c r="V68" s="125">
        <f>IF(Table2[[#This Row],[Failure mode that may lead to the violation of safety goals in combination with an independent failure of another block ?]]="Yes",(1-Table2[[#This Row],[Failure mode coverage with respect to latent failures]])*Table2[[#This Row],[Failure mode rate]], 0)</f>
        <v>0</v>
      </c>
      <c r="W68" s="12"/>
      <c r="X68" s="339"/>
      <c r="Y68" s="125">
        <f>IF(Table2[[#This Row],[SR]]="Yes",Table2[[#This Row],[λ]], 0)</f>
        <v>0</v>
      </c>
    </row>
    <row r="69" spans="1:25" ht="43.2" outlineLevel="1">
      <c r="A69" s="18" t="s">
        <v>673</v>
      </c>
      <c r="B69" s="12" t="s">
        <v>229</v>
      </c>
      <c r="C69" s="12" t="s">
        <v>85</v>
      </c>
      <c r="D69" s="12"/>
      <c r="E69" s="12"/>
      <c r="F69" s="125">
        <f>VLOOKUP(Table2[Function], Table1[], 5, FALSE)</f>
        <v>0.14187217559715945</v>
      </c>
      <c r="G69" s="19" t="s">
        <v>97</v>
      </c>
      <c r="H69" s="318" t="s">
        <v>35</v>
      </c>
      <c r="I69" s="122" t="s">
        <v>462</v>
      </c>
      <c r="J69" s="124">
        <f t="shared" si="4"/>
        <v>7.6923076923076927E-2</v>
      </c>
      <c r="K69" s="17">
        <f>Table2[[#This Row],[λ]]*Table2[[#This Row],[Failure rate distribution]]</f>
        <v>1.0913244276704573E-2</v>
      </c>
      <c r="L69" s="318" t="s">
        <v>44</v>
      </c>
      <c r="M69" s="20" t="str">
        <f>VLOOKUP(Table2[[#This Row],[Applicable Safety mechanism]],Table3[],2,FALSE)</f>
        <v>Voltage supervisor (Monitoring of voltage)
Undervoltage detection</v>
      </c>
      <c r="N69" s="21" t="str">
        <f>VLOOKUP(Table2[[#This Row],[Applicable Safety mechanism]], Table3[], 3,FALSE)</f>
        <v>D.2.8.2</v>
      </c>
      <c r="O69" s="16">
        <f>VLOOKUP(Table2[[#This Row],[Applicable Safety mechanism]], Table3[], 6,FALSE)</f>
        <v>0.99</v>
      </c>
      <c r="P69" s="22">
        <f>IF(Table2[[#This Row],[Failure mode that has the potential to violate the safety goal in absence of safety mechanism?]]="Yes", Table2[[#This Row],[Failure mode rate]]*(1-Table2[[#This Row],[Failure mode coverage wrt. violation of safety goals]]), 0)</f>
        <v>1.0913244276704583E-4</v>
      </c>
      <c r="Q69" s="318" t="s">
        <v>36</v>
      </c>
      <c r="R69" s="11"/>
      <c r="S69" s="318"/>
      <c r="T69" s="170"/>
      <c r="U69" s="16"/>
      <c r="V69" s="125">
        <f>IF(Table2[[#This Row],[Failure mode that may lead to the violation of safety goals in combination with an independent failure of another block ?]]="Yes",(1-Table2[[#This Row],[Failure mode coverage with respect to latent failures]])*Table2[[#This Row],[Failure mode rate]], 0)</f>
        <v>0</v>
      </c>
      <c r="W69" s="12"/>
      <c r="X69" s="339"/>
      <c r="Y69" s="125">
        <f>IF(Table2[[#This Row],[SR]]="Yes",Table2[[#This Row],[λ]], 0)</f>
        <v>0</v>
      </c>
    </row>
    <row r="70" spans="1:25" ht="43.2" outlineLevel="1">
      <c r="A70" s="128" t="s">
        <v>674</v>
      </c>
      <c r="B70" s="12" t="s">
        <v>229</v>
      </c>
      <c r="C70" s="12" t="s">
        <v>85</v>
      </c>
      <c r="D70" s="12"/>
      <c r="E70" s="12"/>
      <c r="F70" s="125">
        <f>VLOOKUP(Table2[Function], Table1[], 5, FALSE)</f>
        <v>0.14187217559715945</v>
      </c>
      <c r="G70" s="19" t="s">
        <v>98</v>
      </c>
      <c r="H70" s="318" t="s">
        <v>35</v>
      </c>
      <c r="I70" s="122" t="s">
        <v>462</v>
      </c>
      <c r="J70" s="124">
        <f t="shared" si="4"/>
        <v>7.6923076923076927E-2</v>
      </c>
      <c r="K70" s="17">
        <f>Table2[[#This Row],[λ]]*Table2[[#This Row],[Failure rate distribution]]</f>
        <v>1.0913244276704573E-2</v>
      </c>
      <c r="L70" s="318" t="s">
        <v>44</v>
      </c>
      <c r="M70" s="20" t="str">
        <f>VLOOKUP(Table2[[#This Row],[Applicable Safety mechanism]],Table3[],2,FALSE)</f>
        <v>Voltage supervisor (Monitoring of voltage)
Undervoltage detection</v>
      </c>
      <c r="N70" s="21" t="str">
        <f>VLOOKUP(Table2[[#This Row],[Applicable Safety mechanism]], Table3[], 3,FALSE)</f>
        <v>D.2.8.2</v>
      </c>
      <c r="O70" s="16">
        <f>VLOOKUP(Table2[[#This Row],[Applicable Safety mechanism]], Table3[], 6,FALSE)</f>
        <v>0.99</v>
      </c>
      <c r="P70" s="22">
        <f>IF(Table2[[#This Row],[Failure mode that has the potential to violate the safety goal in absence of safety mechanism?]]="Yes", Table2[[#This Row],[Failure mode rate]]*(1-Table2[[#This Row],[Failure mode coverage wrt. violation of safety goals]]), 0)</f>
        <v>1.0913244276704583E-4</v>
      </c>
      <c r="Q70" s="318" t="s">
        <v>36</v>
      </c>
      <c r="R70" s="11"/>
      <c r="S70" s="318"/>
      <c r="T70" s="170"/>
      <c r="U70" s="16"/>
      <c r="V70" s="125">
        <f>IF(Table2[[#This Row],[Failure mode that may lead to the violation of safety goals in combination with an independent failure of another block ?]]="Yes",(1-Table2[[#This Row],[Failure mode coverage with respect to latent failures]])*Table2[[#This Row],[Failure mode rate]], 0)</f>
        <v>0</v>
      </c>
      <c r="W70" s="12"/>
      <c r="X70" s="339"/>
      <c r="Y70" s="125">
        <f>IF(Table2[[#This Row],[SR]]="Yes",Table2[[#This Row],[λ]], 0)</f>
        <v>0</v>
      </c>
    </row>
    <row r="71" spans="1:25" ht="43.2" outlineLevel="1">
      <c r="A71" s="18" t="s">
        <v>675</v>
      </c>
      <c r="B71" s="12" t="s">
        <v>229</v>
      </c>
      <c r="C71" s="12" t="s">
        <v>85</v>
      </c>
      <c r="D71" s="12"/>
      <c r="E71" s="12"/>
      <c r="F71" s="125">
        <f>VLOOKUP(Table2[Function], Table1[], 5, FALSE)</f>
        <v>0.14187217559715945</v>
      </c>
      <c r="G71" s="19" t="s">
        <v>70</v>
      </c>
      <c r="H71" s="318" t="s">
        <v>35</v>
      </c>
      <c r="I71" s="122" t="s">
        <v>462</v>
      </c>
      <c r="J71" s="124">
        <f t="shared" si="4"/>
        <v>7.6923076923076927E-2</v>
      </c>
      <c r="K71" s="17">
        <f>Table2[[#This Row],[λ]]*Table2[[#This Row],[Failure rate distribution]]</f>
        <v>1.0913244276704573E-2</v>
      </c>
      <c r="L71" s="318" t="s">
        <v>44</v>
      </c>
      <c r="M71" s="20" t="str">
        <f>VLOOKUP(Table2[[#This Row],[Applicable Safety mechanism]],Table3[],2,FALSE)</f>
        <v>Voltage supervisor (Monitoring of voltage)
Undervoltage detection</v>
      </c>
      <c r="N71" s="21" t="str">
        <f>VLOOKUP(Table2[[#This Row],[Applicable Safety mechanism]], Table3[], 3,FALSE)</f>
        <v>D.2.8.2</v>
      </c>
      <c r="O71" s="16">
        <f>VLOOKUP(Table2[[#This Row],[Applicable Safety mechanism]], Table3[], 6,FALSE)</f>
        <v>0.99</v>
      </c>
      <c r="P71" s="22">
        <f>IF(Table2[[#This Row],[Failure mode that has the potential to violate the safety goal in absence of safety mechanism?]]="Yes", Table2[[#This Row],[Failure mode rate]]*(1-Table2[[#This Row],[Failure mode coverage wrt. violation of safety goals]]), 0)</f>
        <v>1.0913244276704583E-4</v>
      </c>
      <c r="Q71" s="318" t="s">
        <v>36</v>
      </c>
      <c r="R71" s="11"/>
      <c r="S71" s="318"/>
      <c r="T71" s="170"/>
      <c r="U71" s="16"/>
      <c r="V71" s="125">
        <f>IF(Table2[[#This Row],[Failure mode that may lead to the violation of safety goals in combination with an independent failure of another block ?]]="Yes",(1-Table2[[#This Row],[Failure mode coverage with respect to latent failures]])*Table2[[#This Row],[Failure mode rate]], 0)</f>
        <v>0</v>
      </c>
      <c r="W71" s="12"/>
      <c r="X71" s="339"/>
      <c r="Y71" s="125">
        <f>IF(Table2[[#This Row],[SR]]="Yes",Table2[[#This Row],[λ]], 0)</f>
        <v>0</v>
      </c>
    </row>
    <row r="72" spans="1:25" ht="43.2" outlineLevel="1">
      <c r="A72" s="128" t="s">
        <v>676</v>
      </c>
      <c r="B72" s="12" t="s">
        <v>229</v>
      </c>
      <c r="C72" s="12" t="s">
        <v>85</v>
      </c>
      <c r="D72" s="12"/>
      <c r="E72" s="12"/>
      <c r="F72" s="125">
        <f>VLOOKUP(Table2[Function], Table1[], 5, FALSE)</f>
        <v>0.14187217559715945</v>
      </c>
      <c r="G72" s="19" t="s">
        <v>73</v>
      </c>
      <c r="H72" s="318" t="s">
        <v>35</v>
      </c>
      <c r="I72" s="122" t="s">
        <v>462</v>
      </c>
      <c r="J72" s="124">
        <f t="shared" si="4"/>
        <v>7.6923076923076927E-2</v>
      </c>
      <c r="K72" s="17">
        <f>Table2[[#This Row],[λ]]*Table2[[#This Row],[Failure rate distribution]]</f>
        <v>1.0913244276704573E-2</v>
      </c>
      <c r="L72" s="318" t="s">
        <v>41</v>
      </c>
      <c r="M72" s="20" t="str">
        <f>VLOOKUP(Table2[[#This Row],[Applicable Safety mechanism]],Table3[],2,FALSE)</f>
        <v>Voltage supervisor (Monitoring of voltage)
Overvoltage detection</v>
      </c>
      <c r="N72" s="21" t="str">
        <f>VLOOKUP(Table2[[#This Row],[Applicable Safety mechanism]], Table3[], 3,FALSE)</f>
        <v>D.2.8.2</v>
      </c>
      <c r="O72" s="16">
        <f>VLOOKUP(Table2[[#This Row],[Applicable Safety mechanism]], Table3[], 6,FALSE)</f>
        <v>0.99</v>
      </c>
      <c r="P72" s="22">
        <f>IF(Table2[[#This Row],[Failure mode that has the potential to violate the safety goal in absence of safety mechanism?]]="Yes", Table2[[#This Row],[Failure mode rate]]*(1-Table2[[#This Row],[Failure mode coverage wrt. violation of safety goals]]), 0)</f>
        <v>1.0913244276704583E-4</v>
      </c>
      <c r="Q72" s="318" t="s">
        <v>36</v>
      </c>
      <c r="R72" s="11"/>
      <c r="S72" s="318"/>
      <c r="T72" s="170"/>
      <c r="U72" s="16"/>
      <c r="V72" s="125">
        <f>IF(Table2[[#This Row],[Failure mode that may lead to the violation of safety goals in combination with an independent failure of another block ?]]="Yes",(1-Table2[[#This Row],[Failure mode coverage with respect to latent failures]])*Table2[[#This Row],[Failure mode rate]], 0)</f>
        <v>0</v>
      </c>
      <c r="W72" s="12"/>
      <c r="X72" s="339"/>
      <c r="Y72" s="125">
        <f>IF(Table2[[#This Row],[SR]]="Yes",Table2[[#This Row],[λ]], 0)</f>
        <v>0</v>
      </c>
    </row>
    <row r="73" spans="1:25" ht="28.8" outlineLevel="1">
      <c r="A73" s="18" t="s">
        <v>677</v>
      </c>
      <c r="B73" s="12" t="s">
        <v>229</v>
      </c>
      <c r="C73" s="12" t="s">
        <v>85</v>
      </c>
      <c r="D73" s="12"/>
      <c r="E73" s="12"/>
      <c r="F73" s="125">
        <f>VLOOKUP(Table2[Function], Table1[], 5, FALSE)</f>
        <v>0.14187217559715945</v>
      </c>
      <c r="G73" s="19" t="s">
        <v>99</v>
      </c>
      <c r="H73" s="318" t="s">
        <v>35</v>
      </c>
      <c r="I73" s="122" t="s">
        <v>462</v>
      </c>
      <c r="J73" s="124">
        <f t="shared" si="4"/>
        <v>7.6923076923076927E-2</v>
      </c>
      <c r="K73" s="17">
        <f>Table2[[#This Row],[λ]]*Table2[[#This Row],[Failure rate distribution]]</f>
        <v>1.0913244276704573E-2</v>
      </c>
      <c r="L73" s="318" t="s">
        <v>58</v>
      </c>
      <c r="M73" s="20" t="str">
        <f>VLOOKUP(Table2[[#This Row],[Applicable Safety mechanism]],Table3[],2,FALSE)</f>
        <v>Voltage supervisor (Monitoring of voltage)</v>
      </c>
      <c r="N73" s="21" t="str">
        <f>VLOOKUP(Table2[[#This Row],[Applicable Safety mechanism]], Table3[], 3,FALSE)</f>
        <v>D.2.8.2</v>
      </c>
      <c r="O73" s="16">
        <f>VLOOKUP(Table2[[#This Row],[Applicable Safety mechanism]], Table3[], 6,FALSE)</f>
        <v>0.99</v>
      </c>
      <c r="P73" s="22">
        <f>IF(Table2[[#This Row],[Failure mode that has the potential to violate the safety goal in absence of safety mechanism?]]="Yes", Table2[[#This Row],[Failure mode rate]]*(1-Table2[[#This Row],[Failure mode coverage wrt. violation of safety goals]]), 0)</f>
        <v>1.0913244276704583E-4</v>
      </c>
      <c r="Q73" s="318" t="s">
        <v>36</v>
      </c>
      <c r="R73" s="11"/>
      <c r="S73" s="318"/>
      <c r="T73" s="170"/>
      <c r="U73" s="16"/>
      <c r="V73" s="125">
        <f>IF(Table2[[#This Row],[Failure mode that may lead to the violation of safety goals in combination with an independent failure of another block ?]]="Yes",(1-Table2[[#This Row],[Failure mode coverage with respect to latent failures]])*Table2[[#This Row],[Failure mode rate]], 0)</f>
        <v>0</v>
      </c>
      <c r="W73" s="12"/>
      <c r="X73" s="339"/>
      <c r="Y73" s="125">
        <f>IF(Table2[[#This Row],[SR]]="Yes",Table2[[#This Row],[λ]], 0)</f>
        <v>0</v>
      </c>
    </row>
    <row r="74" spans="1:25" ht="43.2" outlineLevel="1">
      <c r="A74" s="128" t="s">
        <v>678</v>
      </c>
      <c r="B74" s="12" t="s">
        <v>229</v>
      </c>
      <c r="C74" s="12" t="s">
        <v>85</v>
      </c>
      <c r="D74" s="12"/>
      <c r="E74" s="12"/>
      <c r="F74" s="125">
        <f>VLOOKUP(Table2[Function], Table1[], 5, FALSE)</f>
        <v>0.14187217559715945</v>
      </c>
      <c r="G74" s="19" t="s">
        <v>71</v>
      </c>
      <c r="H74" s="318" t="s">
        <v>35</v>
      </c>
      <c r="I74" s="122" t="s">
        <v>462</v>
      </c>
      <c r="J74" s="124">
        <f t="shared" si="4"/>
        <v>7.6923076923076927E-2</v>
      </c>
      <c r="K74" s="17">
        <f>Table2[[#This Row],[λ]]*Table2[[#This Row],[Failure rate distribution]]</f>
        <v>1.0913244276704573E-2</v>
      </c>
      <c r="L74" s="318" t="s">
        <v>44</v>
      </c>
      <c r="M74" s="20" t="str">
        <f>VLOOKUP(Table2[[#This Row],[Applicable Safety mechanism]],Table3[],2,FALSE)</f>
        <v>Voltage supervisor (Monitoring of voltage)
Undervoltage detection</v>
      </c>
      <c r="N74" s="21" t="str">
        <f>VLOOKUP(Table2[[#This Row],[Applicable Safety mechanism]], Table3[], 3,FALSE)</f>
        <v>D.2.8.2</v>
      </c>
      <c r="O74" s="16">
        <f>VLOOKUP(Table2[[#This Row],[Applicable Safety mechanism]], Table3[], 6,FALSE)</f>
        <v>0.99</v>
      </c>
      <c r="P74" s="126">
        <f>IF(Table2[[#This Row],[Failure mode that has the potential to violate the safety goal in absence of safety mechanism?]]="Yes", Table2[[#This Row],[Failure mode rate]]*(1-Table2[[#This Row],[Failure mode coverage wrt. violation of safety goals]]), 0)</f>
        <v>1.0913244276704583E-4</v>
      </c>
      <c r="Q74" s="318" t="s">
        <v>36</v>
      </c>
      <c r="R74" s="11"/>
      <c r="S74" s="318"/>
      <c r="T74" s="170"/>
      <c r="U74" s="16"/>
      <c r="V74" s="125">
        <f>IF(Table2[[#This Row],[Failure mode that may lead to the violation of safety goals in combination with an independent failure of another block ?]]="Yes",(1-Table2[[#This Row],[Failure mode coverage with respect to latent failures]])*Table2[[#This Row],[Failure mode rate]], 0)</f>
        <v>0</v>
      </c>
      <c r="W74" s="123" t="s">
        <v>379</v>
      </c>
      <c r="X74" s="339"/>
      <c r="Y74" s="125">
        <f>IF(Table2[[#This Row],[SR]]="Yes",Table2[[#This Row],[λ]], 0)</f>
        <v>0</v>
      </c>
    </row>
    <row r="75" spans="1:25" ht="28.8" outlineLevel="1">
      <c r="A75" s="18" t="s">
        <v>679</v>
      </c>
      <c r="B75" s="12" t="s">
        <v>229</v>
      </c>
      <c r="C75" s="12" t="s">
        <v>85</v>
      </c>
      <c r="D75" s="12"/>
      <c r="E75" s="12"/>
      <c r="F75" s="125">
        <f>VLOOKUP(Table2[Function], Table1[], 5, FALSE)</f>
        <v>0.14187217559715945</v>
      </c>
      <c r="G75" s="19" t="s">
        <v>100</v>
      </c>
      <c r="H75" s="318" t="s">
        <v>35</v>
      </c>
      <c r="I75" s="122" t="s">
        <v>462</v>
      </c>
      <c r="J75" s="124">
        <f t="shared" si="4"/>
        <v>7.6923076923076927E-2</v>
      </c>
      <c r="K75" s="17">
        <f>Table2[[#This Row],[λ]]*Table2[[#This Row],[Failure rate distribution]]</f>
        <v>1.0913244276704573E-2</v>
      </c>
      <c r="L75" s="318" t="s">
        <v>58</v>
      </c>
      <c r="M75" s="20" t="str">
        <f>VLOOKUP(Table2[[#This Row],[Applicable Safety mechanism]],Table3[],2,FALSE)</f>
        <v>Voltage supervisor (Monitoring of voltage)</v>
      </c>
      <c r="N75" s="21" t="str">
        <f>VLOOKUP(Table2[[#This Row],[Applicable Safety mechanism]], Table3[], 3,FALSE)</f>
        <v>D.2.8.2</v>
      </c>
      <c r="O75" s="16">
        <f>VLOOKUP(Table2[[#This Row],[Applicable Safety mechanism]], Table3[], 6,FALSE)</f>
        <v>0.99</v>
      </c>
      <c r="P75" s="22">
        <f>IF(Table2[[#This Row],[Failure mode that has the potential to violate the safety goal in absence of safety mechanism?]]="Yes", Table2[[#This Row],[Failure mode rate]]*(1-Table2[[#This Row],[Failure mode coverage wrt. violation of safety goals]]), 0)</f>
        <v>1.0913244276704583E-4</v>
      </c>
      <c r="Q75" s="318" t="s">
        <v>36</v>
      </c>
      <c r="R75" s="11"/>
      <c r="S75" s="318"/>
      <c r="T75" s="170"/>
      <c r="U75" s="16"/>
      <c r="V75" s="125">
        <f>IF(Table2[[#This Row],[Failure mode that may lead to the violation of safety goals in combination with an independent failure of another block ?]]="Yes",(1-Table2[[#This Row],[Failure mode coverage with respect to latent failures]])*Table2[[#This Row],[Failure mode rate]], 0)</f>
        <v>0</v>
      </c>
      <c r="W75" s="127">
        <f>IF(Table2[[#This Row],[Safety Requirement Violated (Latent)]]="Yes",(1-Table2[[#This Row],[Latent multiple point fault failure rate/FIT]])*Table2[[#This Row],[Applicable Safety mechanism]], 0)</f>
        <v>0</v>
      </c>
      <c r="X75" s="339"/>
      <c r="Y75" s="125">
        <f>IF(Table2[[#This Row],[SR]]="Yes",Table2[[#This Row],[λ]], 0)</f>
        <v>0</v>
      </c>
    </row>
    <row r="76" spans="1:25" ht="43.2" outlineLevel="1">
      <c r="A76" s="128" t="s">
        <v>680</v>
      </c>
      <c r="B76" s="12" t="s">
        <v>229</v>
      </c>
      <c r="C76" s="12" t="s">
        <v>85</v>
      </c>
      <c r="D76" s="12"/>
      <c r="E76" s="12"/>
      <c r="F76" s="125">
        <f>VLOOKUP(Table2[Function], Table1[], 5, FALSE)</f>
        <v>0.14187217559715945</v>
      </c>
      <c r="G76" s="19" t="s">
        <v>101</v>
      </c>
      <c r="H76" s="318" t="s">
        <v>35</v>
      </c>
      <c r="I76" s="122" t="s">
        <v>462</v>
      </c>
      <c r="J76" s="124">
        <f t="shared" si="4"/>
        <v>7.6923076923076927E-2</v>
      </c>
      <c r="K76" s="17">
        <f>Table2[[#This Row],[λ]]*Table2[[#This Row],[Failure rate distribution]]</f>
        <v>1.0913244276704573E-2</v>
      </c>
      <c r="L76" s="318" t="s">
        <v>44</v>
      </c>
      <c r="M76" s="20" t="str">
        <f>VLOOKUP(Table2[[#This Row],[Applicable Safety mechanism]],Table3[],2,FALSE)</f>
        <v>Voltage supervisor (Monitoring of voltage)
Undervoltage detection</v>
      </c>
      <c r="N76" s="21" t="str">
        <f>VLOOKUP(Table2[[#This Row],[Applicable Safety mechanism]], Table3[], 3,FALSE)</f>
        <v>D.2.8.2</v>
      </c>
      <c r="O76" s="16">
        <f>VLOOKUP(Table2[[#This Row],[Applicable Safety mechanism]], Table3[], 6,FALSE)</f>
        <v>0.99</v>
      </c>
      <c r="P76" s="22">
        <f>IF(Table2[[#This Row],[Failure mode that has the potential to violate the safety goal in absence of safety mechanism?]]="Yes", Table2[[#This Row],[Failure mode rate]]*(1-Table2[[#This Row],[Failure mode coverage wrt. violation of safety goals]]), 0)</f>
        <v>1.0913244276704583E-4</v>
      </c>
      <c r="Q76" s="318" t="s">
        <v>36</v>
      </c>
      <c r="R76" s="11"/>
      <c r="S76" s="318"/>
      <c r="T76" s="170"/>
      <c r="U76" s="16"/>
      <c r="V76" s="125">
        <f>IF(Table2[[#This Row],[Failure mode that may lead to the violation of safety goals in combination with an independent failure of another block ?]]="Yes",(1-Table2[[#This Row],[Failure mode coverage with respect to latent failures]])*Table2[[#This Row],[Failure mode rate]], 0)</f>
        <v>0</v>
      </c>
      <c r="W76" s="12"/>
      <c r="X76" s="339"/>
      <c r="Y76" s="125">
        <f>IF(Table2[[#This Row],[SR]]="Yes",Table2[[#This Row],[λ]], 0)</f>
        <v>0</v>
      </c>
    </row>
    <row r="77" spans="1:25" outlineLevel="1">
      <c r="A77" s="18" t="s">
        <v>681</v>
      </c>
      <c r="B77" s="12" t="s">
        <v>229</v>
      </c>
      <c r="C77" s="12" t="s">
        <v>85</v>
      </c>
      <c r="D77" s="12"/>
      <c r="E77" s="12"/>
      <c r="F77" s="125">
        <f>VLOOKUP(Table2[Function], Table1[], 5, FALSE)</f>
        <v>0.14187217559715945</v>
      </c>
      <c r="G77" s="19" t="s">
        <v>102</v>
      </c>
      <c r="H77" s="318" t="s">
        <v>36</v>
      </c>
      <c r="I77" s="122" t="s">
        <v>63</v>
      </c>
      <c r="J77" s="124">
        <f t="shared" si="4"/>
        <v>7.6923076923076927E-2</v>
      </c>
      <c r="K77" s="17">
        <f>Table2[[#This Row],[λ]]*Table2[[#This Row],[Failure rate distribution]]</f>
        <v>1.0913244276704573E-2</v>
      </c>
      <c r="L77" s="324" t="s">
        <v>63</v>
      </c>
      <c r="M77" s="20" t="str">
        <f>VLOOKUP(Table2[[#This Row],[Applicable Safety mechanism]],Table3[],2,FALSE)</f>
        <v>Not applicable</v>
      </c>
      <c r="N77" s="21" t="str">
        <f>VLOOKUP(Table2[[#This Row],[Applicable Safety mechanism]], Table3[], 3,FALSE)</f>
        <v>-</v>
      </c>
      <c r="O77" s="16">
        <f>VLOOKUP(Table2[[#This Row],[Applicable Safety mechanism]], Table3[], 6,FALSE)</f>
        <v>0</v>
      </c>
      <c r="P77" s="126">
        <f>IF(Table2[[#This Row],[Failure mode that has the potential to violate the safety goal in absence of safety mechanism?]]="Yes", Table2[[#This Row],[Failure mode rate]]*(1-Table2[[#This Row],[Failure mode coverage wrt. violation of safety goals]]), 0)</f>
        <v>0</v>
      </c>
      <c r="Q77" s="318" t="s">
        <v>36</v>
      </c>
      <c r="R77" s="11"/>
      <c r="S77" s="318"/>
      <c r="T77" s="170"/>
      <c r="U77" s="16"/>
      <c r="V77" s="125">
        <f>IF(Table2[[#This Row],[Failure mode that may lead to the violation of safety goals in combination with an independent failure of another block ?]]="Yes",(1-Table2[[#This Row],[Failure mode coverage with respect to latent failures]])*Table2[[#This Row],[Failure mode rate]], 0)</f>
        <v>0</v>
      </c>
      <c r="W77" s="12"/>
      <c r="X77" s="339"/>
      <c r="Y77" s="125">
        <f>IF(Table2[[#This Row],[SR]]="Yes",Table2[[#This Row],[λ]], 0)</f>
        <v>0</v>
      </c>
    </row>
    <row r="78" spans="1:25" ht="43.2" outlineLevel="1">
      <c r="A78" s="128" t="s">
        <v>682</v>
      </c>
      <c r="B78" s="12" t="s">
        <v>229</v>
      </c>
      <c r="C78" s="12" t="s">
        <v>85</v>
      </c>
      <c r="D78" s="12"/>
      <c r="E78" s="12"/>
      <c r="F78" s="125">
        <f>VLOOKUP(Table2[Function], Table1[], 5, FALSE)</f>
        <v>0.14187217559715945</v>
      </c>
      <c r="G78" s="33" t="s">
        <v>103</v>
      </c>
      <c r="H78" s="318" t="s">
        <v>35</v>
      </c>
      <c r="I78" s="122" t="s">
        <v>462</v>
      </c>
      <c r="J78" s="124">
        <f t="shared" si="4"/>
        <v>7.6923076923076927E-2</v>
      </c>
      <c r="K78" s="70">
        <f>Table2[[#This Row],[λ]]*Table2[[#This Row],[Failure rate distribution]]</f>
        <v>1.0913244276704573E-2</v>
      </c>
      <c r="L78" s="318" t="s">
        <v>44</v>
      </c>
      <c r="M78" s="26" t="str">
        <f>VLOOKUP(Table2[[#This Row],[Applicable Safety mechanism]],Table3[],2,FALSE)</f>
        <v>Voltage supervisor (Monitoring of voltage)
Undervoltage detection</v>
      </c>
      <c r="N78" s="27" t="str">
        <f>VLOOKUP(Table2[[#This Row],[Applicable Safety mechanism]], Table3[], 3,FALSE)</f>
        <v>D.2.8.2</v>
      </c>
      <c r="O78" s="28">
        <f>VLOOKUP(Table2[[#This Row],[Applicable Safety mechanism]], Table3[], 6,FALSE)</f>
        <v>0.99</v>
      </c>
      <c r="P78" s="29">
        <f>IF(Table2[[#This Row],[Failure mode that has the potential to violate the safety goal in absence of safety mechanism?]]="Yes", Table2[[#This Row],[Failure mode rate]]*(1-Table2[[#This Row],[Failure mode coverage wrt. violation of safety goals]]), 0)</f>
        <v>1.0913244276704583E-4</v>
      </c>
      <c r="Q78" s="318" t="s">
        <v>36</v>
      </c>
      <c r="R78" s="11"/>
      <c r="S78" s="318"/>
      <c r="T78" s="170"/>
      <c r="U78" s="16"/>
      <c r="V78" s="125">
        <f>IF(Table2[[#This Row],[Failure mode that may lead to the violation of safety goals in combination with an independent failure of another block ?]]="Yes",(1-Table2[[#This Row],[Failure mode coverage with respect to latent failures]])*Table2[[#This Row],[Failure mode rate]], 0)</f>
        <v>0</v>
      </c>
      <c r="W78" s="12"/>
      <c r="X78" s="339"/>
      <c r="Y78" s="125">
        <f>IF(Table2[[#This Row],[SR]]="Yes",Table2[[#This Row],[λ]], 0)</f>
        <v>0</v>
      </c>
    </row>
    <row r="79" spans="1:25" ht="28.8" outlineLevel="1">
      <c r="A79" s="18" t="s">
        <v>683</v>
      </c>
      <c r="B79" s="123" t="s">
        <v>229</v>
      </c>
      <c r="C79" s="123" t="s">
        <v>85</v>
      </c>
      <c r="D79" s="123"/>
      <c r="E79" s="123"/>
      <c r="F79" s="125">
        <f>VLOOKUP(Table2[Function], Table1[], 5, FALSE)</f>
        <v>0.14187217559715945</v>
      </c>
      <c r="G79" s="129" t="s">
        <v>345</v>
      </c>
      <c r="H79" s="318" t="s">
        <v>35</v>
      </c>
      <c r="I79" s="122" t="s">
        <v>462</v>
      </c>
      <c r="J79" s="124">
        <f t="shared" si="4"/>
        <v>7.6923076923076927E-2</v>
      </c>
      <c r="K79" s="70">
        <f>Table2[[#This Row],[λ]]*Table2[[#This Row],[Failure rate distribution]]</f>
        <v>1.0913244276704573E-2</v>
      </c>
      <c r="L79" s="318" t="s">
        <v>58</v>
      </c>
      <c r="M79" s="26" t="str">
        <f>VLOOKUP(Table2[[#This Row],[Applicable Safety mechanism]],Table3[],2,FALSE)</f>
        <v>Voltage supervisor (Monitoring of voltage)</v>
      </c>
      <c r="N79" s="27" t="str">
        <f>VLOOKUP(Table2[[#This Row],[Applicable Safety mechanism]], Table3[], 3,FALSE)</f>
        <v>D.2.8.2</v>
      </c>
      <c r="O79" s="28">
        <f>VLOOKUP(Table2[[#This Row],[Applicable Safety mechanism]], Table3[], 6,FALSE)</f>
        <v>0.99</v>
      </c>
      <c r="P79" s="29">
        <f>IF(Table2[[#This Row],[Failure mode that has the potential to violate the safety goal in absence of safety mechanism?]]="Yes", Table2[[#This Row],[Failure mode rate]]*(1-Table2[[#This Row],[Failure mode coverage wrt. violation of safety goals]]), 0)</f>
        <v>1.0913244276704583E-4</v>
      </c>
      <c r="Q79" s="318" t="s">
        <v>36</v>
      </c>
      <c r="R79" s="122"/>
      <c r="S79" s="318"/>
      <c r="T79" s="170"/>
      <c r="U79" s="16"/>
      <c r="V79" s="125">
        <f>IF(Table2[[#This Row],[Failure mode that may lead to the violation of safety goals in combination with an independent failure of another block ?]]="Yes",(1-Table2[[#This Row],[Failure mode coverage with respect to latent failures]])*Table2[[#This Row],[Failure mode rate]], 0)</f>
        <v>0</v>
      </c>
      <c r="W79" s="123"/>
      <c r="X79" s="339"/>
      <c r="Y79" s="125">
        <f>IF(Table2[[#This Row],[SR]]="Yes",Table2[[#This Row],[λ]], 0)</f>
        <v>0</v>
      </c>
    </row>
    <row r="80" spans="1:25" ht="72">
      <c r="A80" s="128" t="s">
        <v>684</v>
      </c>
      <c r="B80" s="24" t="s">
        <v>229</v>
      </c>
      <c r="C80" s="24" t="s">
        <v>85</v>
      </c>
      <c r="D80" s="11" t="s">
        <v>63</v>
      </c>
      <c r="E80" s="11"/>
      <c r="F80" s="125">
        <f>VLOOKUP(Table2[Function], Table1[], 5, FALSE)</f>
        <v>0.14187217559715945</v>
      </c>
      <c r="G80" s="122" t="s">
        <v>63</v>
      </c>
      <c r="H80" s="318" t="s">
        <v>63</v>
      </c>
      <c r="I80" s="122" t="s">
        <v>63</v>
      </c>
      <c r="J80" s="122" t="s">
        <v>63</v>
      </c>
      <c r="K80" s="125" t="s">
        <v>63</v>
      </c>
      <c r="L80" s="318" t="s">
        <v>63</v>
      </c>
      <c r="M80" s="122" t="s">
        <v>63</v>
      </c>
      <c r="N80" s="122" t="s">
        <v>63</v>
      </c>
      <c r="O80" s="122" t="s">
        <v>63</v>
      </c>
      <c r="P80" s="122" t="s">
        <v>63</v>
      </c>
      <c r="Q80" s="318" t="s">
        <v>63</v>
      </c>
      <c r="R80" s="11"/>
      <c r="S80" s="318"/>
      <c r="T80" s="170"/>
      <c r="U80" s="122"/>
      <c r="V80" s="122"/>
      <c r="W80" s="122"/>
      <c r="X80" s="318"/>
      <c r="Y80" s="125"/>
    </row>
    <row r="81" spans="1:25" ht="72" outlineLevel="1">
      <c r="A81" s="18" t="s">
        <v>685</v>
      </c>
      <c r="B81" s="12" t="s">
        <v>8</v>
      </c>
      <c r="C81" s="12" t="s">
        <v>119</v>
      </c>
      <c r="D81" s="12" t="s">
        <v>210</v>
      </c>
      <c r="E81" s="12" t="s">
        <v>205</v>
      </c>
      <c r="F81" s="125">
        <f>VLOOKUP(Table2[Function], Table1[], 5, FALSE)</f>
        <v>0.92735958683021302</v>
      </c>
      <c r="G81" s="19" t="s">
        <v>106</v>
      </c>
      <c r="H81" s="318" t="s">
        <v>35</v>
      </c>
      <c r="I81" s="122" t="s">
        <v>462</v>
      </c>
      <c r="J81" s="13">
        <f>1/18</f>
        <v>5.5555555555555552E-2</v>
      </c>
      <c r="K81" s="17">
        <f>Table2[[#This Row],[λ]]*Table2[[#This Row],[Failure rate distribution]]</f>
        <v>5.151997704612294E-2</v>
      </c>
      <c r="L81" s="318" t="s">
        <v>44</v>
      </c>
      <c r="M81" s="20" t="str">
        <f>VLOOKUP(Table2[[#This Row],[Applicable Safety mechanism]],Table3[],2,FALSE)</f>
        <v>Voltage supervisor (Monitoring of voltage)
Undervoltage detection</v>
      </c>
      <c r="N81" s="21" t="str">
        <f>VLOOKUP(Table2[[#This Row],[Applicable Safety mechanism]], Table3[], 3,FALSE)</f>
        <v>D.2.8.2</v>
      </c>
      <c r="O81" s="16">
        <f>VLOOKUP(Table2[[#This Row],[Applicable Safety mechanism]], Table3[], 6,FALSE)</f>
        <v>0.99</v>
      </c>
      <c r="P81" s="22">
        <f>IF(Table2[[#This Row],[Failure mode that has the potential to violate the safety goal in absence of safety mechanism?]]="Yes", Table2[[#This Row],[Failure mode rate]]*(1-Table2[[#This Row],[Failure mode coverage wrt. violation of safety goals]]), 0)</f>
        <v>5.151997704612299E-4</v>
      </c>
      <c r="Q81" s="318" t="s">
        <v>36</v>
      </c>
      <c r="R81" s="122"/>
      <c r="S81" s="318"/>
      <c r="T81" s="170"/>
      <c r="U81" s="16"/>
      <c r="V81" s="125">
        <f>IF(Table2[[#This Row],[Failure mode that may lead to the violation of safety goals in combination with an independent failure of another block ?]]="Yes",(1-Table2[[#This Row],[Failure mode coverage with respect to latent failures]])*Table2[[#This Row],[Failure mode rate]], 0)</f>
        <v>0</v>
      </c>
      <c r="W81" s="12"/>
      <c r="X81" s="339" t="s">
        <v>35</v>
      </c>
      <c r="Y81" s="125">
        <f>IF(Table2[[#This Row],[SR]]="Yes",Table2[[#This Row],[λ]], 0)</f>
        <v>0.92735958683021302</v>
      </c>
    </row>
    <row r="82" spans="1:25" ht="28.8" outlineLevel="1">
      <c r="A82" s="128" t="s">
        <v>686</v>
      </c>
      <c r="B82" s="12" t="s">
        <v>8</v>
      </c>
      <c r="C82" s="12" t="s">
        <v>119</v>
      </c>
      <c r="D82" s="12"/>
      <c r="E82" s="12"/>
      <c r="F82" s="125">
        <f>VLOOKUP(Table2[Function], Table1[], 5, FALSE)</f>
        <v>0.92735958683021302</v>
      </c>
      <c r="G82" s="19" t="s">
        <v>107</v>
      </c>
      <c r="H82" s="318" t="s">
        <v>36</v>
      </c>
      <c r="I82" s="122" t="s">
        <v>63</v>
      </c>
      <c r="J82" s="124">
        <f t="shared" ref="J82:J98" si="5">1/18</f>
        <v>5.5555555555555552E-2</v>
      </c>
      <c r="K82" s="17">
        <f>Table2[[#This Row],[λ]]*Table2[[#This Row],[Failure rate distribution]]</f>
        <v>5.151997704612294E-2</v>
      </c>
      <c r="L82" s="318" t="s">
        <v>63</v>
      </c>
      <c r="M82" s="20" t="str">
        <f>VLOOKUP(Table2[[#This Row],[Applicable Safety mechanism]],Table3[],2,FALSE)</f>
        <v>Not applicable</v>
      </c>
      <c r="N82" s="21" t="str">
        <f>VLOOKUP(Table2[[#This Row],[Applicable Safety mechanism]], Table3[], 3,FALSE)</f>
        <v>-</v>
      </c>
      <c r="O82" s="16">
        <f>VLOOKUP(Table2[[#This Row],[Applicable Safety mechanism]], Table3[], 6,FALSE)</f>
        <v>0</v>
      </c>
      <c r="P82" s="22">
        <f>IF(Table2[[#This Row],[Failure mode that has the potential to violate the safety goal in absence of safety mechanism?]]="Yes", Table2[[#This Row],[Failure mode rate]]*(1-Table2[[#This Row],[Failure mode coverage wrt. violation of safety goals]]), 0)</f>
        <v>0</v>
      </c>
      <c r="Q82" s="318" t="s">
        <v>35</v>
      </c>
      <c r="R82" s="122" t="s">
        <v>463</v>
      </c>
      <c r="S82" s="318" t="s">
        <v>410</v>
      </c>
      <c r="T82" s="20" t="str">
        <f>VLOOKUP(Table2[[#This Row],[Detection means ? Safety mechanism(s) allowing to prevent the failure mode from being latent ?]],Table3[],2,FALSE)</f>
        <v>Watchdog</v>
      </c>
      <c r="U82" s="16">
        <f>VLOOKUP(Table2[[#This Row],[Detection means ? Safety mechanism(s) allowing to prevent the failure mode from being latent ?]], Table3[], 6,FALSE)</f>
        <v>0.99</v>
      </c>
      <c r="V82" s="125">
        <f>IF(Table2[[#This Row],[Failure mode that may lead to the violation of safety goals in combination with an independent failure of another block ?]]="Yes",(1-Table2[[#This Row],[Failure mode coverage with respect to latent failures]])*Table2[[#This Row],[Failure mode rate]], 0)</f>
        <v>5.151997704612299E-4</v>
      </c>
      <c r="W82" s="12"/>
      <c r="X82" s="339"/>
      <c r="Y82" s="125">
        <f>IF(Table2[[#This Row],[SR]]="Yes",Table2[[#This Row],[λ]], 0)</f>
        <v>0</v>
      </c>
    </row>
    <row r="83" spans="1:25" outlineLevel="1">
      <c r="A83" s="18" t="s">
        <v>687</v>
      </c>
      <c r="B83" s="12" t="s">
        <v>8</v>
      </c>
      <c r="C83" s="12" t="s">
        <v>119</v>
      </c>
      <c r="D83" s="12"/>
      <c r="E83" s="12"/>
      <c r="F83" s="125">
        <f>VLOOKUP(Table2[Function], Table1[], 5, FALSE)</f>
        <v>0.92735958683021302</v>
      </c>
      <c r="G83" s="19" t="s">
        <v>108</v>
      </c>
      <c r="H83" s="318" t="s">
        <v>36</v>
      </c>
      <c r="I83" s="122" t="s">
        <v>63</v>
      </c>
      <c r="J83" s="124">
        <f t="shared" si="5"/>
        <v>5.5555555555555552E-2</v>
      </c>
      <c r="K83" s="17">
        <f>Table2[[#This Row],[λ]]*Table2[[#This Row],[Failure rate distribution]]</f>
        <v>5.151997704612294E-2</v>
      </c>
      <c r="L83" s="318" t="s">
        <v>63</v>
      </c>
      <c r="M83" s="20" t="str">
        <f>VLOOKUP(Table2[[#This Row],[Applicable Safety mechanism]],Table3[],2,FALSE)</f>
        <v>Not applicable</v>
      </c>
      <c r="N83" s="21" t="str">
        <f>VLOOKUP(Table2[[#This Row],[Applicable Safety mechanism]], Table3[], 3,FALSE)</f>
        <v>-</v>
      </c>
      <c r="O83" s="16">
        <f>VLOOKUP(Table2[[#This Row],[Applicable Safety mechanism]], Table3[], 6,FALSE)</f>
        <v>0</v>
      </c>
      <c r="P83" s="22">
        <f>IF(Table2[[#This Row],[Failure mode that has the potential to violate the safety goal in absence of safety mechanism?]]="Yes", Table2[[#This Row],[Failure mode rate]]*(1-Table2[[#This Row],[Failure mode coverage wrt. violation of safety goals]]), 0)</f>
        <v>0</v>
      </c>
      <c r="Q83" s="318" t="s">
        <v>35</v>
      </c>
      <c r="R83" s="122" t="s">
        <v>463</v>
      </c>
      <c r="S83" s="318" t="s">
        <v>410</v>
      </c>
      <c r="T83" s="20" t="str">
        <f>VLOOKUP(Table2[[#This Row],[Detection means ? Safety mechanism(s) allowing to prevent the failure mode from being latent ?]],Table3[],2,FALSE)</f>
        <v>Watchdog</v>
      </c>
      <c r="U83" s="16">
        <f>VLOOKUP(Table2[[#This Row],[Detection means ? Safety mechanism(s) allowing to prevent the failure mode from being latent ?]], Table3[], 6,FALSE)</f>
        <v>0.99</v>
      </c>
      <c r="V83" s="125">
        <f>IF(Table2[[#This Row],[Failure mode that may lead to the violation of safety goals in combination with an independent failure of another block ?]]="Yes",(1-Table2[[#This Row],[Failure mode coverage with respect to latent failures]])*Table2[[#This Row],[Failure mode rate]], 0)</f>
        <v>5.151997704612299E-4</v>
      </c>
      <c r="W83" s="12"/>
      <c r="X83" s="339"/>
      <c r="Y83" s="125">
        <f>IF(Table2[[#This Row],[SR]]="Yes",Table2[[#This Row],[λ]], 0)</f>
        <v>0</v>
      </c>
    </row>
    <row r="84" spans="1:25" ht="28.8" outlineLevel="1">
      <c r="A84" s="128" t="s">
        <v>688</v>
      </c>
      <c r="B84" s="12" t="s">
        <v>8</v>
      </c>
      <c r="C84" s="12" t="s">
        <v>119</v>
      </c>
      <c r="D84" s="12"/>
      <c r="E84" s="12"/>
      <c r="F84" s="125">
        <f>VLOOKUP(Table2[Function], Table1[], 5, FALSE)</f>
        <v>0.92735958683021302</v>
      </c>
      <c r="G84" s="19" t="s">
        <v>351</v>
      </c>
      <c r="H84" s="318" t="s">
        <v>36</v>
      </c>
      <c r="I84" s="122" t="s">
        <v>63</v>
      </c>
      <c r="J84" s="124">
        <f t="shared" si="5"/>
        <v>5.5555555555555552E-2</v>
      </c>
      <c r="K84" s="17">
        <f>Table2[[#This Row],[λ]]*Table2[[#This Row],[Failure rate distribution]]</f>
        <v>5.151997704612294E-2</v>
      </c>
      <c r="L84" s="318" t="s">
        <v>63</v>
      </c>
      <c r="M84" s="20" t="str">
        <f>VLOOKUP(Table2[[#This Row],[Applicable Safety mechanism]],Table3[],2,FALSE)</f>
        <v>Not applicable</v>
      </c>
      <c r="N84" s="21" t="str">
        <f>VLOOKUP(Table2[[#This Row],[Applicable Safety mechanism]], Table3[], 3,FALSE)</f>
        <v>-</v>
      </c>
      <c r="O84" s="16">
        <f>VLOOKUP(Table2[[#This Row],[Applicable Safety mechanism]], Table3[], 6,FALSE)</f>
        <v>0</v>
      </c>
      <c r="P84" s="22">
        <f>IF(Table2[[#This Row],[Failure mode that has the potential to violate the safety goal in absence of safety mechanism?]]="Yes", Table2[[#This Row],[Failure mode rate]]*(1-Table2[[#This Row],[Failure mode coverage wrt. violation of safety goals]]), 0)</f>
        <v>0</v>
      </c>
      <c r="Q84" s="318" t="s">
        <v>35</v>
      </c>
      <c r="R84" s="122" t="s">
        <v>463</v>
      </c>
      <c r="S84" s="318" t="s">
        <v>410</v>
      </c>
      <c r="T84" s="20" t="str">
        <f>VLOOKUP(Table2[[#This Row],[Detection means ? Safety mechanism(s) allowing to prevent the failure mode from being latent ?]],Table3[],2,FALSE)</f>
        <v>Watchdog</v>
      </c>
      <c r="U84" s="16">
        <f>VLOOKUP(Table2[[#This Row],[Detection means ? Safety mechanism(s) allowing to prevent the failure mode from being latent ?]], Table3[], 6,FALSE)</f>
        <v>0.99</v>
      </c>
      <c r="V84" s="125">
        <f>IF(Table2[[#This Row],[Failure mode that may lead to the violation of safety goals in combination with an independent failure of another block ?]]="Yes",(1-Table2[[#This Row],[Failure mode coverage with respect to latent failures]])*Table2[[#This Row],[Failure mode rate]], 0)</f>
        <v>5.151997704612299E-4</v>
      </c>
      <c r="W84" s="12"/>
      <c r="X84" s="339"/>
      <c r="Y84" s="125">
        <f>IF(Table2[[#This Row],[SR]]="Yes",Table2[[#This Row],[λ]], 0)</f>
        <v>0</v>
      </c>
    </row>
    <row r="85" spans="1:25" outlineLevel="1">
      <c r="A85" s="18" t="s">
        <v>689</v>
      </c>
      <c r="B85" s="12" t="s">
        <v>8</v>
      </c>
      <c r="C85" s="12" t="s">
        <v>119</v>
      </c>
      <c r="D85" s="12"/>
      <c r="E85" s="12"/>
      <c r="F85" s="125">
        <f>VLOOKUP(Table2[Function], Table1[], 5, FALSE)</f>
        <v>0.92735958683021302</v>
      </c>
      <c r="G85" s="19" t="s">
        <v>109</v>
      </c>
      <c r="H85" s="318" t="s">
        <v>36</v>
      </c>
      <c r="I85" s="122" t="s">
        <v>63</v>
      </c>
      <c r="J85" s="124">
        <f t="shared" si="5"/>
        <v>5.5555555555555552E-2</v>
      </c>
      <c r="K85" s="70">
        <f>Table2[[#This Row],[λ]]*Table2[[#This Row],[Failure rate distribution]]</f>
        <v>5.151997704612294E-2</v>
      </c>
      <c r="L85" s="318" t="s">
        <v>63</v>
      </c>
      <c r="M85" s="26" t="str">
        <f>VLOOKUP(Table2[[#This Row],[Applicable Safety mechanism]],Table3[],2,FALSE)</f>
        <v>Not applicable</v>
      </c>
      <c r="N85" s="27" t="str">
        <f>VLOOKUP(Table2[[#This Row],[Applicable Safety mechanism]], Table3[], 3,FALSE)</f>
        <v>-</v>
      </c>
      <c r="O85" s="28">
        <f>VLOOKUP(Table2[[#This Row],[Applicable Safety mechanism]], Table3[], 6,FALSE)</f>
        <v>0</v>
      </c>
      <c r="P85" s="29">
        <f>IF(Table2[[#This Row],[Failure mode that has the potential to violate the safety goal in absence of safety mechanism?]]="Yes", Table2[[#This Row],[Failure mode rate]]*(1-Table2[[#This Row],[Failure mode coverage wrt. violation of safety goals]]), 0)</f>
        <v>0</v>
      </c>
      <c r="Q85" s="318" t="s">
        <v>35</v>
      </c>
      <c r="R85" s="122" t="s">
        <v>463</v>
      </c>
      <c r="S85" s="318" t="s">
        <v>410</v>
      </c>
      <c r="T85" s="20" t="str">
        <f>VLOOKUP(Table2[[#This Row],[Detection means ? Safety mechanism(s) allowing to prevent the failure mode from being latent ?]],Table3[],2,FALSE)</f>
        <v>Watchdog</v>
      </c>
      <c r="U85" s="16">
        <f>VLOOKUP(Table2[[#This Row],[Detection means ? Safety mechanism(s) allowing to prevent the failure mode from being latent ?]], Table3[], 6,FALSE)</f>
        <v>0.99</v>
      </c>
      <c r="V85" s="125">
        <f>IF(Table2[[#This Row],[Failure mode that may lead to the violation of safety goals in combination with an independent failure of another block ?]]="Yes",(1-Table2[[#This Row],[Failure mode coverage with respect to latent failures]])*Table2[[#This Row],[Failure mode rate]], 0)</f>
        <v>5.151997704612299E-4</v>
      </c>
      <c r="W85" s="12"/>
      <c r="X85" s="339"/>
      <c r="Y85" s="125">
        <f>IF(Table2[[#This Row],[SR]]="Yes",Table2[[#This Row],[λ]], 0)</f>
        <v>0</v>
      </c>
    </row>
    <row r="86" spans="1:25" outlineLevel="1">
      <c r="A86" s="128" t="s">
        <v>690</v>
      </c>
      <c r="B86" s="12" t="s">
        <v>8</v>
      </c>
      <c r="C86" s="12" t="s">
        <v>119</v>
      </c>
      <c r="D86" s="12"/>
      <c r="E86" s="12"/>
      <c r="F86" s="125">
        <f>VLOOKUP(Table2[Function], Table1[], 5, FALSE)</f>
        <v>0.92735958683021302</v>
      </c>
      <c r="G86" s="19" t="s">
        <v>110</v>
      </c>
      <c r="H86" s="318" t="s">
        <v>36</v>
      </c>
      <c r="I86" s="122" t="s">
        <v>63</v>
      </c>
      <c r="J86" s="124">
        <f t="shared" si="5"/>
        <v>5.5555555555555552E-2</v>
      </c>
      <c r="K86" s="17">
        <f>Table2[[#This Row],[λ]]*Table2[[#This Row],[Failure rate distribution]]</f>
        <v>5.151997704612294E-2</v>
      </c>
      <c r="L86" s="318" t="s">
        <v>63</v>
      </c>
      <c r="M86" s="20" t="str">
        <f>VLOOKUP(Table2[[#This Row],[Applicable Safety mechanism]],Table3[],2,FALSE)</f>
        <v>Not applicable</v>
      </c>
      <c r="N86" s="21" t="str">
        <f>VLOOKUP(Table2[[#This Row],[Applicable Safety mechanism]], Table3[], 3,FALSE)</f>
        <v>-</v>
      </c>
      <c r="O86" s="16">
        <f>VLOOKUP(Table2[[#This Row],[Applicable Safety mechanism]], Table3[], 6,FALSE)</f>
        <v>0</v>
      </c>
      <c r="P86" s="22">
        <f>IF(Table2[[#This Row],[Failure mode that has the potential to violate the safety goal in absence of safety mechanism?]]="Yes", Table2[[#This Row],[Failure mode rate]]*(1-Table2[[#This Row],[Failure mode coverage wrt. violation of safety goals]]), 0)</f>
        <v>0</v>
      </c>
      <c r="Q86" s="318" t="s">
        <v>35</v>
      </c>
      <c r="R86" s="122" t="s">
        <v>463</v>
      </c>
      <c r="S86" s="318" t="s">
        <v>410</v>
      </c>
      <c r="T86" s="20" t="str">
        <f>VLOOKUP(Table2[[#This Row],[Detection means ? Safety mechanism(s) allowing to prevent the failure mode from being latent ?]],Table3[],2,FALSE)</f>
        <v>Watchdog</v>
      </c>
      <c r="U86" s="16">
        <f>VLOOKUP(Table2[[#This Row],[Detection means ? Safety mechanism(s) allowing to prevent the failure mode from being latent ?]], Table3[], 6,FALSE)</f>
        <v>0.99</v>
      </c>
      <c r="V86" s="125">
        <f>IF(Table2[[#This Row],[Failure mode that may lead to the violation of safety goals in combination with an independent failure of another block ?]]="Yes",(1-Table2[[#This Row],[Failure mode coverage with respect to latent failures]])*Table2[[#This Row],[Failure mode rate]], 0)</f>
        <v>5.151997704612299E-4</v>
      </c>
      <c r="W86" s="12"/>
      <c r="X86" s="339"/>
      <c r="Y86" s="125">
        <f>IF(Table2[[#This Row],[SR]]="Yes",Table2[[#This Row],[λ]], 0)</f>
        <v>0</v>
      </c>
    </row>
    <row r="87" spans="1:25" outlineLevel="1">
      <c r="A87" s="18" t="s">
        <v>691</v>
      </c>
      <c r="B87" s="12" t="s">
        <v>8</v>
      </c>
      <c r="C87" s="12" t="s">
        <v>119</v>
      </c>
      <c r="D87" s="12"/>
      <c r="E87" s="12"/>
      <c r="F87" s="125">
        <f>VLOOKUP(Table2[Function], Table1[], 5, FALSE)</f>
        <v>0.92735958683021302</v>
      </c>
      <c r="G87" s="19" t="s">
        <v>111</v>
      </c>
      <c r="H87" s="318" t="s">
        <v>36</v>
      </c>
      <c r="I87" s="122" t="s">
        <v>63</v>
      </c>
      <c r="J87" s="124">
        <f t="shared" si="5"/>
        <v>5.5555555555555552E-2</v>
      </c>
      <c r="K87" s="17">
        <f>Table2[[#This Row],[λ]]*Table2[[#This Row],[Failure rate distribution]]</f>
        <v>5.151997704612294E-2</v>
      </c>
      <c r="L87" s="318" t="s">
        <v>63</v>
      </c>
      <c r="M87" s="20" t="str">
        <f>VLOOKUP(Table2[[#This Row],[Applicable Safety mechanism]],Table3[],2,FALSE)</f>
        <v>Not applicable</v>
      </c>
      <c r="N87" s="21" t="str">
        <f>VLOOKUP(Table2[[#This Row],[Applicable Safety mechanism]], Table3[], 3,FALSE)</f>
        <v>-</v>
      </c>
      <c r="O87" s="16">
        <f>VLOOKUP(Table2[[#This Row],[Applicable Safety mechanism]], Table3[], 6,FALSE)</f>
        <v>0</v>
      </c>
      <c r="P87" s="22">
        <f>IF(Table2[[#This Row],[Failure mode that has the potential to violate the safety goal in absence of safety mechanism?]]="Yes", Table2[[#This Row],[Failure mode rate]]*(1-Table2[[#This Row],[Failure mode coverage wrt. violation of safety goals]]), 0)</f>
        <v>0</v>
      </c>
      <c r="Q87" s="318" t="s">
        <v>35</v>
      </c>
      <c r="R87" s="122" t="s">
        <v>463</v>
      </c>
      <c r="S87" s="318" t="s">
        <v>410</v>
      </c>
      <c r="T87" s="20" t="str">
        <f>VLOOKUP(Table2[[#This Row],[Detection means ? Safety mechanism(s) allowing to prevent the failure mode from being latent ?]],Table3[],2,FALSE)</f>
        <v>Watchdog</v>
      </c>
      <c r="U87" s="16">
        <f>VLOOKUP(Table2[[#This Row],[Detection means ? Safety mechanism(s) allowing to prevent the failure mode from being latent ?]], Table3[], 6,FALSE)</f>
        <v>0.99</v>
      </c>
      <c r="V87" s="125">
        <f>IF(Table2[[#This Row],[Failure mode that may lead to the violation of safety goals in combination with an independent failure of another block ?]]="Yes",(1-Table2[[#This Row],[Failure mode coverage with respect to latent failures]])*Table2[[#This Row],[Failure mode rate]], 0)</f>
        <v>5.151997704612299E-4</v>
      </c>
      <c r="W87" s="12"/>
      <c r="X87" s="339"/>
      <c r="Y87" s="125">
        <f>IF(Table2[[#This Row],[SR]]="Yes",Table2[[#This Row],[λ]], 0)</f>
        <v>0</v>
      </c>
    </row>
    <row r="88" spans="1:25" ht="28.8" outlineLevel="1">
      <c r="A88" s="128" t="s">
        <v>692</v>
      </c>
      <c r="B88" s="12" t="s">
        <v>8</v>
      </c>
      <c r="C88" s="12" t="s">
        <v>119</v>
      </c>
      <c r="D88" s="12"/>
      <c r="E88" s="12"/>
      <c r="F88" s="125">
        <f>VLOOKUP(Table2[Function], Table1[], 5, FALSE)</f>
        <v>0.92735958683021302</v>
      </c>
      <c r="G88" s="19" t="s">
        <v>352</v>
      </c>
      <c r="H88" s="318" t="s">
        <v>36</v>
      </c>
      <c r="I88" s="122" t="s">
        <v>63</v>
      </c>
      <c r="J88" s="124">
        <f t="shared" si="5"/>
        <v>5.5555555555555552E-2</v>
      </c>
      <c r="K88" s="17">
        <f>Table2[[#This Row],[λ]]*Table2[[#This Row],[Failure rate distribution]]</f>
        <v>5.151997704612294E-2</v>
      </c>
      <c r="L88" s="318" t="s">
        <v>63</v>
      </c>
      <c r="M88" s="20" t="str">
        <f>VLOOKUP(Table2[[#This Row],[Applicable Safety mechanism]],Table3[],2,FALSE)</f>
        <v>Not applicable</v>
      </c>
      <c r="N88" s="21" t="str">
        <f>VLOOKUP(Table2[[#This Row],[Applicable Safety mechanism]], Table3[], 3,FALSE)</f>
        <v>-</v>
      </c>
      <c r="O88" s="16">
        <f>VLOOKUP(Table2[[#This Row],[Applicable Safety mechanism]], Table3[], 6,FALSE)</f>
        <v>0</v>
      </c>
      <c r="P88" s="22">
        <f>IF(Table2[[#This Row],[Failure mode that has the potential to violate the safety goal in absence of safety mechanism?]]="Yes", Table2[[#This Row],[Failure mode rate]]*(1-Table2[[#This Row],[Failure mode coverage wrt. violation of safety goals]]), 0)</f>
        <v>0</v>
      </c>
      <c r="Q88" s="318" t="s">
        <v>35</v>
      </c>
      <c r="R88" s="122" t="s">
        <v>463</v>
      </c>
      <c r="S88" s="318" t="s">
        <v>410</v>
      </c>
      <c r="T88" s="20" t="str">
        <f>VLOOKUP(Table2[[#This Row],[Detection means ? Safety mechanism(s) allowing to prevent the failure mode from being latent ?]],Table3[],2,FALSE)</f>
        <v>Watchdog</v>
      </c>
      <c r="U88" s="16">
        <f>VLOOKUP(Table2[[#This Row],[Detection means ? Safety mechanism(s) allowing to prevent the failure mode from being latent ?]], Table3[], 6,FALSE)</f>
        <v>0.99</v>
      </c>
      <c r="V88" s="125">
        <f>IF(Table2[[#This Row],[Failure mode that may lead to the violation of safety goals in combination with an independent failure of another block ?]]="Yes",(1-Table2[[#This Row],[Failure mode coverage with respect to latent failures]])*Table2[[#This Row],[Failure mode rate]], 0)</f>
        <v>5.151997704612299E-4</v>
      </c>
      <c r="W88" s="12"/>
      <c r="X88" s="339"/>
      <c r="Y88" s="125">
        <f>IF(Table2[[#This Row],[SR]]="Yes",Table2[[#This Row],[λ]], 0)</f>
        <v>0</v>
      </c>
    </row>
    <row r="89" spans="1:25" outlineLevel="1">
      <c r="A89" s="18" t="s">
        <v>693</v>
      </c>
      <c r="B89" s="12" t="s">
        <v>8</v>
      </c>
      <c r="C89" s="12" t="s">
        <v>119</v>
      </c>
      <c r="D89" s="12"/>
      <c r="E89" s="12"/>
      <c r="F89" s="125">
        <f>VLOOKUP(Table2[Function], Table1[], 5, FALSE)</f>
        <v>0.92735958683021302</v>
      </c>
      <c r="G89" s="19" t="s">
        <v>112</v>
      </c>
      <c r="H89" s="318" t="s">
        <v>36</v>
      </c>
      <c r="I89" s="122" t="s">
        <v>63</v>
      </c>
      <c r="J89" s="124">
        <f t="shared" si="5"/>
        <v>5.5555555555555552E-2</v>
      </c>
      <c r="K89" s="17">
        <f>Table2[[#This Row],[λ]]*Table2[[#This Row],[Failure rate distribution]]</f>
        <v>5.151997704612294E-2</v>
      </c>
      <c r="L89" s="318" t="s">
        <v>63</v>
      </c>
      <c r="M89" s="20" t="str">
        <f>VLOOKUP(Table2[[#This Row],[Applicable Safety mechanism]],Table3[],2,FALSE)</f>
        <v>Not applicable</v>
      </c>
      <c r="N89" s="21" t="str">
        <f>VLOOKUP(Table2[[#This Row],[Applicable Safety mechanism]], Table3[], 3,FALSE)</f>
        <v>-</v>
      </c>
      <c r="O89" s="16">
        <f>VLOOKUP(Table2[[#This Row],[Applicable Safety mechanism]], Table3[], 6,FALSE)</f>
        <v>0</v>
      </c>
      <c r="P89" s="22">
        <f>IF(Table2[[#This Row],[Failure mode that has the potential to violate the safety goal in absence of safety mechanism?]]="Yes", Table2[[#This Row],[Failure mode rate]]*(1-Table2[[#This Row],[Failure mode coverage wrt. violation of safety goals]]), 0)</f>
        <v>0</v>
      </c>
      <c r="Q89" s="318" t="s">
        <v>35</v>
      </c>
      <c r="R89" s="122" t="s">
        <v>463</v>
      </c>
      <c r="S89" s="318" t="s">
        <v>410</v>
      </c>
      <c r="T89" s="20" t="str">
        <f>VLOOKUP(Table2[[#This Row],[Detection means ? Safety mechanism(s) allowing to prevent the failure mode from being latent ?]],Table3[],2,FALSE)</f>
        <v>Watchdog</v>
      </c>
      <c r="U89" s="16">
        <f>VLOOKUP(Table2[[#This Row],[Detection means ? Safety mechanism(s) allowing to prevent the failure mode from being latent ?]], Table3[], 6,FALSE)</f>
        <v>0.99</v>
      </c>
      <c r="V89" s="125">
        <f>IF(Table2[[#This Row],[Failure mode that may lead to the violation of safety goals in combination with an independent failure of another block ?]]="Yes",(1-Table2[[#This Row],[Failure mode coverage with respect to latent failures]])*Table2[[#This Row],[Failure mode rate]], 0)</f>
        <v>5.151997704612299E-4</v>
      </c>
      <c r="W89" s="12"/>
      <c r="X89" s="339"/>
      <c r="Y89" s="125">
        <f>IF(Table2[[#This Row],[SR]]="Yes",Table2[[#This Row],[λ]], 0)</f>
        <v>0</v>
      </c>
    </row>
    <row r="90" spans="1:25" outlineLevel="1">
      <c r="A90" s="128" t="s">
        <v>694</v>
      </c>
      <c r="B90" s="12" t="s">
        <v>8</v>
      </c>
      <c r="C90" s="12" t="s">
        <v>119</v>
      </c>
      <c r="D90" s="12"/>
      <c r="E90" s="12"/>
      <c r="F90" s="125">
        <f>VLOOKUP(Table2[Function], Table1[], 5, FALSE)</f>
        <v>0.92735958683021302</v>
      </c>
      <c r="G90" s="19" t="s">
        <v>113</v>
      </c>
      <c r="H90" s="318" t="s">
        <v>36</v>
      </c>
      <c r="I90" s="122" t="s">
        <v>63</v>
      </c>
      <c r="J90" s="124">
        <f t="shared" si="5"/>
        <v>5.5555555555555552E-2</v>
      </c>
      <c r="K90" s="17">
        <f>Table2[[#This Row],[λ]]*Table2[[#This Row],[Failure rate distribution]]</f>
        <v>5.151997704612294E-2</v>
      </c>
      <c r="L90" s="318" t="s">
        <v>63</v>
      </c>
      <c r="M90" s="20" t="str">
        <f>VLOOKUP(Table2[[#This Row],[Applicable Safety mechanism]],Table3[],2,FALSE)</f>
        <v>Not applicable</v>
      </c>
      <c r="N90" s="21" t="str">
        <f>VLOOKUP(Table2[[#This Row],[Applicable Safety mechanism]], Table3[], 3,FALSE)</f>
        <v>-</v>
      </c>
      <c r="O90" s="16">
        <f>VLOOKUP(Table2[[#This Row],[Applicable Safety mechanism]], Table3[], 6,FALSE)</f>
        <v>0</v>
      </c>
      <c r="P90" s="22">
        <f>IF(Table2[[#This Row],[Failure mode that has the potential to violate the safety goal in absence of safety mechanism?]]="Yes", Table2[[#This Row],[Failure mode rate]]*(1-Table2[[#This Row],[Failure mode coverage wrt. violation of safety goals]]), 0)</f>
        <v>0</v>
      </c>
      <c r="Q90" s="318" t="s">
        <v>35</v>
      </c>
      <c r="R90" s="122" t="s">
        <v>463</v>
      </c>
      <c r="S90" s="318" t="s">
        <v>410</v>
      </c>
      <c r="T90" s="20" t="str">
        <f>VLOOKUP(Table2[[#This Row],[Detection means ? Safety mechanism(s) allowing to prevent the failure mode from being latent ?]],Table3[],2,FALSE)</f>
        <v>Watchdog</v>
      </c>
      <c r="U90" s="16">
        <f>VLOOKUP(Table2[[#This Row],[Detection means ? Safety mechanism(s) allowing to prevent the failure mode from being latent ?]], Table3[], 6,FALSE)</f>
        <v>0.99</v>
      </c>
      <c r="V90" s="125">
        <f>IF(Table2[[#This Row],[Failure mode that may lead to the violation of safety goals in combination with an independent failure of another block ?]]="Yes",(1-Table2[[#This Row],[Failure mode coverage with respect to latent failures]])*Table2[[#This Row],[Failure mode rate]], 0)</f>
        <v>5.151997704612299E-4</v>
      </c>
      <c r="W90" s="12"/>
      <c r="X90" s="339"/>
      <c r="Y90" s="125">
        <f>IF(Table2[[#This Row],[SR]]="Yes",Table2[[#This Row],[λ]], 0)</f>
        <v>0</v>
      </c>
    </row>
    <row r="91" spans="1:25" outlineLevel="1">
      <c r="A91" s="18" t="s">
        <v>695</v>
      </c>
      <c r="B91" s="12" t="s">
        <v>8</v>
      </c>
      <c r="C91" s="12" t="s">
        <v>119</v>
      </c>
      <c r="D91" s="12"/>
      <c r="E91" s="12"/>
      <c r="F91" s="125">
        <f>VLOOKUP(Table2[Function], Table1[], 5, FALSE)</f>
        <v>0.92735958683021302</v>
      </c>
      <c r="G91" s="19" t="s">
        <v>114</v>
      </c>
      <c r="H91" s="318" t="s">
        <v>36</v>
      </c>
      <c r="I91" s="122" t="s">
        <v>63</v>
      </c>
      <c r="J91" s="124">
        <f t="shared" si="5"/>
        <v>5.5555555555555552E-2</v>
      </c>
      <c r="K91" s="17">
        <f>Table2[[#This Row],[λ]]*Table2[[#This Row],[Failure rate distribution]]</f>
        <v>5.151997704612294E-2</v>
      </c>
      <c r="L91" s="318" t="s">
        <v>63</v>
      </c>
      <c r="M91" s="20" t="str">
        <f>VLOOKUP(Table2[[#This Row],[Applicable Safety mechanism]],Table3[],2,FALSE)</f>
        <v>Not applicable</v>
      </c>
      <c r="N91" s="21" t="str">
        <f>VLOOKUP(Table2[[#This Row],[Applicable Safety mechanism]], Table3[], 3,FALSE)</f>
        <v>-</v>
      </c>
      <c r="O91" s="16">
        <f>VLOOKUP(Table2[[#This Row],[Applicable Safety mechanism]], Table3[], 6,FALSE)</f>
        <v>0</v>
      </c>
      <c r="P91" s="22">
        <f>IF(Table2[[#This Row],[Failure mode that has the potential to violate the safety goal in absence of safety mechanism?]]="Yes", Table2[[#This Row],[Failure mode rate]]*(1-Table2[[#This Row],[Failure mode coverage wrt. violation of safety goals]]), 0)</f>
        <v>0</v>
      </c>
      <c r="Q91" s="318" t="s">
        <v>35</v>
      </c>
      <c r="R91" s="122" t="s">
        <v>463</v>
      </c>
      <c r="S91" s="318" t="s">
        <v>410</v>
      </c>
      <c r="T91" s="20" t="str">
        <f>VLOOKUP(Table2[[#This Row],[Detection means ? Safety mechanism(s) allowing to prevent the failure mode from being latent ?]],Table3[],2,FALSE)</f>
        <v>Watchdog</v>
      </c>
      <c r="U91" s="16">
        <f>VLOOKUP(Table2[[#This Row],[Detection means ? Safety mechanism(s) allowing to prevent the failure mode from being latent ?]], Table3[], 6,FALSE)</f>
        <v>0.99</v>
      </c>
      <c r="V91" s="125">
        <f>IF(Table2[[#This Row],[Failure mode that may lead to the violation of safety goals in combination with an independent failure of another block ?]]="Yes",(1-Table2[[#This Row],[Failure mode coverage with respect to latent failures]])*Table2[[#This Row],[Failure mode rate]], 0)</f>
        <v>5.151997704612299E-4</v>
      </c>
      <c r="W91" s="12"/>
      <c r="X91" s="339"/>
      <c r="Y91" s="125">
        <f>IF(Table2[[#This Row],[SR]]="Yes",Table2[[#This Row],[λ]], 0)</f>
        <v>0</v>
      </c>
    </row>
    <row r="92" spans="1:25" ht="28.8" outlineLevel="1">
      <c r="A92" s="128" t="s">
        <v>696</v>
      </c>
      <c r="B92" s="12" t="s">
        <v>8</v>
      </c>
      <c r="C92" s="12" t="s">
        <v>119</v>
      </c>
      <c r="D92" s="12"/>
      <c r="E92" s="12"/>
      <c r="F92" s="125">
        <f>VLOOKUP(Table2[Function], Table1[], 5, FALSE)</f>
        <v>0.92735958683021302</v>
      </c>
      <c r="G92" s="19" t="s">
        <v>353</v>
      </c>
      <c r="H92" s="318" t="s">
        <v>36</v>
      </c>
      <c r="I92" s="122" t="s">
        <v>63</v>
      </c>
      <c r="J92" s="124">
        <f t="shared" si="5"/>
        <v>5.5555555555555552E-2</v>
      </c>
      <c r="K92" s="17">
        <f>Table2[[#This Row],[λ]]*Table2[[#This Row],[Failure rate distribution]]</f>
        <v>5.151997704612294E-2</v>
      </c>
      <c r="L92" s="318" t="s">
        <v>63</v>
      </c>
      <c r="M92" s="20" t="str">
        <f>VLOOKUP(Table2[[#This Row],[Applicable Safety mechanism]],Table3[],2,FALSE)</f>
        <v>Not applicable</v>
      </c>
      <c r="N92" s="21" t="str">
        <f>VLOOKUP(Table2[[#This Row],[Applicable Safety mechanism]], Table3[], 3,FALSE)</f>
        <v>-</v>
      </c>
      <c r="O92" s="16">
        <f>VLOOKUP(Table2[[#This Row],[Applicable Safety mechanism]], Table3[], 6,FALSE)</f>
        <v>0</v>
      </c>
      <c r="P92" s="22">
        <f>IF(Table2[[#This Row],[Failure mode that has the potential to violate the safety goal in absence of safety mechanism?]]="Yes", Table2[[#This Row],[Failure mode rate]]*(1-Table2[[#This Row],[Failure mode coverage wrt. violation of safety goals]]), 0)</f>
        <v>0</v>
      </c>
      <c r="Q92" s="318" t="s">
        <v>35</v>
      </c>
      <c r="R92" s="122" t="s">
        <v>463</v>
      </c>
      <c r="S92" s="318" t="s">
        <v>410</v>
      </c>
      <c r="T92" s="20" t="str">
        <f>VLOOKUP(Table2[[#This Row],[Detection means ? Safety mechanism(s) allowing to prevent the failure mode from being latent ?]],Table3[],2,FALSE)</f>
        <v>Watchdog</v>
      </c>
      <c r="U92" s="16">
        <f>VLOOKUP(Table2[[#This Row],[Detection means ? Safety mechanism(s) allowing to prevent the failure mode from being latent ?]], Table3[], 6,FALSE)</f>
        <v>0.99</v>
      </c>
      <c r="V92" s="125">
        <f>IF(Table2[[#This Row],[Failure mode that may lead to the violation of safety goals in combination with an independent failure of another block ?]]="Yes",(1-Table2[[#This Row],[Failure mode coverage with respect to latent failures]])*Table2[[#This Row],[Failure mode rate]], 0)</f>
        <v>5.151997704612299E-4</v>
      </c>
      <c r="W92" s="12"/>
      <c r="X92" s="339"/>
      <c r="Y92" s="125">
        <f>IF(Table2[[#This Row],[SR]]="Yes",Table2[[#This Row],[λ]], 0)</f>
        <v>0</v>
      </c>
    </row>
    <row r="93" spans="1:25" outlineLevel="1">
      <c r="A93" s="18" t="s">
        <v>697</v>
      </c>
      <c r="B93" s="12" t="s">
        <v>8</v>
      </c>
      <c r="C93" s="12" t="s">
        <v>119</v>
      </c>
      <c r="D93" s="12"/>
      <c r="E93" s="12"/>
      <c r="F93" s="125">
        <f>VLOOKUP(Table2[Function], Table1[], 5, FALSE)</f>
        <v>0.92735958683021302</v>
      </c>
      <c r="G93" s="19" t="s">
        <v>115</v>
      </c>
      <c r="H93" s="318" t="s">
        <v>36</v>
      </c>
      <c r="I93" s="122" t="s">
        <v>63</v>
      </c>
      <c r="J93" s="124">
        <f t="shared" si="5"/>
        <v>5.5555555555555552E-2</v>
      </c>
      <c r="K93" s="17">
        <f>Table2[[#This Row],[λ]]*Table2[[#This Row],[Failure rate distribution]]</f>
        <v>5.151997704612294E-2</v>
      </c>
      <c r="L93" s="318" t="s">
        <v>63</v>
      </c>
      <c r="M93" s="20" t="str">
        <f>VLOOKUP(Table2[[#This Row],[Applicable Safety mechanism]],Table3[],2,FALSE)</f>
        <v>Not applicable</v>
      </c>
      <c r="N93" s="21" t="str">
        <f>VLOOKUP(Table2[[#This Row],[Applicable Safety mechanism]], Table3[], 3,FALSE)</f>
        <v>-</v>
      </c>
      <c r="O93" s="16">
        <f>VLOOKUP(Table2[[#This Row],[Applicable Safety mechanism]], Table3[], 6,FALSE)</f>
        <v>0</v>
      </c>
      <c r="P93" s="22">
        <f>IF(Table2[[#This Row],[Failure mode that has the potential to violate the safety goal in absence of safety mechanism?]]="Yes", Table2[[#This Row],[Failure mode rate]]*(1-Table2[[#This Row],[Failure mode coverage wrt. violation of safety goals]]), 0)</f>
        <v>0</v>
      </c>
      <c r="Q93" s="318" t="s">
        <v>35</v>
      </c>
      <c r="R93" s="122" t="s">
        <v>463</v>
      </c>
      <c r="S93" s="318" t="s">
        <v>410</v>
      </c>
      <c r="T93" s="20" t="str">
        <f>VLOOKUP(Table2[[#This Row],[Detection means ? Safety mechanism(s) allowing to prevent the failure mode from being latent ?]],Table3[],2,FALSE)</f>
        <v>Watchdog</v>
      </c>
      <c r="U93" s="16">
        <f>VLOOKUP(Table2[[#This Row],[Detection means ? Safety mechanism(s) allowing to prevent the failure mode from being latent ?]], Table3[], 6,FALSE)</f>
        <v>0.99</v>
      </c>
      <c r="V93" s="125">
        <f>IF(Table2[[#This Row],[Failure mode that may lead to the violation of safety goals in combination with an independent failure of another block ?]]="Yes",(1-Table2[[#This Row],[Failure mode coverage with respect to latent failures]])*Table2[[#This Row],[Failure mode rate]], 0)</f>
        <v>5.151997704612299E-4</v>
      </c>
      <c r="W93" s="12"/>
      <c r="X93" s="339"/>
      <c r="Y93" s="125">
        <f>IF(Table2[[#This Row],[SR]]="Yes",Table2[[#This Row],[λ]], 0)</f>
        <v>0</v>
      </c>
    </row>
    <row r="94" spans="1:25" outlineLevel="1">
      <c r="A94" s="128" t="s">
        <v>698</v>
      </c>
      <c r="B94" s="12" t="s">
        <v>8</v>
      </c>
      <c r="C94" s="12" t="s">
        <v>119</v>
      </c>
      <c r="D94" s="12"/>
      <c r="E94" s="12"/>
      <c r="F94" s="125">
        <f>VLOOKUP(Table2[Function], Table1[], 5, FALSE)</f>
        <v>0.92735958683021302</v>
      </c>
      <c r="G94" s="19" t="s">
        <v>116</v>
      </c>
      <c r="H94" s="318" t="s">
        <v>36</v>
      </c>
      <c r="I94" s="122" t="s">
        <v>63</v>
      </c>
      <c r="J94" s="124">
        <f t="shared" si="5"/>
        <v>5.5555555555555552E-2</v>
      </c>
      <c r="K94" s="17">
        <f>Table2[[#This Row],[λ]]*Table2[[#This Row],[Failure rate distribution]]</f>
        <v>5.151997704612294E-2</v>
      </c>
      <c r="L94" s="318" t="s">
        <v>63</v>
      </c>
      <c r="M94" s="20" t="str">
        <f>VLOOKUP(Table2[[#This Row],[Applicable Safety mechanism]],Table3[],2,FALSE)</f>
        <v>Not applicable</v>
      </c>
      <c r="N94" s="21" t="str">
        <f>VLOOKUP(Table2[[#This Row],[Applicable Safety mechanism]], Table3[], 3,FALSE)</f>
        <v>-</v>
      </c>
      <c r="O94" s="16">
        <f>VLOOKUP(Table2[[#This Row],[Applicable Safety mechanism]], Table3[], 6,FALSE)</f>
        <v>0</v>
      </c>
      <c r="P94" s="22">
        <f>IF(Table2[[#This Row],[Failure mode that has the potential to violate the safety goal in absence of safety mechanism?]]="Yes", Table2[[#This Row],[Failure mode rate]]*(1-Table2[[#This Row],[Failure mode coverage wrt. violation of safety goals]]), 0)</f>
        <v>0</v>
      </c>
      <c r="Q94" s="318" t="s">
        <v>35</v>
      </c>
      <c r="R94" s="122" t="s">
        <v>463</v>
      </c>
      <c r="S94" s="318" t="s">
        <v>410</v>
      </c>
      <c r="T94" s="20" t="str">
        <f>VLOOKUP(Table2[[#This Row],[Detection means ? Safety mechanism(s) allowing to prevent the failure mode from being latent ?]],Table3[],2,FALSE)</f>
        <v>Watchdog</v>
      </c>
      <c r="U94" s="16">
        <f>VLOOKUP(Table2[[#This Row],[Detection means ? Safety mechanism(s) allowing to prevent the failure mode from being latent ?]], Table3[], 6,FALSE)</f>
        <v>0.99</v>
      </c>
      <c r="V94" s="125">
        <f>IF(Table2[[#This Row],[Failure mode that may lead to the violation of safety goals in combination with an independent failure of another block ?]]="Yes",(1-Table2[[#This Row],[Failure mode coverage with respect to latent failures]])*Table2[[#This Row],[Failure mode rate]], 0)</f>
        <v>5.151997704612299E-4</v>
      </c>
      <c r="W94" s="12"/>
      <c r="X94" s="339"/>
      <c r="Y94" s="125">
        <f>IF(Table2[[#This Row],[SR]]="Yes",Table2[[#This Row],[λ]], 0)</f>
        <v>0</v>
      </c>
    </row>
    <row r="95" spans="1:25" outlineLevel="1">
      <c r="A95" s="18" t="s">
        <v>699</v>
      </c>
      <c r="B95" s="12" t="s">
        <v>8</v>
      </c>
      <c r="C95" s="12" t="s">
        <v>119</v>
      </c>
      <c r="D95" s="12"/>
      <c r="E95" s="12"/>
      <c r="F95" s="125">
        <f>VLOOKUP(Table2[Function], Table1[], 5, FALSE)</f>
        <v>0.92735958683021302</v>
      </c>
      <c r="G95" s="19" t="s">
        <v>117</v>
      </c>
      <c r="H95" s="318" t="s">
        <v>36</v>
      </c>
      <c r="I95" s="122" t="s">
        <v>63</v>
      </c>
      <c r="J95" s="124">
        <f t="shared" si="5"/>
        <v>5.5555555555555552E-2</v>
      </c>
      <c r="K95" s="17">
        <f>Table2[[#This Row],[λ]]*Table2[[#This Row],[Failure rate distribution]]</f>
        <v>5.151997704612294E-2</v>
      </c>
      <c r="L95" s="318" t="s">
        <v>63</v>
      </c>
      <c r="M95" s="20" t="str">
        <f>VLOOKUP(Table2[[#This Row],[Applicable Safety mechanism]],Table3[],2,FALSE)</f>
        <v>Not applicable</v>
      </c>
      <c r="N95" s="21" t="str">
        <f>VLOOKUP(Table2[[#This Row],[Applicable Safety mechanism]], Table3[], 3,FALSE)</f>
        <v>-</v>
      </c>
      <c r="O95" s="16">
        <f>VLOOKUP(Table2[[#This Row],[Applicable Safety mechanism]], Table3[], 6,FALSE)</f>
        <v>0</v>
      </c>
      <c r="P95" s="22">
        <f>IF(Table2[[#This Row],[Failure mode that has the potential to violate the safety goal in absence of safety mechanism?]]="Yes", Table2[[#This Row],[Failure mode rate]]*(1-Table2[[#This Row],[Failure mode coverage wrt. violation of safety goals]]), 0)</f>
        <v>0</v>
      </c>
      <c r="Q95" s="318" t="s">
        <v>35</v>
      </c>
      <c r="R95" s="122" t="s">
        <v>463</v>
      </c>
      <c r="S95" s="318" t="s">
        <v>410</v>
      </c>
      <c r="T95" s="20" t="str">
        <f>VLOOKUP(Table2[[#This Row],[Detection means ? Safety mechanism(s) allowing to prevent the failure mode from being latent ?]],Table3[],2,FALSE)</f>
        <v>Watchdog</v>
      </c>
      <c r="U95" s="16">
        <f>VLOOKUP(Table2[[#This Row],[Detection means ? Safety mechanism(s) allowing to prevent the failure mode from being latent ?]], Table3[], 6,FALSE)</f>
        <v>0.99</v>
      </c>
      <c r="V95" s="125">
        <f>IF(Table2[[#This Row],[Failure mode that may lead to the violation of safety goals in combination with an independent failure of another block ?]]="Yes",(1-Table2[[#This Row],[Failure mode coverage with respect to latent failures]])*Table2[[#This Row],[Failure mode rate]], 0)</f>
        <v>5.151997704612299E-4</v>
      </c>
      <c r="W95" s="12"/>
      <c r="X95" s="339"/>
      <c r="Y95" s="125">
        <f>IF(Table2[[#This Row],[SR]]="Yes",Table2[[#This Row],[λ]], 0)</f>
        <v>0</v>
      </c>
    </row>
    <row r="96" spans="1:25" ht="28.8" outlineLevel="1">
      <c r="A96" s="128" t="s">
        <v>700</v>
      </c>
      <c r="B96" s="12" t="s">
        <v>8</v>
      </c>
      <c r="C96" s="12" t="s">
        <v>119</v>
      </c>
      <c r="D96" s="12"/>
      <c r="E96" s="12"/>
      <c r="F96" s="125">
        <f>VLOOKUP(Table2[Function], Table1[], 5, FALSE)</f>
        <v>0.92735958683021302</v>
      </c>
      <c r="G96" s="19" t="s">
        <v>354</v>
      </c>
      <c r="H96" s="318" t="s">
        <v>36</v>
      </c>
      <c r="I96" s="122" t="s">
        <v>63</v>
      </c>
      <c r="J96" s="124">
        <f t="shared" si="5"/>
        <v>5.5555555555555552E-2</v>
      </c>
      <c r="K96" s="70">
        <f>Table2[[#This Row],[λ]]*Table2[[#This Row],[Failure rate distribution]]</f>
        <v>5.151997704612294E-2</v>
      </c>
      <c r="L96" s="318" t="s">
        <v>63</v>
      </c>
      <c r="M96" s="26" t="str">
        <f>VLOOKUP(Table2[[#This Row],[Applicable Safety mechanism]],Table3[],2,FALSE)</f>
        <v>Not applicable</v>
      </c>
      <c r="N96" s="27" t="str">
        <f>VLOOKUP(Table2[[#This Row],[Applicable Safety mechanism]], Table3[], 3,FALSE)</f>
        <v>-</v>
      </c>
      <c r="O96" s="28">
        <f>VLOOKUP(Table2[[#This Row],[Applicable Safety mechanism]], Table3[], 6,FALSE)</f>
        <v>0</v>
      </c>
      <c r="P96" s="29">
        <f>IF(Table2[[#This Row],[Failure mode that has the potential to violate the safety goal in absence of safety mechanism?]]="Yes", Table2[[#This Row],[Failure mode rate]]*(1-Table2[[#This Row],[Failure mode coverage wrt. violation of safety goals]]), 0)</f>
        <v>0</v>
      </c>
      <c r="Q96" s="318" t="s">
        <v>35</v>
      </c>
      <c r="R96" s="122" t="s">
        <v>463</v>
      </c>
      <c r="S96" s="318" t="s">
        <v>410</v>
      </c>
      <c r="T96" s="20" t="str">
        <f>VLOOKUP(Table2[[#This Row],[Detection means ? Safety mechanism(s) allowing to prevent the failure mode from being latent ?]],Table3[],2,FALSE)</f>
        <v>Watchdog</v>
      </c>
      <c r="U96" s="16">
        <f>VLOOKUP(Table2[[#This Row],[Detection means ? Safety mechanism(s) allowing to prevent the failure mode from being latent ?]], Table3[], 6,FALSE)</f>
        <v>0.99</v>
      </c>
      <c r="V96" s="125">
        <f>IF(Table2[[#This Row],[Failure mode that may lead to the violation of safety goals in combination with an independent failure of another block ?]]="Yes",(1-Table2[[#This Row],[Failure mode coverage with respect to latent failures]])*Table2[[#This Row],[Failure mode rate]], 0)</f>
        <v>5.151997704612299E-4</v>
      </c>
      <c r="W96" s="12"/>
      <c r="X96" s="339"/>
      <c r="Y96" s="125">
        <f>IF(Table2[[#This Row],[SR]]="Yes",Table2[[#This Row],[λ]], 0)</f>
        <v>0</v>
      </c>
    </row>
    <row r="97" spans="1:25" outlineLevel="1">
      <c r="A97" s="18" t="s">
        <v>701</v>
      </c>
      <c r="B97" s="12" t="s">
        <v>8</v>
      </c>
      <c r="C97" s="12" t="s">
        <v>119</v>
      </c>
      <c r="D97" s="12"/>
      <c r="E97" s="12"/>
      <c r="F97" s="125">
        <f>VLOOKUP(Table2[Function], Table1[], 5, FALSE)</f>
        <v>0.92735958683021302</v>
      </c>
      <c r="G97" s="19" t="s">
        <v>118</v>
      </c>
      <c r="H97" s="318" t="s">
        <v>36</v>
      </c>
      <c r="I97" s="122" t="s">
        <v>63</v>
      </c>
      <c r="J97" s="124">
        <f t="shared" si="5"/>
        <v>5.5555555555555552E-2</v>
      </c>
      <c r="K97" s="70">
        <f>Table2[[#This Row],[λ]]*Table2[[#This Row],[Failure rate distribution]]</f>
        <v>5.151997704612294E-2</v>
      </c>
      <c r="L97" s="318" t="s">
        <v>63</v>
      </c>
      <c r="M97" s="26" t="str">
        <f>VLOOKUP(Table2[[#This Row],[Applicable Safety mechanism]],Table3[],2,FALSE)</f>
        <v>Not applicable</v>
      </c>
      <c r="N97" s="27" t="str">
        <f>VLOOKUP(Table2[[#This Row],[Applicable Safety mechanism]], Table3[], 3,FALSE)</f>
        <v>-</v>
      </c>
      <c r="O97" s="28">
        <f>VLOOKUP(Table2[[#This Row],[Applicable Safety mechanism]], Table3[], 6,FALSE)</f>
        <v>0</v>
      </c>
      <c r="P97" s="29">
        <f>IF(Table2[[#This Row],[Failure mode that has the potential to violate the safety goal in absence of safety mechanism?]]="Yes", Table2[[#This Row],[Failure mode rate]]*(1-Table2[[#This Row],[Failure mode coverage wrt. violation of safety goals]]), 0)</f>
        <v>0</v>
      </c>
      <c r="Q97" s="318" t="s">
        <v>35</v>
      </c>
      <c r="R97" s="122" t="s">
        <v>463</v>
      </c>
      <c r="S97" s="318" t="s">
        <v>410</v>
      </c>
      <c r="T97" s="20" t="str">
        <f>VLOOKUP(Table2[[#This Row],[Detection means ? Safety mechanism(s) allowing to prevent the failure mode from being latent ?]],Table3[],2,FALSE)</f>
        <v>Watchdog</v>
      </c>
      <c r="U97" s="16">
        <f>VLOOKUP(Table2[[#This Row],[Detection means ? Safety mechanism(s) allowing to prevent the failure mode from being latent ?]], Table3[], 6,FALSE)</f>
        <v>0.99</v>
      </c>
      <c r="V97" s="125">
        <f>IF(Table2[[#This Row],[Failure mode that may lead to the violation of safety goals in combination with an independent failure of another block ?]]="Yes",(1-Table2[[#This Row],[Failure mode coverage with respect to latent failures]])*Table2[[#This Row],[Failure mode rate]], 0)</f>
        <v>5.151997704612299E-4</v>
      </c>
      <c r="W97" s="12"/>
      <c r="X97" s="339"/>
      <c r="Y97" s="125">
        <f>IF(Table2[[#This Row],[SR]]="Yes",Table2[[#This Row],[λ]], 0)</f>
        <v>0</v>
      </c>
    </row>
    <row r="98" spans="1:25" outlineLevel="1">
      <c r="A98" s="128" t="s">
        <v>702</v>
      </c>
      <c r="B98" s="123" t="s">
        <v>8</v>
      </c>
      <c r="C98" s="123" t="s">
        <v>119</v>
      </c>
      <c r="D98" s="123"/>
      <c r="E98" s="123"/>
      <c r="F98" s="125">
        <f>VLOOKUP(Table2[Function], Table1[], 5, FALSE)</f>
        <v>0.92735958683021302</v>
      </c>
      <c r="G98" s="129" t="s">
        <v>345</v>
      </c>
      <c r="H98" s="318" t="s">
        <v>36</v>
      </c>
      <c r="I98" s="122" t="s">
        <v>63</v>
      </c>
      <c r="J98" s="124">
        <f t="shared" si="5"/>
        <v>5.5555555555555552E-2</v>
      </c>
      <c r="K98" s="70">
        <f>Table2[[#This Row],[λ]]*Table2[[#This Row],[Failure rate distribution]]</f>
        <v>5.151997704612294E-2</v>
      </c>
      <c r="L98" s="318" t="s">
        <v>63</v>
      </c>
      <c r="M98" s="26" t="str">
        <f>VLOOKUP(Table2[[#This Row],[Applicable Safety mechanism]],Table3[],2,FALSE)</f>
        <v>Not applicable</v>
      </c>
      <c r="N98" s="27" t="str">
        <f>VLOOKUP(Table2[[#This Row],[Applicable Safety mechanism]], Table3[], 3,FALSE)</f>
        <v>-</v>
      </c>
      <c r="O98" s="28">
        <f>VLOOKUP(Table2[[#This Row],[Applicable Safety mechanism]], Table3[], 6,FALSE)</f>
        <v>0</v>
      </c>
      <c r="P98" s="29">
        <f>IF(Table2[[#This Row],[Failure mode that has the potential to violate the safety goal in absence of safety mechanism?]]="Yes", Table2[[#This Row],[Failure mode rate]]*(1-Table2[[#This Row],[Failure mode coverage wrt. violation of safety goals]]), 0)</f>
        <v>0</v>
      </c>
      <c r="Q98" s="318" t="s">
        <v>35</v>
      </c>
      <c r="R98" s="122" t="s">
        <v>463</v>
      </c>
      <c r="S98" s="318" t="s">
        <v>410</v>
      </c>
      <c r="T98" s="20" t="str">
        <f>VLOOKUP(Table2[[#This Row],[Detection means ? Safety mechanism(s) allowing to prevent the failure mode from being latent ?]],Table3[],2,FALSE)</f>
        <v>Watchdog</v>
      </c>
      <c r="U98" s="16">
        <f>VLOOKUP(Table2[[#This Row],[Detection means ? Safety mechanism(s) allowing to prevent the failure mode from being latent ?]], Table3[], 6,FALSE)</f>
        <v>0.99</v>
      </c>
      <c r="V98" s="125">
        <f>IF(Table2[[#This Row],[Failure mode that may lead to the violation of safety goals in combination with an independent failure of another block ?]]="Yes",(1-Table2[[#This Row],[Failure mode coverage with respect to latent failures]])*Table2[[#This Row],[Failure mode rate]], 0)</f>
        <v>5.151997704612299E-4</v>
      </c>
      <c r="W98" s="123"/>
      <c r="X98" s="339"/>
      <c r="Y98" s="125">
        <f>IF(Table2[[#This Row],[SR]]="Yes",Table2[[#This Row],[λ]], 0)</f>
        <v>0</v>
      </c>
    </row>
    <row r="99" spans="1:25" ht="28.8">
      <c r="A99" s="18" t="s">
        <v>703</v>
      </c>
      <c r="B99" s="31" t="s">
        <v>8</v>
      </c>
      <c r="C99" s="31" t="s">
        <v>119</v>
      </c>
      <c r="D99" s="11" t="s">
        <v>63</v>
      </c>
      <c r="E99" s="11"/>
      <c r="F99" s="125">
        <f>VLOOKUP(Table2[Function], Table1[], 5, FALSE)</f>
        <v>0.92735958683021302</v>
      </c>
      <c r="G99" s="122" t="s">
        <v>63</v>
      </c>
      <c r="H99" s="318" t="s">
        <v>63</v>
      </c>
      <c r="I99" s="122" t="s">
        <v>63</v>
      </c>
      <c r="J99" s="122" t="s">
        <v>63</v>
      </c>
      <c r="K99" s="125" t="s">
        <v>63</v>
      </c>
      <c r="L99" s="318" t="s">
        <v>63</v>
      </c>
      <c r="M99" s="122" t="s">
        <v>63</v>
      </c>
      <c r="N99" s="122" t="s">
        <v>63</v>
      </c>
      <c r="O99" s="122" t="s">
        <v>63</v>
      </c>
      <c r="P99" s="122" t="s">
        <v>63</v>
      </c>
      <c r="Q99" s="318" t="s">
        <v>63</v>
      </c>
      <c r="R99" s="11"/>
      <c r="S99" s="318"/>
      <c r="T99" s="170"/>
      <c r="U99" s="122"/>
      <c r="V99" s="122"/>
      <c r="W99" s="122"/>
      <c r="X99" s="339"/>
      <c r="Y99" s="125"/>
    </row>
    <row r="100" spans="1:25" ht="100.8" outlineLevel="1">
      <c r="A100" s="128" t="s">
        <v>704</v>
      </c>
      <c r="B100" s="12" t="s">
        <v>9</v>
      </c>
      <c r="C100" s="12" t="s">
        <v>120</v>
      </c>
      <c r="D100" s="12" t="s">
        <v>498</v>
      </c>
      <c r="E100" s="12" t="s">
        <v>211</v>
      </c>
      <c r="F100" s="125">
        <f>VLOOKUP(Table2[Function], Table1[], 5, FALSE)</f>
        <v>1.69208521626856</v>
      </c>
      <c r="G100" s="152" t="s">
        <v>121</v>
      </c>
      <c r="H100" s="318" t="s">
        <v>36</v>
      </c>
      <c r="I100" s="122" t="s">
        <v>63</v>
      </c>
      <c r="J100" s="13">
        <f>1/5</f>
        <v>0.2</v>
      </c>
      <c r="K100" s="17">
        <f>Table2[[#This Row],[λ]]*Table2[[#This Row],[Failure rate distribution]]</f>
        <v>0.33841704325371202</v>
      </c>
      <c r="L100" s="318" t="s">
        <v>63</v>
      </c>
      <c r="M100" s="20" t="str">
        <f>VLOOKUP(Table2[[#This Row],[Applicable Safety mechanism]],Table3[],2,FALSE)</f>
        <v>Not applicable</v>
      </c>
      <c r="N100" s="21" t="str">
        <f>VLOOKUP(Table2[[#This Row],[Applicable Safety mechanism]], Table3[], 3,FALSE)</f>
        <v>-</v>
      </c>
      <c r="O100" s="16">
        <f>VLOOKUP(Table2[[#This Row],[Applicable Safety mechanism]], Table3[], 6,FALSE)</f>
        <v>0</v>
      </c>
      <c r="P100" s="22">
        <f>IF(Table2[[#This Row],[Failure mode that has the potential to violate the safety goal in absence of safety mechanism?]]="Yes", Table2[[#This Row],[Failure mode rate]]*(1-Table2[[#This Row],[Failure mode coverage wrt. violation of safety goals]]), 0)</f>
        <v>0</v>
      </c>
      <c r="Q100" s="318" t="s">
        <v>35</v>
      </c>
      <c r="R100" s="122" t="s">
        <v>463</v>
      </c>
      <c r="S100" s="318" t="s">
        <v>126</v>
      </c>
      <c r="T100" s="171" t="str">
        <f>VLOOKUP(Table2[[#This Row],[Detection means ? Safety mechanism(s) allowing to prevent the failure mode from being latent ?]],Table3[],2,FALSE)</f>
        <v>Analog and Logical BuitIn Self Test</v>
      </c>
      <c r="U100" s="16">
        <f>VLOOKUP(Table2[[#This Row],[Detection means ? Safety mechanism(s) allowing to prevent the failure mode from being latent ?]], Table3[], 6,FALSE)</f>
        <v>0.6</v>
      </c>
      <c r="V100" s="125">
        <f>IF(Table2[[#This Row],[Failure mode that may lead to the violation of safety goals in combination with an independent failure of another block ?]]="Yes",(1-Table2[[#This Row],[Failure mode coverage with respect to latent failures]])*Table2[[#This Row],[Failure mode rate]], 0)</f>
        <v>0.13536681730148481</v>
      </c>
      <c r="W100" s="12"/>
      <c r="X100" s="339" t="s">
        <v>35</v>
      </c>
      <c r="Y100" s="125">
        <f>IF(Table2[[#This Row],[SR]]="Yes",Table2[[#This Row],[λ]], 0)</f>
        <v>1.69208521626856</v>
      </c>
    </row>
    <row r="101" spans="1:25" ht="28.8" outlineLevel="1">
      <c r="A101" s="18" t="s">
        <v>705</v>
      </c>
      <c r="B101" s="12" t="s">
        <v>9</v>
      </c>
      <c r="C101" s="12" t="s">
        <v>120</v>
      </c>
      <c r="D101" s="12"/>
      <c r="E101" s="12"/>
      <c r="F101" s="125">
        <f>VLOOKUP(Table2[Function], Table1[], 5, FALSE)</f>
        <v>1.69208521626856</v>
      </c>
      <c r="G101" s="152" t="s">
        <v>122</v>
      </c>
      <c r="H101" s="318" t="s">
        <v>36</v>
      </c>
      <c r="I101" s="122" t="s">
        <v>63</v>
      </c>
      <c r="J101" s="13">
        <f>1/5</f>
        <v>0.2</v>
      </c>
      <c r="K101" s="17">
        <f>Table2[[#This Row],[λ]]*Table2[[#This Row],[Failure rate distribution]]</f>
        <v>0.33841704325371202</v>
      </c>
      <c r="L101" s="318" t="s">
        <v>63</v>
      </c>
      <c r="M101" s="20" t="str">
        <f>VLOOKUP(Table2[[#This Row],[Applicable Safety mechanism]],Table3[],2,FALSE)</f>
        <v>Not applicable</v>
      </c>
      <c r="N101" s="21" t="str">
        <f>VLOOKUP(Table2[[#This Row],[Applicable Safety mechanism]], Table3[], 3,FALSE)</f>
        <v>-</v>
      </c>
      <c r="O101" s="16">
        <f>VLOOKUP(Table2[[#This Row],[Applicable Safety mechanism]], Table3[], 6,FALSE)</f>
        <v>0</v>
      </c>
      <c r="P101" s="22">
        <f>IF(Table2[[#This Row],[Failure mode that has the potential to violate the safety goal in absence of safety mechanism?]]="Yes", Table2[[#This Row],[Failure mode rate]]*(1-Table2[[#This Row],[Failure mode coverage wrt. violation of safety goals]]), 0)</f>
        <v>0</v>
      </c>
      <c r="Q101" s="318" t="s">
        <v>35</v>
      </c>
      <c r="R101" s="122" t="s">
        <v>463</v>
      </c>
      <c r="S101" s="318" t="s">
        <v>126</v>
      </c>
      <c r="T101" s="171" t="str">
        <f>VLOOKUP(Table2[[#This Row],[Detection means ? Safety mechanism(s) allowing to prevent the failure mode from being latent ?]],Table3[],2,FALSE)</f>
        <v>Analog and Logical BuitIn Self Test</v>
      </c>
      <c r="U101" s="16">
        <f>VLOOKUP(Table2[[#This Row],[Detection means ? Safety mechanism(s) allowing to prevent the failure mode from being latent ?]], Table3[], 6,FALSE)</f>
        <v>0.6</v>
      </c>
      <c r="V101" s="125">
        <f>IF(Table2[[#This Row],[Failure mode that may lead to the violation of safety goals in combination with an independent failure of another block ?]]="Yes",(1-Table2[[#This Row],[Failure mode coverage with respect to latent failures]])*Table2[[#This Row],[Failure mode rate]], 0)</f>
        <v>0.13536681730148481</v>
      </c>
      <c r="W101" s="12"/>
      <c r="X101" s="339"/>
      <c r="Y101" s="125">
        <f>IF(Table2[[#This Row],[SR]]="Yes",Table2[[#This Row],[λ]], 0)</f>
        <v>0</v>
      </c>
    </row>
    <row r="102" spans="1:25" outlineLevel="1">
      <c r="A102" s="128" t="s">
        <v>706</v>
      </c>
      <c r="B102" s="12" t="s">
        <v>9</v>
      </c>
      <c r="C102" s="12" t="s">
        <v>120</v>
      </c>
      <c r="D102" s="12"/>
      <c r="E102" s="12"/>
      <c r="F102" s="125">
        <f>VLOOKUP(Table2[Function], Table1[], 5, FALSE)</f>
        <v>1.69208521626856</v>
      </c>
      <c r="G102" s="152" t="s">
        <v>123</v>
      </c>
      <c r="H102" s="318" t="s">
        <v>36</v>
      </c>
      <c r="I102" s="122" t="s">
        <v>63</v>
      </c>
      <c r="J102" s="13">
        <f>1/5</f>
        <v>0.2</v>
      </c>
      <c r="K102" s="17">
        <f>Table2[[#This Row],[λ]]*Table2[[#This Row],[Failure rate distribution]]</f>
        <v>0.33841704325371202</v>
      </c>
      <c r="L102" s="318" t="s">
        <v>63</v>
      </c>
      <c r="M102" s="20" t="str">
        <f>VLOOKUP(Table2[[#This Row],[Applicable Safety mechanism]],Table3[],2,FALSE)</f>
        <v>Not applicable</v>
      </c>
      <c r="N102" s="21" t="str">
        <f>VLOOKUP(Table2[[#This Row],[Applicable Safety mechanism]], Table3[], 3,FALSE)</f>
        <v>-</v>
      </c>
      <c r="O102" s="16">
        <f>VLOOKUP(Table2[[#This Row],[Applicable Safety mechanism]], Table3[], 6,FALSE)</f>
        <v>0</v>
      </c>
      <c r="P102" s="22">
        <f>IF(Table2[[#This Row],[Failure mode that has the potential to violate the safety goal in absence of safety mechanism?]]="Yes", Table2[[#This Row],[Failure mode rate]]*(1-Table2[[#This Row],[Failure mode coverage wrt. violation of safety goals]]), 0)</f>
        <v>0</v>
      </c>
      <c r="Q102" s="318" t="s">
        <v>35</v>
      </c>
      <c r="R102" s="122" t="s">
        <v>463</v>
      </c>
      <c r="S102" s="318" t="s">
        <v>126</v>
      </c>
      <c r="T102" s="171" t="str">
        <f>VLOOKUP(Table2[[#This Row],[Detection means ? Safety mechanism(s) allowing to prevent the failure mode from being latent ?]],Table3[],2,FALSE)</f>
        <v>Analog and Logical BuitIn Self Test</v>
      </c>
      <c r="U102" s="16">
        <f>VLOOKUP(Table2[[#This Row],[Detection means ? Safety mechanism(s) allowing to prevent the failure mode from being latent ?]], Table3[], 6,FALSE)</f>
        <v>0.6</v>
      </c>
      <c r="V102" s="125">
        <f>IF(Table2[[#This Row],[Failure mode that may lead to the violation of safety goals in combination with an independent failure of another block ?]]="Yes",(1-Table2[[#This Row],[Failure mode coverage with respect to latent failures]])*Table2[[#This Row],[Failure mode rate]], 0)</f>
        <v>0.13536681730148481</v>
      </c>
      <c r="W102" s="12"/>
      <c r="X102" s="339"/>
      <c r="Y102" s="125">
        <f>IF(Table2[[#This Row],[SR]]="Yes",Table2[[#This Row],[λ]], 0)</f>
        <v>0</v>
      </c>
    </row>
    <row r="103" spans="1:25" outlineLevel="1">
      <c r="A103" s="18" t="s">
        <v>707</v>
      </c>
      <c r="B103" s="12" t="s">
        <v>9</v>
      </c>
      <c r="C103" s="12" t="s">
        <v>120</v>
      </c>
      <c r="D103" s="12"/>
      <c r="E103" s="12"/>
      <c r="F103" s="125">
        <f>VLOOKUP(Table2[Function], Table1[], 5, FALSE)</f>
        <v>1.69208521626856</v>
      </c>
      <c r="G103" s="152" t="s">
        <v>124</v>
      </c>
      <c r="H103" s="318" t="s">
        <v>36</v>
      </c>
      <c r="I103" s="122" t="s">
        <v>63</v>
      </c>
      <c r="J103" s="13">
        <f>1/5</f>
        <v>0.2</v>
      </c>
      <c r="K103" s="17">
        <f>Table2[[#This Row],[λ]]*Table2[[#This Row],[Failure rate distribution]]</f>
        <v>0.33841704325371202</v>
      </c>
      <c r="L103" s="318" t="s">
        <v>63</v>
      </c>
      <c r="M103" s="20" t="str">
        <f>VLOOKUP(Table2[[#This Row],[Applicable Safety mechanism]],Table3[],2,FALSE)</f>
        <v>Not applicable</v>
      </c>
      <c r="N103" s="21" t="str">
        <f>VLOOKUP(Table2[[#This Row],[Applicable Safety mechanism]], Table3[], 3,FALSE)</f>
        <v>-</v>
      </c>
      <c r="O103" s="16">
        <f>VLOOKUP(Table2[[#This Row],[Applicable Safety mechanism]], Table3[], 6,FALSE)</f>
        <v>0</v>
      </c>
      <c r="P103" s="22">
        <f>IF(Table2[[#This Row],[Failure mode that has the potential to violate the safety goal in absence of safety mechanism?]]="Yes", Table2[[#This Row],[Failure mode rate]]*(1-Table2[[#This Row],[Failure mode coverage wrt. violation of safety goals]]), 0)</f>
        <v>0</v>
      </c>
      <c r="Q103" s="318" t="s">
        <v>35</v>
      </c>
      <c r="R103" s="122" t="s">
        <v>463</v>
      </c>
      <c r="S103" s="318" t="s">
        <v>126</v>
      </c>
      <c r="T103" s="171" t="str">
        <f>VLOOKUP(Table2[[#This Row],[Detection means ? Safety mechanism(s) allowing to prevent the failure mode from being latent ?]],Table3[],2,FALSE)</f>
        <v>Analog and Logical BuitIn Self Test</v>
      </c>
      <c r="U103" s="16">
        <f>VLOOKUP(Table2[[#This Row],[Detection means ? Safety mechanism(s) allowing to prevent the failure mode from being latent ?]], Table3[], 6,FALSE)</f>
        <v>0.6</v>
      </c>
      <c r="V103" s="125">
        <f>IF(Table2[[#This Row],[Failure mode that may lead to the violation of safety goals in combination with an independent failure of another block ?]]="Yes",(1-Table2[[#This Row],[Failure mode coverage with respect to latent failures]])*Table2[[#This Row],[Failure mode rate]], 0)</f>
        <v>0.13536681730148481</v>
      </c>
      <c r="W103" s="12"/>
      <c r="X103" s="339"/>
      <c r="Y103" s="125">
        <f>IF(Table2[[#This Row],[SR]]="Yes",Table2[[#This Row],[λ]], 0)</f>
        <v>0</v>
      </c>
    </row>
    <row r="104" spans="1:25" ht="28.8" outlineLevel="1">
      <c r="A104" s="128" t="s">
        <v>708</v>
      </c>
      <c r="B104" s="12" t="s">
        <v>9</v>
      </c>
      <c r="C104" s="12" t="s">
        <v>120</v>
      </c>
      <c r="D104" s="12"/>
      <c r="E104" s="12"/>
      <c r="F104" s="125">
        <f>VLOOKUP(Table2[Function], Table1[], 5, FALSE)</f>
        <v>1.69208521626856</v>
      </c>
      <c r="G104" s="152" t="s">
        <v>125</v>
      </c>
      <c r="H104" s="318" t="s">
        <v>36</v>
      </c>
      <c r="I104" s="122" t="s">
        <v>63</v>
      </c>
      <c r="J104" s="13">
        <f>1/5</f>
        <v>0.2</v>
      </c>
      <c r="K104" s="70">
        <f>Table2[[#This Row],[λ]]*Table2[[#This Row],[Failure rate distribution]]</f>
        <v>0.33841704325371202</v>
      </c>
      <c r="L104" s="318" t="s">
        <v>63</v>
      </c>
      <c r="M104" s="20" t="str">
        <f>VLOOKUP(Table2[[#This Row],[Applicable Safety mechanism]],Table3[],2,FALSE)</f>
        <v>Not applicable</v>
      </c>
      <c r="N104" s="27" t="str">
        <f>VLOOKUP(Table2[[#This Row],[Applicable Safety mechanism]], Table3[], 3,FALSE)</f>
        <v>-</v>
      </c>
      <c r="O104" s="28">
        <f>VLOOKUP(Table2[[#This Row],[Applicable Safety mechanism]], Table3[], 6,FALSE)</f>
        <v>0</v>
      </c>
      <c r="P104" s="29">
        <f>IF(Table2[[#This Row],[Failure mode that has the potential to violate the safety goal in absence of safety mechanism?]]="Yes", Table2[[#This Row],[Failure mode rate]]*(1-Table2[[#This Row],[Failure mode coverage wrt. violation of safety goals]]), 0)</f>
        <v>0</v>
      </c>
      <c r="Q104" s="318" t="s">
        <v>35</v>
      </c>
      <c r="R104" s="122" t="s">
        <v>463</v>
      </c>
      <c r="S104" s="318" t="s">
        <v>126</v>
      </c>
      <c r="T104" s="171" t="str">
        <f>VLOOKUP(Table2[[#This Row],[Detection means ? Safety mechanism(s) allowing to prevent the failure mode from being latent ?]],Table3[],2,FALSE)</f>
        <v>Analog and Logical BuitIn Self Test</v>
      </c>
      <c r="U104" s="16">
        <f>VLOOKUP(Table2[[#This Row],[Detection means ? Safety mechanism(s) allowing to prevent the failure mode from being latent ?]], Table3[], 6,FALSE)</f>
        <v>0.6</v>
      </c>
      <c r="V104" s="125">
        <f>IF(Table2[[#This Row],[Failure mode that may lead to the violation of safety goals in combination with an independent failure of another block ?]]="Yes",(1-Table2[[#This Row],[Failure mode coverage with respect to latent failures]])*Table2[[#This Row],[Failure mode rate]], 0)</f>
        <v>0.13536681730148481</v>
      </c>
      <c r="W104" s="12"/>
      <c r="X104" s="339"/>
      <c r="Y104" s="125">
        <f>IF(Table2[[#This Row],[SR]]="Yes",Table2[[#This Row],[λ]], 0)</f>
        <v>0</v>
      </c>
    </row>
    <row r="105" spans="1:25" ht="28.8">
      <c r="A105" s="18" t="s">
        <v>709</v>
      </c>
      <c r="B105" s="31" t="s">
        <v>9</v>
      </c>
      <c r="C105" s="31" t="s">
        <v>120</v>
      </c>
      <c r="D105" s="11" t="s">
        <v>63</v>
      </c>
      <c r="E105" s="11"/>
      <c r="F105" s="125">
        <f>VLOOKUP(Table2[Function], Table1[], 5, FALSE)</f>
        <v>1.69208521626856</v>
      </c>
      <c r="G105" s="122" t="s">
        <v>63</v>
      </c>
      <c r="H105" s="318" t="s">
        <v>63</v>
      </c>
      <c r="I105" s="122" t="s">
        <v>63</v>
      </c>
      <c r="J105" s="122" t="s">
        <v>63</v>
      </c>
      <c r="K105" s="125" t="s">
        <v>63</v>
      </c>
      <c r="L105" s="318" t="s">
        <v>63</v>
      </c>
      <c r="M105" s="122" t="s">
        <v>63</v>
      </c>
      <c r="N105" s="122" t="s">
        <v>63</v>
      </c>
      <c r="O105" s="122" t="s">
        <v>63</v>
      </c>
      <c r="P105" s="122" t="s">
        <v>63</v>
      </c>
      <c r="Q105" s="318" t="s">
        <v>63</v>
      </c>
      <c r="R105" s="11"/>
      <c r="S105" s="318"/>
      <c r="T105" s="170"/>
      <c r="U105" s="122"/>
      <c r="V105" s="122"/>
      <c r="W105" s="122"/>
      <c r="X105" s="339"/>
      <c r="Y105" s="125"/>
    </row>
    <row r="106" spans="1:25" ht="28.8" outlineLevel="1">
      <c r="A106" s="128" t="s">
        <v>710</v>
      </c>
      <c r="B106" s="12" t="s">
        <v>128</v>
      </c>
      <c r="C106" s="12" t="s">
        <v>129</v>
      </c>
      <c r="D106" s="12" t="s">
        <v>212</v>
      </c>
      <c r="E106" s="12" t="s">
        <v>207</v>
      </c>
      <c r="F106" s="125">
        <f>VLOOKUP(Table2[Function], Table1[], 5, FALSE)</f>
        <v>0.46367979341510651</v>
      </c>
      <c r="G106" s="19" t="s">
        <v>184</v>
      </c>
      <c r="H106" s="318" t="s">
        <v>36</v>
      </c>
      <c r="I106" s="122" t="s">
        <v>63</v>
      </c>
      <c r="J106" s="13">
        <f>1/5</f>
        <v>0.2</v>
      </c>
      <c r="K106" s="17">
        <f>Table2[[#This Row],[λ]]*Table2[[#This Row],[Failure rate distribution]]</f>
        <v>9.2735958683021313E-2</v>
      </c>
      <c r="L106" s="318" t="s">
        <v>63</v>
      </c>
      <c r="M106" s="20" t="str">
        <f>VLOOKUP(Table2[[#This Row],[Applicable Safety mechanism]],Table3[],2,FALSE)</f>
        <v>Not applicable</v>
      </c>
      <c r="N106" s="21" t="str">
        <f>VLOOKUP(Table2[[#This Row],[Applicable Safety mechanism]], Table3[], 3,FALSE)</f>
        <v>-</v>
      </c>
      <c r="O106" s="16">
        <f>VLOOKUP(Table2[[#This Row],[Applicable Safety mechanism]], Table3[], 6,FALSE)</f>
        <v>0</v>
      </c>
      <c r="P106" s="22">
        <f>IF(Table2[[#This Row],[Failure mode that has the potential to violate the safety goal in absence of safety mechanism?]]="Yes", Table2[[#This Row],[Failure mode rate]]*(1-Table2[[#This Row],[Failure mode coverage wrt. violation of safety goals]]), 0)</f>
        <v>0</v>
      </c>
      <c r="Q106" s="318" t="s">
        <v>36</v>
      </c>
      <c r="R106" s="11"/>
      <c r="S106" s="318"/>
      <c r="T106" s="170"/>
      <c r="U106" s="16"/>
      <c r="V106" s="125">
        <f>IF(Table2[[#This Row],[Failure mode that may lead to the violation of safety goals in combination with an independent failure of another block ?]]="Yes",(1-Table2[[#This Row],[Failure mode coverage with respect to latent failures]])*Table2[[#This Row],[Failure mode rate]], 0)</f>
        <v>0</v>
      </c>
      <c r="W106" s="12"/>
      <c r="X106" s="339" t="s">
        <v>36</v>
      </c>
      <c r="Y106" s="125">
        <f>IF(Table2[[#This Row],[SR]]="Yes",Table2[[#This Row],[λ]], 0)</f>
        <v>0</v>
      </c>
    </row>
    <row r="107" spans="1:25" outlineLevel="1">
      <c r="A107" s="18" t="s">
        <v>711</v>
      </c>
      <c r="B107" s="12" t="s">
        <v>128</v>
      </c>
      <c r="C107" s="12"/>
      <c r="D107" s="12"/>
      <c r="E107" s="12"/>
      <c r="F107" s="125">
        <f>VLOOKUP(Table2[Function], Table1[], 5, FALSE)</f>
        <v>0.46367979341510651</v>
      </c>
      <c r="G107" s="19" t="s">
        <v>185</v>
      </c>
      <c r="H107" s="318" t="s">
        <v>36</v>
      </c>
      <c r="I107" s="122" t="s">
        <v>63</v>
      </c>
      <c r="J107" s="124">
        <f>1/5</f>
        <v>0.2</v>
      </c>
      <c r="K107" s="17">
        <f>Table2[[#This Row],[λ]]*Table2[[#This Row],[Failure rate distribution]]</f>
        <v>9.2735958683021313E-2</v>
      </c>
      <c r="L107" s="318" t="s">
        <v>63</v>
      </c>
      <c r="M107" s="20" t="str">
        <f>VLOOKUP(Table2[[#This Row],[Applicable Safety mechanism]],Table3[],2,FALSE)</f>
        <v>Not applicable</v>
      </c>
      <c r="N107" s="21" t="str">
        <f>VLOOKUP(Table2[[#This Row],[Applicable Safety mechanism]], Table3[], 3,FALSE)</f>
        <v>-</v>
      </c>
      <c r="O107" s="16">
        <f>VLOOKUP(Table2[[#This Row],[Applicable Safety mechanism]], Table3[], 6,FALSE)</f>
        <v>0</v>
      </c>
      <c r="P107" s="22">
        <f>IF(Table2[[#This Row],[Failure mode that has the potential to violate the safety goal in absence of safety mechanism?]]="Yes", Table2[[#This Row],[Failure mode rate]]*(1-Table2[[#This Row],[Failure mode coverage wrt. violation of safety goals]]), 0)</f>
        <v>0</v>
      </c>
      <c r="Q107" s="318" t="s">
        <v>36</v>
      </c>
      <c r="R107" s="11"/>
      <c r="S107" s="318"/>
      <c r="T107" s="170"/>
      <c r="U107" s="16"/>
      <c r="V107" s="125">
        <f>IF(Table2[[#This Row],[Failure mode that may lead to the violation of safety goals in combination with an independent failure of another block ?]]="Yes",(1-Table2[[#This Row],[Failure mode coverage with respect to latent failures]])*Table2[[#This Row],[Failure mode rate]], 0)</f>
        <v>0</v>
      </c>
      <c r="W107" s="12"/>
      <c r="X107" s="339"/>
      <c r="Y107" s="125">
        <f>IF(Table2[[#This Row],[SR]]="Yes",Table2[[#This Row],[λ]], 0)</f>
        <v>0</v>
      </c>
    </row>
    <row r="108" spans="1:25" outlineLevel="1">
      <c r="A108" s="128" t="s">
        <v>712</v>
      </c>
      <c r="B108" s="12" t="s">
        <v>128</v>
      </c>
      <c r="C108" s="12"/>
      <c r="D108" s="12"/>
      <c r="E108" s="12"/>
      <c r="F108" s="125">
        <f>VLOOKUP(Table2[Function], Table1[], 5, FALSE)</f>
        <v>0.46367979341510651</v>
      </c>
      <c r="G108" s="19" t="s">
        <v>186</v>
      </c>
      <c r="H108" s="318" t="s">
        <v>36</v>
      </c>
      <c r="I108" s="122" t="s">
        <v>63</v>
      </c>
      <c r="J108" s="124">
        <f>1/5</f>
        <v>0.2</v>
      </c>
      <c r="K108" s="17">
        <f>Table2[[#This Row],[λ]]*Table2[[#This Row],[Failure rate distribution]]</f>
        <v>9.2735958683021313E-2</v>
      </c>
      <c r="L108" s="318" t="s">
        <v>63</v>
      </c>
      <c r="M108" s="20" t="str">
        <f>VLOOKUP(Table2[[#This Row],[Applicable Safety mechanism]],Table3[],2,FALSE)</f>
        <v>Not applicable</v>
      </c>
      <c r="N108" s="21" t="str">
        <f>VLOOKUP(Table2[[#This Row],[Applicable Safety mechanism]], Table3[], 3,FALSE)</f>
        <v>-</v>
      </c>
      <c r="O108" s="16">
        <f>VLOOKUP(Table2[[#This Row],[Applicable Safety mechanism]], Table3[], 6,FALSE)</f>
        <v>0</v>
      </c>
      <c r="P108" s="22">
        <f>IF(Table2[[#This Row],[Failure mode that has the potential to violate the safety goal in absence of safety mechanism?]]="Yes", Table2[[#This Row],[Failure mode rate]]*(1-Table2[[#This Row],[Failure mode coverage wrt. violation of safety goals]]), 0)</f>
        <v>0</v>
      </c>
      <c r="Q108" s="318" t="s">
        <v>36</v>
      </c>
      <c r="R108" s="11"/>
      <c r="S108" s="318"/>
      <c r="T108" s="170"/>
      <c r="U108" s="16"/>
      <c r="V108" s="125">
        <f>IF(Table2[[#This Row],[Failure mode that may lead to the violation of safety goals in combination with an independent failure of another block ?]]="Yes",(1-Table2[[#This Row],[Failure mode coverage with respect to latent failures]])*Table2[[#This Row],[Failure mode rate]], 0)</f>
        <v>0</v>
      </c>
      <c r="W108" s="12"/>
      <c r="X108" s="339"/>
      <c r="Y108" s="125">
        <f>IF(Table2[[#This Row],[SR]]="Yes",Table2[[#This Row],[λ]], 0)</f>
        <v>0</v>
      </c>
    </row>
    <row r="109" spans="1:25" outlineLevel="1">
      <c r="A109" s="18" t="s">
        <v>713</v>
      </c>
      <c r="B109" s="12" t="s">
        <v>128</v>
      </c>
      <c r="C109" s="12"/>
      <c r="D109" s="12"/>
      <c r="E109" s="12"/>
      <c r="F109" s="125">
        <f>VLOOKUP(Table2[Function], Table1[], 5, FALSE)</f>
        <v>0.46367979341510651</v>
      </c>
      <c r="G109" s="19" t="s">
        <v>187</v>
      </c>
      <c r="H109" s="318" t="s">
        <v>36</v>
      </c>
      <c r="I109" s="122" t="s">
        <v>63</v>
      </c>
      <c r="J109" s="124">
        <f>1/5</f>
        <v>0.2</v>
      </c>
      <c r="K109" s="17">
        <f>Table2[[#This Row],[λ]]*Table2[[#This Row],[Failure rate distribution]]</f>
        <v>9.2735958683021313E-2</v>
      </c>
      <c r="L109" s="318" t="s">
        <v>63</v>
      </c>
      <c r="M109" s="20" t="str">
        <f>VLOOKUP(Table2[[#This Row],[Applicable Safety mechanism]],Table3[],2,FALSE)</f>
        <v>Not applicable</v>
      </c>
      <c r="N109" s="21" t="str">
        <f>VLOOKUP(Table2[[#This Row],[Applicable Safety mechanism]], Table3[], 3,FALSE)</f>
        <v>-</v>
      </c>
      <c r="O109" s="16">
        <f>VLOOKUP(Table2[[#This Row],[Applicable Safety mechanism]], Table3[], 6,FALSE)</f>
        <v>0</v>
      </c>
      <c r="P109" s="22">
        <f>IF(Table2[[#This Row],[Failure mode that has the potential to violate the safety goal in absence of safety mechanism?]]="Yes", Table2[[#This Row],[Failure mode rate]]*(1-Table2[[#This Row],[Failure mode coverage wrt. violation of safety goals]]), 0)</f>
        <v>0</v>
      </c>
      <c r="Q109" s="318" t="s">
        <v>36</v>
      </c>
      <c r="R109" s="11"/>
      <c r="S109" s="318"/>
      <c r="T109" s="170"/>
      <c r="U109" s="16"/>
      <c r="V109" s="125">
        <f>IF(Table2[[#This Row],[Failure mode that may lead to the violation of safety goals in combination with an independent failure of another block ?]]="Yes",(1-Table2[[#This Row],[Failure mode coverage with respect to latent failures]])*Table2[[#This Row],[Failure mode rate]], 0)</f>
        <v>0</v>
      </c>
      <c r="W109" s="12"/>
      <c r="X109" s="339"/>
      <c r="Y109" s="125">
        <f>IF(Table2[[#This Row],[SR]]="Yes",Table2[[#This Row],[λ]], 0)</f>
        <v>0</v>
      </c>
    </row>
    <row r="110" spans="1:25" outlineLevel="1">
      <c r="A110" s="128" t="s">
        <v>714</v>
      </c>
      <c r="B110" s="12" t="s">
        <v>128</v>
      </c>
      <c r="C110" s="12"/>
      <c r="D110" s="12"/>
      <c r="E110" s="12"/>
      <c r="F110" s="125">
        <f>VLOOKUP(Table2[Function], Table1[], 5, FALSE)</f>
        <v>0.46367979341510651</v>
      </c>
      <c r="G110" s="19" t="s">
        <v>188</v>
      </c>
      <c r="H110" s="320" t="s">
        <v>36</v>
      </c>
      <c r="I110" s="122" t="s">
        <v>63</v>
      </c>
      <c r="J110" s="124">
        <f>1/5</f>
        <v>0.2</v>
      </c>
      <c r="K110" s="70">
        <f>Table2[[#This Row],[λ]]*Table2[[#This Row],[Failure rate distribution]]</f>
        <v>9.2735958683021313E-2</v>
      </c>
      <c r="L110" s="318" t="s">
        <v>63</v>
      </c>
      <c r="M110" s="26" t="str">
        <f>VLOOKUP(Table2[[#This Row],[Applicable Safety mechanism]],Table3[],2,FALSE)</f>
        <v>Not applicable</v>
      </c>
      <c r="N110" s="27" t="str">
        <f>VLOOKUP(Table2[[#This Row],[Applicable Safety mechanism]], Table3[], 3,FALSE)</f>
        <v>-</v>
      </c>
      <c r="O110" s="28">
        <f>VLOOKUP(Table2[[#This Row],[Applicable Safety mechanism]], Table3[], 6,FALSE)</f>
        <v>0</v>
      </c>
      <c r="P110" s="29">
        <f>IF(Table2[[#This Row],[Failure mode that has the potential to violate the safety goal in absence of safety mechanism?]]="Yes", Table2[[#This Row],[Failure mode rate]]*(1-Table2[[#This Row],[Failure mode coverage wrt. violation of safety goals]]), 0)</f>
        <v>0</v>
      </c>
      <c r="Q110" s="318" t="s">
        <v>36</v>
      </c>
      <c r="R110" s="11"/>
      <c r="S110" s="318"/>
      <c r="T110" s="170"/>
      <c r="U110" s="16"/>
      <c r="V110" s="125">
        <f>IF(Table2[[#This Row],[Failure mode that may lead to the violation of safety goals in combination with an independent failure of another block ?]]="Yes",(1-Table2[[#This Row],[Failure mode coverage with respect to latent failures]])*Table2[[#This Row],[Failure mode rate]], 0)</f>
        <v>0</v>
      </c>
      <c r="W110" s="12"/>
      <c r="X110" s="339"/>
      <c r="Y110" s="125">
        <f>IF(Table2[[#This Row],[SR]]="Yes",Table2[[#This Row],[λ]], 0)</f>
        <v>0</v>
      </c>
    </row>
    <row r="111" spans="1:25" ht="28.8">
      <c r="A111" s="18" t="s">
        <v>715</v>
      </c>
      <c r="B111" s="31" t="s">
        <v>128</v>
      </c>
      <c r="C111" s="31" t="s">
        <v>129</v>
      </c>
      <c r="D111" s="11" t="s">
        <v>63</v>
      </c>
      <c r="E111" s="11"/>
      <c r="F111" s="125">
        <f>VLOOKUP(Table2[Function], Table1[], 5, FALSE)</f>
        <v>0.46367979341510651</v>
      </c>
      <c r="G111" s="122" t="s">
        <v>63</v>
      </c>
      <c r="H111" s="318" t="s">
        <v>63</v>
      </c>
      <c r="I111" s="122" t="s">
        <v>63</v>
      </c>
      <c r="J111" s="122" t="s">
        <v>63</v>
      </c>
      <c r="K111" s="125" t="s">
        <v>63</v>
      </c>
      <c r="L111" s="318" t="s">
        <v>63</v>
      </c>
      <c r="M111" s="122" t="s">
        <v>63</v>
      </c>
      <c r="N111" s="122" t="s">
        <v>63</v>
      </c>
      <c r="O111" s="122" t="s">
        <v>63</v>
      </c>
      <c r="P111" s="122" t="s">
        <v>63</v>
      </c>
      <c r="Q111" s="318" t="s">
        <v>63</v>
      </c>
      <c r="R111" s="11"/>
      <c r="S111" s="318"/>
      <c r="T111" s="170"/>
      <c r="U111" s="122"/>
      <c r="V111" s="122"/>
      <c r="W111" s="122"/>
      <c r="X111" s="339"/>
      <c r="Y111" s="125"/>
    </row>
    <row r="112" spans="1:25" ht="28.8" outlineLevel="1">
      <c r="A112" s="128" t="s">
        <v>716</v>
      </c>
      <c r="B112" s="12" t="s">
        <v>230</v>
      </c>
      <c r="C112" s="12" t="s">
        <v>132</v>
      </c>
      <c r="D112" s="12" t="s">
        <v>213</v>
      </c>
      <c r="E112" s="12" t="s">
        <v>211</v>
      </c>
      <c r="F112" s="125">
        <f>VLOOKUP(Table2[Function], Table1[], 5, FALSE)</f>
        <v>1.2699289864428662</v>
      </c>
      <c r="G112" s="152" t="s">
        <v>336</v>
      </c>
      <c r="H112" s="318" t="s">
        <v>36</v>
      </c>
      <c r="I112" s="122" t="s">
        <v>63</v>
      </c>
      <c r="J112" s="13">
        <f>1/5</f>
        <v>0.2</v>
      </c>
      <c r="K112" s="17">
        <f>Table2[[#This Row],[λ]]*Table2[[#This Row],[Failure rate distribution]]</f>
        <v>0.25398579728857323</v>
      </c>
      <c r="L112" s="318" t="s">
        <v>63</v>
      </c>
      <c r="M112" s="20" t="str">
        <f>VLOOKUP(Table2[[#This Row],[Applicable Safety mechanism]],Table3[],2,FALSE)</f>
        <v>Not applicable</v>
      </c>
      <c r="N112" s="21" t="str">
        <f>VLOOKUP(Table2[[#This Row],[Applicable Safety mechanism]], Table3[], 3,FALSE)</f>
        <v>-</v>
      </c>
      <c r="O112" s="16">
        <f>VLOOKUP(Table2[[#This Row],[Applicable Safety mechanism]], Table3[], 6,FALSE)</f>
        <v>0</v>
      </c>
      <c r="P112" s="22">
        <f>IF(Table2[[#This Row],[Failure mode that has the potential to violate the safety goal in absence of safety mechanism?]]="Yes", Table2[[#This Row],[Failure mode rate]]*(1-Table2[[#This Row],[Failure mode coverage wrt. violation of safety goals]]), 0)</f>
        <v>0</v>
      </c>
      <c r="Q112" s="318" t="s">
        <v>36</v>
      </c>
      <c r="R112" s="122"/>
      <c r="S112" s="318"/>
      <c r="T112" s="170"/>
      <c r="U112" s="16"/>
      <c r="V112" s="125">
        <f>IF(Table2[[#This Row],[Failure mode that may lead to the violation of safety goals in combination with an independent failure of another block ?]]="Yes",(1-Table2[[#This Row],[Failure mode coverage with respect to latent failures]])*Table2[[#This Row],[Failure mode rate]], 0)</f>
        <v>0</v>
      </c>
      <c r="W112" s="12"/>
      <c r="X112" s="339" t="s">
        <v>36</v>
      </c>
      <c r="Y112" s="125">
        <f>IF(Table2[[#This Row],[SR]]="Yes",Table2[[#This Row],[λ]], 0)</f>
        <v>0</v>
      </c>
    </row>
    <row r="113" spans="1:25" outlineLevel="1">
      <c r="A113" s="18" t="s">
        <v>717</v>
      </c>
      <c r="B113" s="123" t="s">
        <v>230</v>
      </c>
      <c r="C113" s="123" t="s">
        <v>132</v>
      </c>
      <c r="D113" s="123"/>
      <c r="E113" s="123"/>
      <c r="F113" s="125">
        <f>VLOOKUP(Table2[Function], Table1[], 5, FALSE)</f>
        <v>1.2699289864428662</v>
      </c>
      <c r="G113" s="152" t="s">
        <v>130</v>
      </c>
      <c r="H113" s="318" t="s">
        <v>36</v>
      </c>
      <c r="I113" s="122" t="s">
        <v>63</v>
      </c>
      <c r="J113" s="124">
        <f t="shared" ref="J113:J116" si="6">1/5</f>
        <v>0.2</v>
      </c>
      <c r="K113" s="17">
        <f>Table2[[#This Row],[λ]]*Table2[[#This Row],[Failure rate distribution]]</f>
        <v>0.25398579728857323</v>
      </c>
      <c r="L113" s="318" t="s">
        <v>63</v>
      </c>
      <c r="M113" s="20" t="str">
        <f>VLOOKUP(Table2[[#This Row],[Applicable Safety mechanism]],Table3[],2,FALSE)</f>
        <v>Not applicable</v>
      </c>
      <c r="N113" s="21" t="str">
        <f>VLOOKUP(Table2[[#This Row],[Applicable Safety mechanism]], Table3[], 3,FALSE)</f>
        <v>-</v>
      </c>
      <c r="O113" s="16">
        <f>VLOOKUP(Table2[[#This Row],[Applicable Safety mechanism]], Table3[], 6,FALSE)</f>
        <v>0</v>
      </c>
      <c r="P113" s="22">
        <f>IF(Table2[[#This Row],[Failure mode that has the potential to violate the safety goal in absence of safety mechanism?]]="Yes", Table2[[#This Row],[Failure mode rate]]*(1-Table2[[#This Row],[Failure mode coverage wrt. violation of safety goals]]), 0)</f>
        <v>0</v>
      </c>
      <c r="Q113" s="318" t="s">
        <v>36</v>
      </c>
      <c r="R113" s="122"/>
      <c r="S113" s="318"/>
      <c r="T113" s="170"/>
      <c r="U113" s="16"/>
      <c r="V113" s="125">
        <f>IF(Table2[[#This Row],[Failure mode that may lead to the violation of safety goals in combination with an independent failure of another block ?]]="Yes",(1-Table2[[#This Row],[Failure mode coverage with respect to latent failures]])*Table2[[#This Row],[Failure mode rate]], 0)</f>
        <v>0</v>
      </c>
      <c r="W113" s="170"/>
      <c r="X113" s="339"/>
      <c r="Y113" s="125">
        <f>IF(Table2[[#This Row],[SR]]="Yes",Table2[[#This Row],[λ]], 0)</f>
        <v>0</v>
      </c>
    </row>
    <row r="114" spans="1:25" outlineLevel="1">
      <c r="A114" s="128" t="s">
        <v>718</v>
      </c>
      <c r="B114" s="12" t="s">
        <v>230</v>
      </c>
      <c r="C114" s="12" t="s">
        <v>132</v>
      </c>
      <c r="D114" s="12"/>
      <c r="E114" s="12"/>
      <c r="F114" s="125">
        <f>VLOOKUP(Table2[Function], Table1[], 5, FALSE)</f>
        <v>1.2699289864428662</v>
      </c>
      <c r="G114" s="19" t="s">
        <v>480</v>
      </c>
      <c r="H114" s="318" t="s">
        <v>36</v>
      </c>
      <c r="I114" s="122" t="s">
        <v>63</v>
      </c>
      <c r="J114" s="124">
        <f t="shared" si="6"/>
        <v>0.2</v>
      </c>
      <c r="K114" s="17">
        <f>Table2[[#This Row],[λ]]*Table2[[#This Row],[Failure rate distribution]]</f>
        <v>0.25398579728857323</v>
      </c>
      <c r="L114" s="318" t="s">
        <v>63</v>
      </c>
      <c r="M114" s="20" t="str">
        <f>VLOOKUP(Table2[[#This Row],[Applicable Safety mechanism]],Table3[],2,FALSE)</f>
        <v>Not applicable</v>
      </c>
      <c r="N114" s="21" t="str">
        <f>VLOOKUP(Table2[[#This Row],[Applicable Safety mechanism]], Table3[], 3,FALSE)</f>
        <v>-</v>
      </c>
      <c r="O114" s="16">
        <f>VLOOKUP(Table2[[#This Row],[Applicable Safety mechanism]], Table3[], 6,FALSE)</f>
        <v>0</v>
      </c>
      <c r="P114" s="22">
        <f>IF(Table2[[#This Row],[Failure mode that has the potential to violate the safety goal in absence of safety mechanism?]]="Yes", Table2[[#This Row],[Failure mode rate]]*(1-Table2[[#This Row],[Failure mode coverage wrt. violation of safety goals]]), 0)</f>
        <v>0</v>
      </c>
      <c r="Q114" s="318" t="s">
        <v>36</v>
      </c>
      <c r="R114" s="122"/>
      <c r="S114" s="318"/>
      <c r="T114" s="170"/>
      <c r="U114" s="16"/>
      <c r="V114" s="125">
        <f>IF(Table2[[#This Row],[Failure mode that may lead to the violation of safety goals in combination with an independent failure of another block ?]]="Yes",(1-Table2[[#This Row],[Failure mode coverage with respect to latent failures]])*Table2[[#This Row],[Failure mode rate]], 0)</f>
        <v>0</v>
      </c>
      <c r="W114" s="170"/>
      <c r="X114" s="339"/>
      <c r="Y114" s="125">
        <f>IF(Table2[[#This Row],[SR]]="Yes",Table2[[#This Row],[λ]], 0)</f>
        <v>0</v>
      </c>
    </row>
    <row r="115" spans="1:25" outlineLevel="1">
      <c r="A115" s="18" t="s">
        <v>719</v>
      </c>
      <c r="B115" s="12" t="s">
        <v>230</v>
      </c>
      <c r="C115" s="12" t="s">
        <v>132</v>
      </c>
      <c r="D115" s="12"/>
      <c r="E115" s="12"/>
      <c r="F115" s="125">
        <f>VLOOKUP(Table2[Function], Table1[], 5, FALSE)</f>
        <v>1.2699289864428662</v>
      </c>
      <c r="G115" s="19" t="s">
        <v>131</v>
      </c>
      <c r="H115" s="318" t="s">
        <v>36</v>
      </c>
      <c r="I115" s="122" t="s">
        <v>63</v>
      </c>
      <c r="J115" s="124">
        <f t="shared" si="6"/>
        <v>0.2</v>
      </c>
      <c r="K115" s="17">
        <f>Table2[[#This Row],[λ]]*Table2[[#This Row],[Failure rate distribution]]</f>
        <v>0.25398579728857323</v>
      </c>
      <c r="L115" s="318" t="s">
        <v>63</v>
      </c>
      <c r="M115" s="20" t="str">
        <f>VLOOKUP(Table2[[#This Row],[Applicable Safety mechanism]],Table3[],2,FALSE)</f>
        <v>Not applicable</v>
      </c>
      <c r="N115" s="21" t="str">
        <f>VLOOKUP(Table2[[#This Row],[Applicable Safety mechanism]], Table3[], 3,FALSE)</f>
        <v>-</v>
      </c>
      <c r="O115" s="16">
        <f>VLOOKUP(Table2[[#This Row],[Applicable Safety mechanism]], Table3[], 6,FALSE)</f>
        <v>0</v>
      </c>
      <c r="P115" s="22">
        <f>IF(Table2[[#This Row],[Failure mode that has the potential to violate the safety goal in absence of safety mechanism?]]="Yes", Table2[[#This Row],[Failure mode rate]]*(1-Table2[[#This Row],[Failure mode coverage wrt. violation of safety goals]]), 0)</f>
        <v>0</v>
      </c>
      <c r="Q115" s="318" t="s">
        <v>36</v>
      </c>
      <c r="R115" s="122"/>
      <c r="S115" s="318"/>
      <c r="T115" s="170"/>
      <c r="U115" s="16"/>
      <c r="V115" s="125">
        <f>IF(Table2[[#This Row],[Failure mode that may lead to the violation of safety goals in combination with an independent failure of another block ?]]="Yes",(1-Table2[[#This Row],[Failure mode coverage with respect to latent failures]])*Table2[[#This Row],[Failure mode rate]], 0)</f>
        <v>0</v>
      </c>
      <c r="W115" s="12"/>
      <c r="X115" s="339"/>
      <c r="Y115" s="125">
        <f>IF(Table2[[#This Row],[SR]]="Yes",Table2[[#This Row],[λ]], 0)</f>
        <v>0</v>
      </c>
    </row>
    <row r="116" spans="1:25" ht="28.8" outlineLevel="1">
      <c r="A116" s="128" t="s">
        <v>720</v>
      </c>
      <c r="B116" s="123" t="s">
        <v>230</v>
      </c>
      <c r="C116" s="123" t="s">
        <v>132</v>
      </c>
      <c r="D116" s="123"/>
      <c r="E116" s="123"/>
      <c r="F116" s="125">
        <f>VLOOKUP(Table2[Function], Table1[], 5, FALSE)</f>
        <v>1.2699289864428662</v>
      </c>
      <c r="G116" s="168" t="s">
        <v>360</v>
      </c>
      <c r="H116" s="318" t="s">
        <v>36</v>
      </c>
      <c r="I116" s="122" t="s">
        <v>63</v>
      </c>
      <c r="J116" s="124">
        <f t="shared" si="6"/>
        <v>0.2</v>
      </c>
      <c r="K116" s="125">
        <f>Table2[[#This Row],[λ]]*Table2[[#This Row],[Failure rate distribution]]</f>
        <v>0.25398579728857323</v>
      </c>
      <c r="L116" s="318" t="s">
        <v>63</v>
      </c>
      <c r="M116" s="20" t="str">
        <f>VLOOKUP(Table2[[#This Row],[Applicable Safety mechanism]],Table3[],2,FALSE)</f>
        <v>Not applicable</v>
      </c>
      <c r="N116" s="21" t="str">
        <f>VLOOKUP(Table2[[#This Row],[Applicable Safety mechanism]], Table3[], 3,FALSE)</f>
        <v>-</v>
      </c>
      <c r="O116" s="16">
        <f>VLOOKUP(Table2[[#This Row],[Applicable Safety mechanism]], Table3[], 6,FALSE)</f>
        <v>0</v>
      </c>
      <c r="P116" s="126">
        <f>IF(Table2[[#This Row],[Failure mode that has the potential to violate the safety goal in absence of safety mechanism?]]="Yes", Table2[[#This Row],[Failure mode rate]]*(1-Table2[[#This Row],[Failure mode coverage wrt. violation of safety goals]]), 0)</f>
        <v>0</v>
      </c>
      <c r="Q116" s="318" t="s">
        <v>36</v>
      </c>
      <c r="R116" s="122"/>
      <c r="S116" s="318"/>
      <c r="T116" s="170"/>
      <c r="U116" s="16"/>
      <c r="V116" s="125">
        <f>IF(Table2[[#This Row],[Failure mode that may lead to the violation of safety goals in combination with an independent failure of another block ?]]="Yes",(1-Table2[[#This Row],[Failure mode coverage with respect to latent failures]])*Table2[[#This Row],[Failure mode rate]], 0)</f>
        <v>0</v>
      </c>
      <c r="W116" s="123"/>
      <c r="X116" s="339"/>
      <c r="Y116" s="125">
        <f>IF(Table2[[#This Row],[SR]]="Yes",Table2[[#This Row],[λ]], 0)</f>
        <v>0</v>
      </c>
    </row>
    <row r="117" spans="1:25" ht="28.8">
      <c r="A117" s="18" t="s">
        <v>721</v>
      </c>
      <c r="B117" s="31" t="s">
        <v>230</v>
      </c>
      <c r="C117" s="31" t="s">
        <v>132</v>
      </c>
      <c r="D117" s="11" t="s">
        <v>63</v>
      </c>
      <c r="E117" s="11"/>
      <c r="F117" s="125">
        <f>VLOOKUP(Table2[Function], Table1[], 5, FALSE)</f>
        <v>1.2699289864428662</v>
      </c>
      <c r="G117" s="122" t="s">
        <v>63</v>
      </c>
      <c r="H117" s="318" t="s">
        <v>63</v>
      </c>
      <c r="I117" s="122" t="s">
        <v>63</v>
      </c>
      <c r="J117" s="122" t="s">
        <v>63</v>
      </c>
      <c r="K117" s="125" t="s">
        <v>63</v>
      </c>
      <c r="L117" s="318" t="s">
        <v>63</v>
      </c>
      <c r="M117" s="122" t="s">
        <v>63</v>
      </c>
      <c r="N117" s="122" t="s">
        <v>63</v>
      </c>
      <c r="O117" s="122" t="s">
        <v>63</v>
      </c>
      <c r="P117" s="122" t="s">
        <v>63</v>
      </c>
      <c r="Q117" s="318" t="s">
        <v>63</v>
      </c>
      <c r="R117" s="11"/>
      <c r="S117" s="318"/>
      <c r="T117" s="170"/>
      <c r="U117" s="122"/>
      <c r="V117" s="122"/>
      <c r="W117" s="122"/>
      <c r="X117" s="339"/>
      <c r="Y117" s="125"/>
    </row>
    <row r="118" spans="1:25" ht="43.2" outlineLevel="1">
      <c r="A118" s="128" t="s">
        <v>722</v>
      </c>
      <c r="B118" s="34" t="s">
        <v>231</v>
      </c>
      <c r="C118" s="34" t="s">
        <v>133</v>
      </c>
      <c r="D118" s="34" t="s">
        <v>214</v>
      </c>
      <c r="E118" s="34" t="s">
        <v>211</v>
      </c>
      <c r="F118" s="153">
        <f>VLOOKUP(Table2[Function], Table1[], 5, FALSE)</f>
        <v>1.2699289864428662</v>
      </c>
      <c r="G118" s="152" t="s">
        <v>337</v>
      </c>
      <c r="H118" s="318" t="s">
        <v>36</v>
      </c>
      <c r="I118" s="122" t="s">
        <v>63</v>
      </c>
      <c r="J118" s="124">
        <f>1/7</f>
        <v>0.14285714285714285</v>
      </c>
      <c r="K118" s="17">
        <f>Table2[[#This Row],[λ]]*Table2[[#This Row],[Failure rate distribution]]</f>
        <v>0.18141842663469515</v>
      </c>
      <c r="L118" s="318" t="s">
        <v>63</v>
      </c>
      <c r="M118" s="20" t="str">
        <f>VLOOKUP(Table2[[#This Row],[Applicable Safety mechanism]],Table3[],2,FALSE)</f>
        <v>Not applicable</v>
      </c>
      <c r="N118" s="21" t="str">
        <f>VLOOKUP(Table2[[#This Row],[Applicable Safety mechanism]], Table3[], 3,FALSE)</f>
        <v>-</v>
      </c>
      <c r="O118" s="16">
        <f>VLOOKUP(Table2[[#This Row],[Applicable Safety mechanism]], Table3[], 6,FALSE)</f>
        <v>0</v>
      </c>
      <c r="P118" s="22">
        <f>IF(Table2[[#This Row],[Failure mode that has the potential to violate the safety goal in absence of safety mechanism?]]="Yes", Table2[[#This Row],[Failure mode rate]]*(1-Table2[[#This Row],[Failure mode coverage wrt. violation of safety goals]]), 0)</f>
        <v>0</v>
      </c>
      <c r="Q118" s="318" t="s">
        <v>35</v>
      </c>
      <c r="R118" s="122" t="s">
        <v>465</v>
      </c>
      <c r="S118" s="318" t="s">
        <v>46</v>
      </c>
      <c r="T118" s="171" t="str">
        <f>VLOOKUP(Table2[[#This Row],[Detection means ? Safety mechanism(s) allowing to prevent the failure mode from being latent ?]],Table3[],2,FALSE)</f>
        <v>Voltage supervisor
(Monitoring of output voltage) logical level</v>
      </c>
      <c r="U118" s="16">
        <f>VLOOKUP(Table2[[#This Row],[Detection means ? Safety mechanism(s) allowing to prevent the failure mode from being latent ?]], Table3[], 6,FALSE)</f>
        <v>0.99</v>
      </c>
      <c r="V118" s="125">
        <f>IF(Table2[[#This Row],[Failure mode that may lead to the violation of safety goals in combination with an independent failure of another block ?]]="Yes",(1-Table2[[#This Row],[Failure mode coverage with respect to latent failures]])*Table2[[#This Row],[Failure mode rate]], 0)</f>
        <v>1.8141842663469531E-3</v>
      </c>
      <c r="W118" s="12"/>
      <c r="X118" s="339" t="s">
        <v>35</v>
      </c>
      <c r="Y118" s="125">
        <f>IF(Table2[[#This Row],[SR]]="Yes",Table2[[#This Row],[λ]], 0)</f>
        <v>1.2699289864428662</v>
      </c>
    </row>
    <row r="119" spans="1:25" outlineLevel="1">
      <c r="A119" s="18" t="s">
        <v>723</v>
      </c>
      <c r="B119" s="34" t="s">
        <v>231</v>
      </c>
      <c r="C119" s="34" t="s">
        <v>133</v>
      </c>
      <c r="D119" s="34"/>
      <c r="E119" s="34"/>
      <c r="F119" s="153">
        <f>VLOOKUP(Table2[Function], Table1[], 5, FALSE)</f>
        <v>1.2699289864428662</v>
      </c>
      <c r="G119" s="152" t="s">
        <v>536</v>
      </c>
      <c r="H119" s="318" t="s">
        <v>36</v>
      </c>
      <c r="I119" s="122" t="s">
        <v>63</v>
      </c>
      <c r="J119" s="124">
        <f t="shared" ref="J119:J124" si="7">1/7</f>
        <v>0.14285714285714285</v>
      </c>
      <c r="K119" s="125">
        <f>Table2[[#This Row],[λ]]*Table2[[#This Row],[Failure rate distribution]]</f>
        <v>0.18141842663469515</v>
      </c>
      <c r="L119" s="318" t="s">
        <v>63</v>
      </c>
      <c r="M119" s="20" t="str">
        <f>VLOOKUP(Table2[[#This Row],[Applicable Safety mechanism]],Table3[],2,FALSE)</f>
        <v>Not applicable</v>
      </c>
      <c r="N119" s="21" t="str">
        <f>VLOOKUP(Table2[[#This Row],[Applicable Safety mechanism]], Table3[], 3,FALSE)</f>
        <v>-</v>
      </c>
      <c r="O119" s="16">
        <f>VLOOKUP(Table2[[#This Row],[Applicable Safety mechanism]], Table3[], 6,FALSE)</f>
        <v>0</v>
      </c>
      <c r="P119" s="126">
        <f>IF(Table2[[#This Row],[Failure mode that has the potential to violate the safety goal in absence of safety mechanism?]]="Yes", Table2[[#This Row],[Failure mode rate]]*(1-Table2[[#This Row],[Failure mode coverage wrt. violation of safety goals]]), 0)</f>
        <v>0</v>
      </c>
      <c r="Q119" s="318" t="s">
        <v>35</v>
      </c>
      <c r="R119" s="122" t="s">
        <v>465</v>
      </c>
      <c r="S119" s="318" t="s">
        <v>51</v>
      </c>
      <c r="T119" s="171" t="str">
        <f>VLOOKUP(Table2[[#This Row],[Detection means ? Safety mechanism(s) allowing to prevent the failure mode from being latent ?]],Table3[],2,FALSE)</f>
        <v>Majority voter (triplication)</v>
      </c>
      <c r="U119" s="16">
        <f>VLOOKUP(Table2[[#This Row],[Detection means ? Safety mechanism(s) allowing to prevent the failure mode from being latent ?]], Table3[], 6,FALSE)</f>
        <v>0.99</v>
      </c>
      <c r="V119" s="125">
        <f>IF(Table2[[#This Row],[Failure mode that may lead to the violation of safety goals in combination with an independent failure of another block ?]]="Yes",(1-Table2[[#This Row],[Failure mode coverage with respect to latent failures]])*Table2[[#This Row],[Failure mode rate]], 0)</f>
        <v>1.8141842663469531E-3</v>
      </c>
      <c r="W119" s="123"/>
      <c r="X119" s="339"/>
      <c r="Y119" s="125">
        <f>IF(Table2[[#This Row],[SR]]="Yes",Table2[[#This Row],[λ]], 0)</f>
        <v>0</v>
      </c>
    </row>
    <row r="120" spans="1:25" outlineLevel="1">
      <c r="A120" s="128" t="s">
        <v>724</v>
      </c>
      <c r="B120" s="123" t="s">
        <v>231</v>
      </c>
      <c r="C120" s="123" t="s">
        <v>133</v>
      </c>
      <c r="D120" s="123"/>
      <c r="E120" s="123"/>
      <c r="F120" s="125">
        <f>VLOOKUP(Table2[Function], Table1[], 5, FALSE)</f>
        <v>1.2699289864428662</v>
      </c>
      <c r="G120" s="19" t="s">
        <v>134</v>
      </c>
      <c r="H120" s="318" t="s">
        <v>36</v>
      </c>
      <c r="I120" s="122" t="s">
        <v>63</v>
      </c>
      <c r="J120" s="124">
        <f t="shared" si="7"/>
        <v>0.14285714285714285</v>
      </c>
      <c r="K120" s="17">
        <f>Table2[[#This Row],[λ]]*Table2[[#This Row],[Failure rate distribution]]</f>
        <v>0.18141842663469515</v>
      </c>
      <c r="L120" s="318" t="s">
        <v>63</v>
      </c>
      <c r="M120" s="20" t="str">
        <f>VLOOKUP(Table2[[#This Row],[Applicable Safety mechanism]],Table3[],2,FALSE)</f>
        <v>Not applicable</v>
      </c>
      <c r="N120" s="21" t="str">
        <f>VLOOKUP(Table2[[#This Row],[Applicable Safety mechanism]], Table3[], 3,FALSE)</f>
        <v>-</v>
      </c>
      <c r="O120" s="16">
        <f>VLOOKUP(Table2[[#This Row],[Applicable Safety mechanism]], Table3[], 6,FALSE)</f>
        <v>0</v>
      </c>
      <c r="P120" s="22">
        <f>IF(Table2[[#This Row],[Failure mode that has the potential to violate the safety goal in absence of safety mechanism?]]="Yes", Table2[[#This Row],[Failure mode rate]]*(1-Table2[[#This Row],[Failure mode coverage wrt. violation of safety goals]]), 0)</f>
        <v>0</v>
      </c>
      <c r="Q120" s="318" t="s">
        <v>36</v>
      </c>
      <c r="R120" s="122"/>
      <c r="S120" s="318"/>
      <c r="T120" s="170"/>
      <c r="U120" s="16"/>
      <c r="V120" s="125">
        <f>IF(Table2[[#This Row],[Failure mode that may lead to the violation of safety goals in combination with an independent failure of another block ?]]="Yes",(1-Table2[[#This Row],[Failure mode coverage with respect to latent failures]])*Table2[[#This Row],[Failure mode rate]], 0)</f>
        <v>0</v>
      </c>
      <c r="W120" s="170" t="s">
        <v>221</v>
      </c>
      <c r="X120" s="339"/>
      <c r="Y120" s="125">
        <f>IF(Table2[[#This Row],[SR]]="Yes",Table2[[#This Row],[λ]], 0)</f>
        <v>0</v>
      </c>
    </row>
    <row r="121" spans="1:25" outlineLevel="1">
      <c r="A121" s="18" t="s">
        <v>725</v>
      </c>
      <c r="B121" s="123" t="s">
        <v>231</v>
      </c>
      <c r="C121" s="123" t="s">
        <v>133</v>
      </c>
      <c r="D121" s="12"/>
      <c r="E121" s="12"/>
      <c r="F121" s="125">
        <f>VLOOKUP(Table2[Function], Table1[], 5, FALSE)</f>
        <v>1.2699289864428662</v>
      </c>
      <c r="G121" s="19" t="s">
        <v>481</v>
      </c>
      <c r="H121" s="318" t="s">
        <v>36</v>
      </c>
      <c r="I121" s="122" t="s">
        <v>63</v>
      </c>
      <c r="J121" s="124">
        <f t="shared" si="7"/>
        <v>0.14285714285714285</v>
      </c>
      <c r="K121" s="17">
        <f>Table2[[#This Row],[λ]]*Table2[[#This Row],[Failure rate distribution]]</f>
        <v>0.18141842663469515</v>
      </c>
      <c r="L121" s="318" t="s">
        <v>63</v>
      </c>
      <c r="M121" s="20" t="str">
        <f>VLOOKUP(Table2[[#This Row],[Applicable Safety mechanism]],Table3[],2,FALSE)</f>
        <v>Not applicable</v>
      </c>
      <c r="N121" s="21" t="str">
        <f>VLOOKUP(Table2[[#This Row],[Applicable Safety mechanism]], Table3[], 3,FALSE)</f>
        <v>-</v>
      </c>
      <c r="O121" s="16">
        <f>VLOOKUP(Table2[[#This Row],[Applicable Safety mechanism]], Table3[], 6,FALSE)</f>
        <v>0</v>
      </c>
      <c r="P121" s="22">
        <f>IF(Table2[[#This Row],[Failure mode that has the potential to violate the safety goal in absence of safety mechanism?]]="Yes", Table2[[#This Row],[Failure mode rate]]*(1-Table2[[#This Row],[Failure mode coverage wrt. violation of safety goals]]), 0)</f>
        <v>0</v>
      </c>
      <c r="Q121" s="318" t="s">
        <v>36</v>
      </c>
      <c r="R121" s="11"/>
      <c r="S121" s="318"/>
      <c r="T121" s="170"/>
      <c r="U121" s="16"/>
      <c r="V121" s="125">
        <f>IF(Table2[[#This Row],[Failure mode that may lead to the violation of safety goals in combination with an independent failure of another block ?]]="Yes",(1-Table2[[#This Row],[Failure mode coverage with respect to latent failures]])*Table2[[#This Row],[Failure mode rate]], 0)</f>
        <v>0</v>
      </c>
      <c r="W121" s="170"/>
      <c r="X121" s="339"/>
      <c r="Y121" s="125">
        <f>IF(Table2[[#This Row],[SR]]="Yes",Table2[[#This Row],[λ]], 0)</f>
        <v>0</v>
      </c>
    </row>
    <row r="122" spans="1:25" ht="43.2" outlineLevel="1">
      <c r="A122" s="128" t="s">
        <v>726</v>
      </c>
      <c r="B122" s="123" t="s">
        <v>231</v>
      </c>
      <c r="C122" s="123" t="s">
        <v>133</v>
      </c>
      <c r="D122" s="12"/>
      <c r="E122" s="12"/>
      <c r="F122" s="125">
        <f>VLOOKUP(Table2[Function], Table1[], 5, FALSE)</f>
        <v>1.2699289864428662</v>
      </c>
      <c r="G122" s="33" t="s">
        <v>244</v>
      </c>
      <c r="H122" s="318" t="s">
        <v>36</v>
      </c>
      <c r="I122" s="122" t="s">
        <v>63</v>
      </c>
      <c r="J122" s="124">
        <f t="shared" si="7"/>
        <v>0.14285714285714285</v>
      </c>
      <c r="K122" s="17">
        <f>Table2[[#This Row],[λ]]*Table2[[#This Row],[Failure rate distribution]]</f>
        <v>0.18141842663469515</v>
      </c>
      <c r="L122" s="318" t="s">
        <v>63</v>
      </c>
      <c r="M122" s="20" t="str">
        <f>VLOOKUP(Table2[[#This Row],[Applicable Safety mechanism]],Table3[],2,FALSE)</f>
        <v>Not applicable</v>
      </c>
      <c r="N122" s="21" t="str">
        <f>VLOOKUP(Table2[[#This Row],[Applicable Safety mechanism]], Table3[], 3,FALSE)</f>
        <v>-</v>
      </c>
      <c r="O122" s="16">
        <f>VLOOKUP(Table2[[#This Row],[Applicable Safety mechanism]], Table3[], 6,FALSE)</f>
        <v>0</v>
      </c>
      <c r="P122" s="22">
        <f>IF(Table2[[#This Row],[Failure mode that has the potential to violate the safety goal in absence of safety mechanism?]]="Yes", Table2[[#This Row],[Failure mode rate]]*(1-Table2[[#This Row],[Failure mode coverage wrt. violation of safety goals]]), 0)</f>
        <v>0</v>
      </c>
      <c r="Q122" s="318" t="s">
        <v>35</v>
      </c>
      <c r="R122" s="122" t="s">
        <v>465</v>
      </c>
      <c r="S122" s="318" t="s">
        <v>46</v>
      </c>
      <c r="T122" s="171" t="str">
        <f>VLOOKUP(Table2[[#This Row],[Detection means ? Safety mechanism(s) allowing to prevent the failure mode from being latent ?]],Table3[],2,FALSE)</f>
        <v>Voltage supervisor
(Monitoring of output voltage) logical level</v>
      </c>
      <c r="U122" s="16">
        <f>VLOOKUP(Table2[[#This Row],[Detection means ? Safety mechanism(s) allowing to prevent the failure mode from being latent ?]], Table3[], 6,FALSE)</f>
        <v>0.99</v>
      </c>
      <c r="V122" s="125">
        <f>IF(Table2[[#This Row],[Failure mode that may lead to the violation of safety goals in combination with an independent failure of another block ?]]="Yes",(1-Table2[[#This Row],[Failure mode coverage with respect to latent failures]])*Table2[[#This Row],[Failure mode rate]], 0)</f>
        <v>1.8141842663469531E-3</v>
      </c>
      <c r="W122" s="12"/>
      <c r="X122" s="339"/>
      <c r="Y122" s="125">
        <f>IF(Table2[[#This Row],[SR]]="Yes",Table2[[#This Row],[λ]], 0)</f>
        <v>0</v>
      </c>
    </row>
    <row r="123" spans="1:25" ht="43.2" outlineLevel="1">
      <c r="A123" s="18" t="s">
        <v>727</v>
      </c>
      <c r="B123" s="123" t="s">
        <v>231</v>
      </c>
      <c r="C123" s="123" t="s">
        <v>133</v>
      </c>
      <c r="D123" s="12"/>
      <c r="E123" s="12"/>
      <c r="F123" s="125">
        <f>VLOOKUP(Table2[Function], Table1[], 5, FALSE)</f>
        <v>1.2699289864428662</v>
      </c>
      <c r="G123" s="19" t="s">
        <v>135</v>
      </c>
      <c r="H123" s="318" t="s">
        <v>36</v>
      </c>
      <c r="I123" s="122" t="s">
        <v>63</v>
      </c>
      <c r="J123" s="124">
        <f t="shared" si="7"/>
        <v>0.14285714285714285</v>
      </c>
      <c r="K123" s="17">
        <f>Table2[[#This Row],[λ]]*Table2[[#This Row],[Failure rate distribution]]</f>
        <v>0.18141842663469515</v>
      </c>
      <c r="L123" s="318" t="s">
        <v>63</v>
      </c>
      <c r="M123" s="20" t="str">
        <f>VLOOKUP(Table2[[#This Row],[Applicable Safety mechanism]],Table3[],2,FALSE)</f>
        <v>Not applicable</v>
      </c>
      <c r="N123" s="21" t="str">
        <f>VLOOKUP(Table2[[#This Row],[Applicable Safety mechanism]], Table3[], 3,FALSE)</f>
        <v>-</v>
      </c>
      <c r="O123" s="16">
        <f>VLOOKUP(Table2[[#This Row],[Applicable Safety mechanism]], Table3[], 6,FALSE)</f>
        <v>0</v>
      </c>
      <c r="P123" s="22">
        <f>IF(Table2[[#This Row],[Failure mode that has the potential to violate the safety goal in absence of safety mechanism?]]="Yes", Table2[[#This Row],[Failure mode rate]]*(1-Table2[[#This Row],[Failure mode coverage wrt. violation of safety goals]]), 0)</f>
        <v>0</v>
      </c>
      <c r="Q123" s="318" t="s">
        <v>35</v>
      </c>
      <c r="R123" s="122" t="s">
        <v>465</v>
      </c>
      <c r="S123" s="318" t="s">
        <v>408</v>
      </c>
      <c r="T123" s="171" t="str">
        <f>VLOOKUP(Table2[[#This Row],[Detection means ? Safety mechanism(s) allowing to prevent the failure mode from being latent ?]],Table3[],2,FALSE)</f>
        <v xml:space="preserve">Software FS0b request to verify the good activation of FS0b before starting the application </v>
      </c>
      <c r="U123" s="16">
        <f>VLOOKUP(Table2[[#This Row],[Detection means ? Safety mechanism(s) allowing to prevent the failure mode from being latent ?]], Table3[], 6,FALSE)</f>
        <v>0.99</v>
      </c>
      <c r="V123" s="125">
        <f>IF(Table2[[#This Row],[Failure mode that may lead to the violation of safety goals in combination with an independent failure of another block ?]]="Yes",(1-Table2[[#This Row],[Failure mode coverage with respect to latent failures]])*Table2[[#This Row],[Failure mode rate]], 0)</f>
        <v>1.8141842663469531E-3</v>
      </c>
      <c r="W123" s="12"/>
      <c r="X123" s="339"/>
      <c r="Y123" s="125">
        <f>IF(Table2[[#This Row],[SR]]="Yes",Table2[[#This Row],[λ]], 0)</f>
        <v>0</v>
      </c>
    </row>
    <row r="124" spans="1:25" ht="43.2" outlineLevel="1">
      <c r="A124" s="128" t="s">
        <v>728</v>
      </c>
      <c r="B124" s="123" t="s">
        <v>231</v>
      </c>
      <c r="C124" s="123" t="s">
        <v>133</v>
      </c>
      <c r="D124" s="123"/>
      <c r="E124" s="123"/>
      <c r="F124" s="125">
        <f>VLOOKUP(Table2[Function], Table1[], 5, FALSE)</f>
        <v>1.2699289864428662</v>
      </c>
      <c r="G124" s="168" t="s">
        <v>359</v>
      </c>
      <c r="H124" s="318" t="s">
        <v>36</v>
      </c>
      <c r="I124" s="122" t="s">
        <v>63</v>
      </c>
      <c r="J124" s="124">
        <f t="shared" si="7"/>
        <v>0.14285714285714285</v>
      </c>
      <c r="K124" s="125">
        <f>Table2[[#This Row],[λ]]*Table2[[#This Row],[Failure rate distribution]]</f>
        <v>0.18141842663469515</v>
      </c>
      <c r="L124" s="318" t="s">
        <v>63</v>
      </c>
      <c r="M124" s="20" t="str">
        <f>VLOOKUP(Table2[[#This Row],[Applicable Safety mechanism]],Table3[],2,FALSE)</f>
        <v>Not applicable</v>
      </c>
      <c r="N124" s="21" t="str">
        <f>VLOOKUP(Table2[[#This Row],[Applicable Safety mechanism]], Table3[], 3,FALSE)</f>
        <v>-</v>
      </c>
      <c r="O124" s="16">
        <f>VLOOKUP(Table2[[#This Row],[Applicable Safety mechanism]], Table3[], 6,FALSE)</f>
        <v>0</v>
      </c>
      <c r="P124" s="126">
        <f>IF(Table2[[#This Row],[Failure mode that has the potential to violate the safety goal in absence of safety mechanism?]]="Yes", Table2[[#This Row],[Failure mode rate]]*(1-Table2[[#This Row],[Failure mode coverage wrt. violation of safety goals]]), 0)</f>
        <v>0</v>
      </c>
      <c r="Q124" s="318" t="s">
        <v>35</v>
      </c>
      <c r="R124" s="122" t="s">
        <v>465</v>
      </c>
      <c r="S124" s="318" t="s">
        <v>46</v>
      </c>
      <c r="T124" s="171" t="str">
        <f>VLOOKUP(Table2[[#This Row],[Detection means ? Safety mechanism(s) allowing to prevent the failure mode from being latent ?]],Table3[],2,FALSE)</f>
        <v>Voltage supervisor
(Monitoring of output voltage) logical level</v>
      </c>
      <c r="U124" s="16">
        <f>VLOOKUP(Table2[[#This Row],[Detection means ? Safety mechanism(s) allowing to prevent the failure mode from being latent ?]], Table3[], 6,FALSE)</f>
        <v>0.99</v>
      </c>
      <c r="V124" s="125">
        <f>IF(Table2[[#This Row],[Failure mode that may lead to the violation of safety goals in combination with an independent failure of another block ?]]="Yes",(1-Table2[[#This Row],[Failure mode coverage with respect to latent failures]])*Table2[[#This Row],[Failure mode rate]], 0)</f>
        <v>1.8141842663469531E-3</v>
      </c>
      <c r="W124" s="123"/>
      <c r="X124" s="339"/>
      <c r="Y124" s="125">
        <f>IF(Table2[[#This Row],[SR]]="Yes",Table2[[#This Row],[λ]], 0)</f>
        <v>0</v>
      </c>
    </row>
    <row r="125" spans="1:25" ht="35.25" customHeight="1">
      <c r="A125" s="18" t="s">
        <v>729</v>
      </c>
      <c r="B125" s="130" t="s">
        <v>231</v>
      </c>
      <c r="C125" s="130" t="s">
        <v>133</v>
      </c>
      <c r="D125" s="123" t="s">
        <v>63</v>
      </c>
      <c r="E125" s="123"/>
      <c r="F125" s="125"/>
      <c r="G125" s="190" t="s">
        <v>63</v>
      </c>
      <c r="H125" s="318" t="s">
        <v>63</v>
      </c>
      <c r="I125" s="122" t="s">
        <v>63</v>
      </c>
      <c r="J125" s="124" t="s">
        <v>63</v>
      </c>
      <c r="K125" s="125" t="s">
        <v>63</v>
      </c>
      <c r="L125" s="318" t="s">
        <v>63</v>
      </c>
      <c r="M125" s="21" t="s">
        <v>63</v>
      </c>
      <c r="N125" s="21" t="s">
        <v>63</v>
      </c>
      <c r="O125" s="16" t="s">
        <v>63</v>
      </c>
      <c r="P125" s="126" t="s">
        <v>63</v>
      </c>
      <c r="Q125" s="318" t="s">
        <v>63</v>
      </c>
      <c r="R125" s="122"/>
      <c r="S125" s="318"/>
      <c r="T125" s="171"/>
      <c r="U125" s="122"/>
      <c r="V125" s="122"/>
      <c r="W125" s="122"/>
      <c r="X125" s="339"/>
      <c r="Y125" s="125"/>
    </row>
    <row r="126" spans="1:25" ht="43.2" outlineLevel="1">
      <c r="A126" s="128" t="s">
        <v>730</v>
      </c>
      <c r="B126" s="34" t="s">
        <v>397</v>
      </c>
      <c r="C126" s="123" t="s">
        <v>413</v>
      </c>
      <c r="D126" s="123" t="s">
        <v>494</v>
      </c>
      <c r="E126" s="123" t="s">
        <v>211</v>
      </c>
      <c r="F126" s="125">
        <f>VLOOKUP(Table2[Function], Table1[], 5, FALSE)</f>
        <v>1.3391349257585539</v>
      </c>
      <c r="G126" s="168" t="s">
        <v>417</v>
      </c>
      <c r="H126" s="318" t="s">
        <v>36</v>
      </c>
      <c r="I126" s="122" t="s">
        <v>63</v>
      </c>
      <c r="J126" s="124">
        <f>1/7</f>
        <v>0.14285714285714285</v>
      </c>
      <c r="K126" s="125">
        <f>Table2[[#This Row],[λ]]*Table2[[#This Row],[Failure rate distribution]]</f>
        <v>0.19130498939407911</v>
      </c>
      <c r="L126" s="318" t="s">
        <v>63</v>
      </c>
      <c r="M126" s="20" t="str">
        <f>VLOOKUP(Table2[[#This Row],[Applicable Safety mechanism]],Table3[],2,FALSE)</f>
        <v>Not applicable</v>
      </c>
      <c r="N126" s="21" t="str">
        <f>VLOOKUP(Table2[[#This Row],[Applicable Safety mechanism]], Table3[], 3,FALSE)</f>
        <v>-</v>
      </c>
      <c r="O126" s="16">
        <f>VLOOKUP(Table2[[#This Row],[Applicable Safety mechanism]], Table3[], 6,FALSE)</f>
        <v>0</v>
      </c>
      <c r="P126" s="126">
        <f>IF(Table2[[#This Row],[Failure mode that has the potential to violate the safety goal in absence of safety mechanism?]]="Yes", Table2[[#This Row],[Failure mode rate]]*(1-Table2[[#This Row],[Failure mode coverage wrt. violation of safety goals]]), 0)</f>
        <v>0</v>
      </c>
      <c r="Q126" s="332" t="str">
        <f>'Safety Mechanisms'!E12</f>
        <v>Yes</v>
      </c>
      <c r="R126" s="122" t="s">
        <v>465</v>
      </c>
      <c r="S126" s="318" t="s">
        <v>46</v>
      </c>
      <c r="T126" s="171" t="str">
        <f>VLOOKUP(Table2[[#This Row],[Detection means ? Safety mechanism(s) allowing to prevent the failure mode from being latent ?]],Table3[],2,FALSE)</f>
        <v>Voltage supervisor
(Monitoring of output voltage) logical level</v>
      </c>
      <c r="U126" s="16">
        <f>VLOOKUP(Table2[[#This Row],[Detection means ? Safety mechanism(s) allowing to prevent the failure mode from being latent ?]], Table3[], 6,FALSE)</f>
        <v>0.99</v>
      </c>
      <c r="V126" s="125">
        <f>IF(Table2[[#This Row],[Failure mode that may lead to the violation of safety goals in combination with an independent failure of another block ?]]="Yes",(1-Table2[[#This Row],[Failure mode coverage with respect to latent failures]])*Table2[[#This Row],[Failure mode rate]], 0)</f>
        <v>1.9130498939407929E-3</v>
      </c>
      <c r="W126" s="123"/>
      <c r="X126" s="332" t="str">
        <f>'Safety Mechanisms'!E12</f>
        <v>Yes</v>
      </c>
      <c r="Y126" s="125">
        <f>IF(Table2[[#This Row],[SR]]="Yes",Table2[[#This Row],[λ]], 0)</f>
        <v>1.3391349257585539</v>
      </c>
    </row>
    <row r="127" spans="1:25" outlineLevel="1">
      <c r="A127" s="18" t="s">
        <v>731</v>
      </c>
      <c r="B127" s="123" t="s">
        <v>397</v>
      </c>
      <c r="C127" s="123" t="s">
        <v>413</v>
      </c>
      <c r="D127" s="123"/>
      <c r="E127" s="123"/>
      <c r="F127" s="125">
        <f>VLOOKUP(Table2[Function], Table1[], 5, FALSE)</f>
        <v>1.3391349257585539</v>
      </c>
      <c r="G127" s="19" t="s">
        <v>414</v>
      </c>
      <c r="H127" s="318" t="s">
        <v>36</v>
      </c>
      <c r="I127" s="122" t="s">
        <v>63</v>
      </c>
      <c r="J127" s="124">
        <f t="shared" ref="J127:J132" si="8">1/7</f>
        <v>0.14285714285714285</v>
      </c>
      <c r="K127" s="125">
        <f>Table2[[#This Row],[λ]]*Table2[[#This Row],[Failure rate distribution]]</f>
        <v>0.19130498939407911</v>
      </c>
      <c r="L127" s="318" t="s">
        <v>63</v>
      </c>
      <c r="M127" s="20" t="str">
        <f>VLOOKUP(Table2[[#This Row],[Applicable Safety mechanism]],Table3[],2,FALSE)</f>
        <v>Not applicable</v>
      </c>
      <c r="N127" s="21" t="str">
        <f>VLOOKUP(Table2[[#This Row],[Applicable Safety mechanism]], Table3[], 3,FALSE)</f>
        <v>-</v>
      </c>
      <c r="O127" s="16">
        <f>VLOOKUP(Table2[[#This Row],[Applicable Safety mechanism]], Table3[], 6,FALSE)</f>
        <v>0</v>
      </c>
      <c r="P127" s="126">
        <f>IF(Table2[[#This Row],[Failure mode that has the potential to violate the safety goal in absence of safety mechanism?]]="Yes", Table2[[#This Row],[Failure mode rate]]*(1-Table2[[#This Row],[Failure mode coverage wrt. violation of safety goals]]), 0)</f>
        <v>0</v>
      </c>
      <c r="Q127" s="318" t="s">
        <v>36</v>
      </c>
      <c r="R127" s="122"/>
      <c r="S127" s="318"/>
      <c r="T127" s="170"/>
      <c r="U127" s="16"/>
      <c r="V127" s="125">
        <f>IF(Table2[[#This Row],[Failure mode that may lead to the violation of safety goals in combination with an independent failure of another block ?]]="Yes",(1-Table2[[#This Row],[Failure mode coverage with respect to latent failures]])*Table2[[#This Row],[Failure mode rate]], 0)</f>
        <v>0</v>
      </c>
      <c r="W127" s="123" t="s">
        <v>221</v>
      </c>
      <c r="X127" s="339"/>
      <c r="Y127" s="125">
        <f>IF(Table2[[#This Row],[SR]]="Yes",Table2[[#This Row],[λ]], 0)</f>
        <v>0</v>
      </c>
    </row>
    <row r="128" spans="1:25" ht="43.2" outlineLevel="1">
      <c r="A128" s="128" t="s">
        <v>732</v>
      </c>
      <c r="B128" s="123" t="s">
        <v>397</v>
      </c>
      <c r="C128" s="123" t="s">
        <v>413</v>
      </c>
      <c r="D128" s="123"/>
      <c r="E128" s="123"/>
      <c r="F128" s="125">
        <f>VLOOKUP(Table2[Function], Table1[], 5, FALSE)</f>
        <v>1.3391349257585539</v>
      </c>
      <c r="G128" s="19" t="s">
        <v>491</v>
      </c>
      <c r="H128" s="318" t="s">
        <v>36</v>
      </c>
      <c r="I128" s="122" t="s">
        <v>63</v>
      </c>
      <c r="J128" s="124">
        <f t="shared" si="8"/>
        <v>0.14285714285714285</v>
      </c>
      <c r="K128" s="125">
        <f>Table2[[#This Row],[λ]]*Table2[[#This Row],[Failure rate distribution]]</f>
        <v>0.19130498939407911</v>
      </c>
      <c r="L128" s="318" t="s">
        <v>63</v>
      </c>
      <c r="M128" s="20" t="str">
        <f>VLOOKUP(Table2[[#This Row],[Applicable Safety mechanism]],Table3[],2,FALSE)</f>
        <v>Not applicable</v>
      </c>
      <c r="N128" s="21" t="str">
        <f>VLOOKUP(Table2[[#This Row],[Applicable Safety mechanism]], Table3[], 3,FALSE)</f>
        <v>-</v>
      </c>
      <c r="O128" s="16">
        <f>VLOOKUP(Table2[[#This Row],[Applicable Safety mechanism]], Table3[], 6,FALSE)</f>
        <v>0</v>
      </c>
      <c r="P128" s="126">
        <f>IF(Table2[[#This Row],[Failure mode that has the potential to violate the safety goal in absence of safety mechanism?]]="Yes", Table2[[#This Row],[Failure mode rate]]*(1-Table2[[#This Row],[Failure mode coverage wrt. violation of safety goals]]), 0)</f>
        <v>0</v>
      </c>
      <c r="Q128" s="332" t="str">
        <f>'Safety Mechanisms'!E12</f>
        <v>Yes</v>
      </c>
      <c r="R128" s="122" t="s">
        <v>465</v>
      </c>
      <c r="S128" s="318" t="s">
        <v>46</v>
      </c>
      <c r="T128" s="171" t="str">
        <f>VLOOKUP(Table2[[#This Row],[Detection means ? Safety mechanism(s) allowing to prevent the failure mode from being latent ?]],Table3[],2,FALSE)</f>
        <v>Voltage supervisor
(Monitoring of output voltage) logical level</v>
      </c>
      <c r="U128" s="16">
        <f>VLOOKUP(Table2[[#This Row],[Detection means ? Safety mechanism(s) allowing to prevent the failure mode from being latent ?]], Table3[], 6,FALSE)</f>
        <v>0.99</v>
      </c>
      <c r="V128" s="125">
        <f>IF(Table2[[#This Row],[Failure mode that may lead to the violation of safety goals in combination with an independent failure of another block ?]]="Yes",(1-Table2[[#This Row],[Failure mode coverage with respect to latent failures]])*Table2[[#This Row],[Failure mode rate]], 0)</f>
        <v>1.9130498939407929E-3</v>
      </c>
      <c r="W128" s="123"/>
      <c r="X128" s="339"/>
      <c r="Y128" s="125">
        <f>IF(Table2[[#This Row],[SR]]="Yes",Table2[[#This Row],[λ]], 0)</f>
        <v>0</v>
      </c>
    </row>
    <row r="129" spans="1:25" ht="43.2" outlineLevel="1">
      <c r="A129" s="18" t="s">
        <v>733</v>
      </c>
      <c r="B129" s="123" t="s">
        <v>397</v>
      </c>
      <c r="C129" s="123" t="s">
        <v>413</v>
      </c>
      <c r="D129" s="123"/>
      <c r="E129" s="123"/>
      <c r="F129" s="125">
        <f>VLOOKUP(Table2[Function], Table1[], 5, FALSE)</f>
        <v>1.3391349257585539</v>
      </c>
      <c r="G129" s="168" t="s">
        <v>415</v>
      </c>
      <c r="H129" s="318" t="s">
        <v>36</v>
      </c>
      <c r="I129" s="122" t="s">
        <v>63</v>
      </c>
      <c r="J129" s="124">
        <f t="shared" si="8"/>
        <v>0.14285714285714285</v>
      </c>
      <c r="K129" s="125">
        <f>Table2[[#This Row],[λ]]*Table2[[#This Row],[Failure rate distribution]]</f>
        <v>0.19130498939407911</v>
      </c>
      <c r="L129" s="318" t="s">
        <v>63</v>
      </c>
      <c r="M129" s="20" t="str">
        <f>VLOOKUP(Table2[[#This Row],[Applicable Safety mechanism]],Table3[],2,FALSE)</f>
        <v>Not applicable</v>
      </c>
      <c r="N129" s="21" t="str">
        <f>VLOOKUP(Table2[[#This Row],[Applicable Safety mechanism]], Table3[], 3,FALSE)</f>
        <v>-</v>
      </c>
      <c r="O129" s="16">
        <f>VLOOKUP(Table2[[#This Row],[Applicable Safety mechanism]], Table3[], 6,FALSE)</f>
        <v>0</v>
      </c>
      <c r="P129" s="126">
        <f>IF(Table2[[#This Row],[Failure mode that has the potential to violate the safety goal in absence of safety mechanism?]]="Yes", Table2[[#This Row],[Failure mode rate]]*(1-Table2[[#This Row],[Failure mode coverage wrt. violation of safety goals]]), 0)</f>
        <v>0</v>
      </c>
      <c r="Q129" s="332" t="str">
        <f>'Safety Mechanisms'!E16</f>
        <v>Yes</v>
      </c>
      <c r="R129" s="122" t="s">
        <v>465</v>
      </c>
      <c r="S129" s="318" t="s">
        <v>409</v>
      </c>
      <c r="T129" s="171" t="str">
        <f>VLOOKUP(Table2[[#This Row],[Detection means ? Safety mechanism(s) allowing to prevent the failure mode from being latent ?]],Table3[],2,FALSE)</f>
        <v xml:space="preserve">Software FS1b request to verify the good activation of FS1b before starting the application </v>
      </c>
      <c r="U129" s="16">
        <f>VLOOKUP(Table2[[#This Row],[Detection means ? Safety mechanism(s) allowing to prevent the failure mode from being latent ?]], Table3[], 6,FALSE)</f>
        <v>0.99</v>
      </c>
      <c r="V129" s="125">
        <f>IF(Table2[[#This Row],[Failure mode that may lead to the violation of safety goals in combination with an independent failure of another block ?]]="Yes",(1-Table2[[#This Row],[Failure mode coverage with respect to latent failures]])*Table2[[#This Row],[Failure mode rate]], 0)</f>
        <v>1.9130498939407929E-3</v>
      </c>
      <c r="W129" s="123"/>
      <c r="X129" s="339"/>
      <c r="Y129" s="125">
        <f>IF(Table2[[#This Row],[SR]]="Yes",Table2[[#This Row],[λ]], 0)</f>
        <v>0</v>
      </c>
    </row>
    <row r="130" spans="1:25" ht="43.2" outlineLevel="1">
      <c r="A130" s="128" t="s">
        <v>734</v>
      </c>
      <c r="B130" s="123" t="s">
        <v>397</v>
      </c>
      <c r="C130" s="123" t="s">
        <v>413</v>
      </c>
      <c r="D130" s="123"/>
      <c r="E130" s="123"/>
      <c r="F130" s="125">
        <f>VLOOKUP(Table2[Function], Table1[], 5, FALSE)</f>
        <v>1.3391349257585539</v>
      </c>
      <c r="G130" s="19" t="s">
        <v>416</v>
      </c>
      <c r="H130" s="318" t="s">
        <v>36</v>
      </c>
      <c r="I130" s="122" t="s">
        <v>63</v>
      </c>
      <c r="J130" s="124">
        <f t="shared" si="8"/>
        <v>0.14285714285714285</v>
      </c>
      <c r="K130" s="125">
        <f>Table2[[#This Row],[λ]]*Table2[[#This Row],[Failure rate distribution]]</f>
        <v>0.19130498939407911</v>
      </c>
      <c r="L130" s="318" t="s">
        <v>63</v>
      </c>
      <c r="M130" s="20" t="str">
        <f>VLOOKUP(Table2[[#This Row],[Applicable Safety mechanism]],Table3[],2,FALSE)</f>
        <v>Not applicable</v>
      </c>
      <c r="N130" s="21" t="str">
        <f>VLOOKUP(Table2[[#This Row],[Applicable Safety mechanism]], Table3[], 3,FALSE)</f>
        <v>-</v>
      </c>
      <c r="O130" s="16">
        <f>VLOOKUP(Table2[[#This Row],[Applicable Safety mechanism]], Table3[], 6,FALSE)</f>
        <v>0</v>
      </c>
      <c r="P130" s="126">
        <f>IF(Table2[[#This Row],[Failure mode that has the potential to violate the safety goal in absence of safety mechanism?]]="Yes", Table2[[#This Row],[Failure mode rate]]*(1-Table2[[#This Row],[Failure mode coverage wrt. violation of safety goals]]), 0)</f>
        <v>0</v>
      </c>
      <c r="Q130" s="332" t="str">
        <f>'Safety Mechanisms'!E12</f>
        <v>Yes</v>
      </c>
      <c r="R130" s="122" t="s">
        <v>465</v>
      </c>
      <c r="S130" s="318" t="s">
        <v>46</v>
      </c>
      <c r="T130" s="171" t="str">
        <f>VLOOKUP(Table2[[#This Row],[Detection means ? Safety mechanism(s) allowing to prevent the failure mode from being latent ?]],Table3[],2,FALSE)</f>
        <v>Voltage supervisor
(Monitoring of output voltage) logical level</v>
      </c>
      <c r="U130" s="16">
        <f>VLOOKUP(Table2[[#This Row],[Detection means ? Safety mechanism(s) allowing to prevent the failure mode from being latent ?]], Table3[], 6,FALSE)</f>
        <v>0.99</v>
      </c>
      <c r="V130" s="125">
        <f>IF(Table2[[#This Row],[Failure mode that may lead to the violation of safety goals in combination with an independent failure of another block ?]]="Yes",(1-Table2[[#This Row],[Failure mode coverage with respect to latent failures]])*Table2[[#This Row],[Failure mode rate]], 0)</f>
        <v>1.9130498939407929E-3</v>
      </c>
      <c r="W130" s="123"/>
      <c r="X130" s="339"/>
      <c r="Y130" s="125">
        <f>IF(Table2[[#This Row],[SR]]="Yes",Table2[[#This Row],[λ]], 0)</f>
        <v>0</v>
      </c>
    </row>
    <row r="131" spans="1:25" ht="28.8" outlineLevel="1">
      <c r="A131" s="18" t="s">
        <v>735</v>
      </c>
      <c r="B131" s="123" t="s">
        <v>397</v>
      </c>
      <c r="C131" s="123" t="s">
        <v>413</v>
      </c>
      <c r="D131" s="123"/>
      <c r="E131" s="123"/>
      <c r="F131" s="125">
        <f>VLOOKUP(Table2[Function], Table1[], 5, FALSE)</f>
        <v>1.3391349257585539</v>
      </c>
      <c r="G131" s="152" t="s">
        <v>591</v>
      </c>
      <c r="H131" s="318" t="s">
        <v>36</v>
      </c>
      <c r="I131" s="122" t="s">
        <v>63</v>
      </c>
      <c r="J131" s="124">
        <f t="shared" si="8"/>
        <v>0.14285714285714285</v>
      </c>
      <c r="K131" s="125">
        <f>Table2[[#This Row],[λ]]*Table2[[#This Row],[Failure rate distribution]]</f>
        <v>0.19130498939407911</v>
      </c>
      <c r="L131" s="318" t="s">
        <v>63</v>
      </c>
      <c r="M131" s="20" t="str">
        <f>VLOOKUP(Table2[[#This Row],[Applicable Safety mechanism]],Table3[],2,FALSE)</f>
        <v>Not applicable</v>
      </c>
      <c r="N131" s="21" t="str">
        <f>VLOOKUP(Table2[[#This Row],[Applicable Safety mechanism]], Table3[], 3,FALSE)</f>
        <v>-</v>
      </c>
      <c r="O131" s="16">
        <f>VLOOKUP(Table2[[#This Row],[Applicable Safety mechanism]], Table3[], 6,FALSE)</f>
        <v>0</v>
      </c>
      <c r="P131" s="126">
        <f>IF(Table2[[#This Row],[Failure mode that has the potential to violate the safety goal in absence of safety mechanism?]]="Yes", Table2[[#This Row],[Failure mode rate]]*(1-Table2[[#This Row],[Failure mode coverage wrt. violation of safety goals]]), 0)</f>
        <v>0</v>
      </c>
      <c r="Q131" s="332" t="str">
        <f>'Safety Mechanisms'!E12</f>
        <v>Yes</v>
      </c>
      <c r="R131" s="122" t="s">
        <v>466</v>
      </c>
      <c r="S131" s="318" t="s">
        <v>55</v>
      </c>
      <c r="T131" s="171" t="str">
        <f>VLOOKUP(Table2[[#This Row],[Detection means ? Safety mechanism(s) allowing to prevent the failure mode from being latent ?]],Table3[],2,FALSE)</f>
        <v>HW redundancy (FS1b back up delay)</v>
      </c>
      <c r="U131" s="16">
        <f>VLOOKUP(Table2[[#This Row],[Detection means ? Safety mechanism(s) allowing to prevent the failure mode from being latent ?]], Table3[], 6,FALSE)</f>
        <v>0.99</v>
      </c>
      <c r="V131" s="125">
        <f>IF(Table2[[#This Row],[Failure mode that may lead to the violation of safety goals in combination with an independent failure of another block ?]]="Yes",(1-Table2[[#This Row],[Failure mode coverage with respect to latent failures]])*Table2[[#This Row],[Failure mode rate]], 0)</f>
        <v>1.9130498939407929E-3</v>
      </c>
      <c r="W131" s="123"/>
      <c r="X131" s="339"/>
      <c r="Y131" s="125">
        <f>IF(Table2[[#This Row],[SR]]="Yes",Table2[[#This Row],[λ]], 0)</f>
        <v>0</v>
      </c>
    </row>
    <row r="132" spans="1:25" ht="43.2" outlineLevel="1">
      <c r="A132" s="128" t="s">
        <v>736</v>
      </c>
      <c r="B132" s="123" t="s">
        <v>397</v>
      </c>
      <c r="C132" s="123" t="s">
        <v>413</v>
      </c>
      <c r="D132" s="123"/>
      <c r="E132" s="123"/>
      <c r="F132" s="125">
        <f>VLOOKUP(Table2[Function], Table1[], 5, FALSE)</f>
        <v>1.3391349257585539</v>
      </c>
      <c r="G132" s="152" t="s">
        <v>592</v>
      </c>
      <c r="H132" s="318" t="s">
        <v>36</v>
      </c>
      <c r="I132" s="122" t="s">
        <v>63</v>
      </c>
      <c r="J132" s="124">
        <f t="shared" si="8"/>
        <v>0.14285714285714285</v>
      </c>
      <c r="K132" s="125">
        <f>Table2[[#This Row],[λ]]*Table2[[#This Row],[Failure rate distribution]]</f>
        <v>0.19130498939407911</v>
      </c>
      <c r="L132" s="318" t="s">
        <v>63</v>
      </c>
      <c r="M132" s="20" t="str">
        <f>VLOOKUP(Table2[[#This Row],[Applicable Safety mechanism]],Table3[],2,FALSE)</f>
        <v>Not applicable</v>
      </c>
      <c r="N132" s="21" t="str">
        <f>VLOOKUP(Table2[[#This Row],[Applicable Safety mechanism]], Table3[], 3,FALSE)</f>
        <v>-</v>
      </c>
      <c r="O132" s="16">
        <f>VLOOKUP(Table2[[#This Row],[Applicable Safety mechanism]], Table3[], 6,FALSE)</f>
        <v>0</v>
      </c>
      <c r="P132" s="126">
        <f>IF(Table2[[#This Row],[Failure mode that has the potential to violate the safety goal in absence of safety mechanism?]]="Yes", Table2[[#This Row],[Failure mode rate]]*(1-Table2[[#This Row],[Failure mode coverage wrt. violation of safety goals]]), 0)</f>
        <v>0</v>
      </c>
      <c r="Q132" s="332" t="str">
        <f>'Safety Mechanisms'!E17</f>
        <v>Yes</v>
      </c>
      <c r="R132" s="122" t="s">
        <v>466</v>
      </c>
      <c r="S132" s="318" t="s">
        <v>62</v>
      </c>
      <c r="T132" s="171" t="str">
        <f>VLOOKUP(Table2[[#This Row],[Detection means ? Safety mechanism(s) allowing to prevent the failure mode from being latent ?]],Table3[],2,FALSE)</f>
        <v>Verification of external Rpd/Cpd components connected to VPU_FS to guarantee FS1b back up delay</v>
      </c>
      <c r="U132" s="16">
        <f>VLOOKUP(Table2[[#This Row],[Detection means ? Safety mechanism(s) allowing to prevent the failure mode from being latent ?]], Table3[], 6,FALSE)</f>
        <v>0.99</v>
      </c>
      <c r="V132" s="125">
        <f>IF(Table2[[#This Row],[Failure mode that may lead to the violation of safety goals in combination with an independent failure of another block ?]]="Yes",(1-Table2[[#This Row],[Failure mode coverage with respect to latent failures]])*Table2[[#This Row],[Failure mode rate]], 0)</f>
        <v>1.9130498939407929E-3</v>
      </c>
      <c r="W132" s="123"/>
      <c r="X132" s="339"/>
      <c r="Y132" s="125">
        <f>IF(Table2[[#This Row],[SR]]="Yes",Table2[[#This Row],[λ]], 0)</f>
        <v>0</v>
      </c>
    </row>
    <row r="133" spans="1:25" ht="28.8">
      <c r="A133" s="18" t="s">
        <v>737</v>
      </c>
      <c r="B133" s="130" t="s">
        <v>397</v>
      </c>
      <c r="C133" s="130" t="s">
        <v>413</v>
      </c>
      <c r="D133" s="123" t="s">
        <v>63</v>
      </c>
      <c r="E133" s="123"/>
      <c r="F133" s="125"/>
      <c r="G133" s="190" t="s">
        <v>63</v>
      </c>
      <c r="H133" s="318" t="s">
        <v>63</v>
      </c>
      <c r="I133" s="122" t="s">
        <v>63</v>
      </c>
      <c r="J133" s="124" t="s">
        <v>63</v>
      </c>
      <c r="K133" s="125" t="s">
        <v>63</v>
      </c>
      <c r="L133" s="318" t="s">
        <v>63</v>
      </c>
      <c r="M133" s="21" t="s">
        <v>63</v>
      </c>
      <c r="N133" s="21" t="s">
        <v>63</v>
      </c>
      <c r="O133" s="16" t="s">
        <v>63</v>
      </c>
      <c r="P133" s="126" t="s">
        <v>63</v>
      </c>
      <c r="Q133" s="318" t="s">
        <v>63</v>
      </c>
      <c r="R133" s="122"/>
      <c r="S133" s="318"/>
      <c r="T133" s="171"/>
      <c r="U133" s="122"/>
      <c r="V133" s="122"/>
      <c r="W133" s="122"/>
      <c r="X133" s="339"/>
      <c r="Y133" s="125"/>
    </row>
    <row r="134" spans="1:25" ht="28.8" outlineLevel="1">
      <c r="A134" s="128" t="s">
        <v>738</v>
      </c>
      <c r="B134" s="34" t="s">
        <v>406</v>
      </c>
      <c r="C134" s="123" t="s">
        <v>420</v>
      </c>
      <c r="D134" s="123" t="s">
        <v>497</v>
      </c>
      <c r="E134" s="123" t="s">
        <v>207</v>
      </c>
      <c r="F134" s="125">
        <f>VLOOKUP(Table2[Function], Table1[], 5, FALSE)</f>
        <v>0.38063266623628145</v>
      </c>
      <c r="G134" s="168" t="s">
        <v>423</v>
      </c>
      <c r="H134" s="318" t="s">
        <v>36</v>
      </c>
      <c r="I134" s="122" t="s">
        <v>63</v>
      </c>
      <c r="J134" s="124">
        <f>1/3</f>
        <v>0.33333333333333331</v>
      </c>
      <c r="K134" s="125">
        <f>Table2[[#This Row],[λ]]*Table2[[#This Row],[Failure rate distribution]]</f>
        <v>0.12687755541209381</v>
      </c>
      <c r="L134" s="318" t="s">
        <v>63</v>
      </c>
      <c r="M134" s="20" t="str">
        <f>VLOOKUP(Table2[[#This Row],[Applicable Safety mechanism]],Table3[],2,FALSE)</f>
        <v>Not applicable</v>
      </c>
      <c r="N134" s="21" t="str">
        <f>VLOOKUP(Table2[[#This Row],[Applicable Safety mechanism]], Table3[], 3,FALSE)</f>
        <v>-</v>
      </c>
      <c r="O134" s="16">
        <f>VLOOKUP(Table2[[#This Row],[Applicable Safety mechanism]], Table3[], 6,FALSE)</f>
        <v>0</v>
      </c>
      <c r="P134" s="126">
        <f>IF(Table2[[#This Row],[Failure mode that has the potential to violate the safety goal in absence of safety mechanism?]]="Yes", Table2[[#This Row],[Failure mode rate]]*(1-Table2[[#This Row],[Failure mode coverage wrt. violation of safety goals]]), 0)</f>
        <v>0</v>
      </c>
      <c r="Q134" s="318" t="s">
        <v>36</v>
      </c>
      <c r="R134" s="122"/>
      <c r="S134" s="318"/>
      <c r="T134" s="171"/>
      <c r="U134" s="16"/>
      <c r="V134" s="125">
        <f>IF(Table2[[#This Row],[Failure mode that may lead to the violation of safety goals in combination with an independent failure of another block ?]]="Yes",(1-Table2[[#This Row],[Failure mode coverage with respect to latent failures]])*Table2[[#This Row],[Failure mode rate]], 0)</f>
        <v>0</v>
      </c>
      <c r="W134" s="123"/>
      <c r="X134" s="339" t="s">
        <v>36</v>
      </c>
      <c r="Y134" s="125">
        <f>IF(Table2[[#This Row],[SR]]="Yes",Table2[[#This Row],[λ]], 0)</f>
        <v>0</v>
      </c>
    </row>
    <row r="135" spans="1:25" outlineLevel="1">
      <c r="A135" s="18" t="s">
        <v>739</v>
      </c>
      <c r="B135" s="189" t="s">
        <v>406</v>
      </c>
      <c r="C135" s="123" t="s">
        <v>420</v>
      </c>
      <c r="D135" s="123"/>
      <c r="E135" s="123"/>
      <c r="F135" s="125">
        <f>VLOOKUP(Table2[Function], Table1[], 5, FALSE)</f>
        <v>0.38063266623628145</v>
      </c>
      <c r="G135" s="19" t="s">
        <v>492</v>
      </c>
      <c r="H135" s="318" t="s">
        <v>36</v>
      </c>
      <c r="I135" s="122" t="s">
        <v>63</v>
      </c>
      <c r="J135" s="124">
        <f>1/3</f>
        <v>0.33333333333333331</v>
      </c>
      <c r="K135" s="125">
        <f>Table2[[#This Row],[λ]]*Table2[[#This Row],[Failure rate distribution]]</f>
        <v>0.12687755541209381</v>
      </c>
      <c r="L135" s="318" t="s">
        <v>63</v>
      </c>
      <c r="M135" s="20" t="str">
        <f>VLOOKUP(Table2[[#This Row],[Applicable Safety mechanism]],Table3[],2,FALSE)</f>
        <v>Not applicable</v>
      </c>
      <c r="N135" s="21" t="str">
        <f>VLOOKUP(Table2[[#This Row],[Applicable Safety mechanism]], Table3[], 3,FALSE)</f>
        <v>-</v>
      </c>
      <c r="O135" s="16">
        <f>VLOOKUP(Table2[[#This Row],[Applicable Safety mechanism]], Table3[], 6,FALSE)</f>
        <v>0</v>
      </c>
      <c r="P135" s="126">
        <f>IF(Table2[[#This Row],[Failure mode that has the potential to violate the safety goal in absence of safety mechanism?]]="Yes", Table2[[#This Row],[Failure mode rate]]*(1-Table2[[#This Row],[Failure mode coverage wrt. violation of safety goals]]), 0)</f>
        <v>0</v>
      </c>
      <c r="Q135" s="318" t="s">
        <v>36</v>
      </c>
      <c r="R135" s="122"/>
      <c r="S135" s="318"/>
      <c r="T135" s="171"/>
      <c r="U135" s="16"/>
      <c r="V135" s="125">
        <f>IF(Table2[[#This Row],[Failure mode that may lead to the violation of safety goals in combination with an independent failure of another block ?]]="Yes",(1-Table2[[#This Row],[Failure mode coverage with respect to latent failures]])*Table2[[#This Row],[Failure mode rate]], 0)</f>
        <v>0</v>
      </c>
      <c r="W135" s="123"/>
      <c r="X135" s="339"/>
      <c r="Y135" s="125">
        <f>IF(Table2[[#This Row],[SR]]="Yes",Table2[[#This Row],[λ]], 0)</f>
        <v>0</v>
      </c>
    </row>
    <row r="136" spans="1:25" outlineLevel="1">
      <c r="A136" s="128" t="s">
        <v>740</v>
      </c>
      <c r="B136" s="189" t="s">
        <v>406</v>
      </c>
      <c r="C136" s="123" t="s">
        <v>420</v>
      </c>
      <c r="D136" s="123"/>
      <c r="E136" s="123"/>
      <c r="F136" s="125">
        <f>VLOOKUP(Table2[Function], Table1[], 5, FALSE)</f>
        <v>0.38063266623628145</v>
      </c>
      <c r="G136" s="19" t="s">
        <v>493</v>
      </c>
      <c r="H136" s="318" t="s">
        <v>36</v>
      </c>
      <c r="I136" s="122" t="s">
        <v>63</v>
      </c>
      <c r="J136" s="124">
        <f>1/3</f>
        <v>0.33333333333333331</v>
      </c>
      <c r="K136" s="125">
        <f>Table2[[#This Row],[λ]]*Table2[[#This Row],[Failure rate distribution]]</f>
        <v>0.12687755541209381</v>
      </c>
      <c r="L136" s="318" t="s">
        <v>63</v>
      </c>
      <c r="M136" s="20" t="str">
        <f>VLOOKUP(Table2[[#This Row],[Applicable Safety mechanism]],Table3[],2,FALSE)</f>
        <v>Not applicable</v>
      </c>
      <c r="N136" s="21" t="str">
        <f>VLOOKUP(Table2[[#This Row],[Applicable Safety mechanism]], Table3[], 3,FALSE)</f>
        <v>-</v>
      </c>
      <c r="O136" s="16">
        <f>VLOOKUP(Table2[[#This Row],[Applicable Safety mechanism]], Table3[], 6,FALSE)</f>
        <v>0</v>
      </c>
      <c r="P136" s="126">
        <f>IF(Table2[[#This Row],[Failure mode that has the potential to violate the safety goal in absence of safety mechanism?]]="Yes", Table2[[#This Row],[Failure mode rate]]*(1-Table2[[#This Row],[Failure mode coverage wrt. violation of safety goals]]), 0)</f>
        <v>0</v>
      </c>
      <c r="Q136" s="318" t="s">
        <v>36</v>
      </c>
      <c r="R136" s="122"/>
      <c r="S136" s="318"/>
      <c r="T136" s="171"/>
      <c r="U136" s="16"/>
      <c r="V136" s="125">
        <f>IF(Table2[[#This Row],[Failure mode that may lead to the violation of safety goals in combination with an independent failure of another block ?]]="Yes",(1-Table2[[#This Row],[Failure mode coverage with respect to latent failures]])*Table2[[#This Row],[Failure mode rate]], 0)</f>
        <v>0</v>
      </c>
      <c r="W136" s="123"/>
      <c r="X136" s="339"/>
      <c r="Y136" s="125">
        <f>IF(Table2[[#This Row],[SR]]="Yes",Table2[[#This Row],[λ]], 0)</f>
        <v>0</v>
      </c>
    </row>
    <row r="137" spans="1:25" ht="28.8">
      <c r="A137" s="18" t="s">
        <v>741</v>
      </c>
      <c r="B137" s="130" t="s">
        <v>406</v>
      </c>
      <c r="C137" s="130" t="s">
        <v>420</v>
      </c>
      <c r="D137" s="123" t="s">
        <v>63</v>
      </c>
      <c r="E137" s="123"/>
      <c r="F137" s="125"/>
      <c r="G137" s="190" t="s">
        <v>63</v>
      </c>
      <c r="H137" s="318" t="s">
        <v>63</v>
      </c>
      <c r="I137" s="122" t="s">
        <v>63</v>
      </c>
      <c r="J137" s="124" t="s">
        <v>63</v>
      </c>
      <c r="K137" s="125" t="s">
        <v>63</v>
      </c>
      <c r="L137" s="318" t="s">
        <v>63</v>
      </c>
      <c r="M137" s="21" t="s">
        <v>63</v>
      </c>
      <c r="N137" s="21" t="s">
        <v>63</v>
      </c>
      <c r="O137" s="16" t="s">
        <v>63</v>
      </c>
      <c r="P137" s="126" t="s">
        <v>63</v>
      </c>
      <c r="Q137" s="318" t="s">
        <v>63</v>
      </c>
      <c r="R137" s="122"/>
      <c r="S137" s="318"/>
      <c r="T137" s="171"/>
      <c r="U137" s="122"/>
      <c r="V137" s="122"/>
      <c r="W137" s="122"/>
      <c r="X137" s="339"/>
      <c r="Y137" s="125"/>
    </row>
    <row r="138" spans="1:25" ht="28.8" outlineLevel="1">
      <c r="A138" s="128" t="s">
        <v>742</v>
      </c>
      <c r="B138" s="34" t="s">
        <v>405</v>
      </c>
      <c r="C138" s="123" t="s">
        <v>422</v>
      </c>
      <c r="D138" s="123" t="s">
        <v>495</v>
      </c>
      <c r="E138" s="123" t="s">
        <v>207</v>
      </c>
      <c r="F138" s="125">
        <f>VLOOKUP(Table2[Function], Table1[], 5, FALSE)</f>
        <v>0.38063266623628145</v>
      </c>
      <c r="G138" s="168" t="s">
        <v>27</v>
      </c>
      <c r="H138" s="318" t="s">
        <v>36</v>
      </c>
      <c r="I138" s="122" t="s">
        <v>63</v>
      </c>
      <c r="J138" s="124">
        <f>1/9</f>
        <v>0.1111111111111111</v>
      </c>
      <c r="K138" s="125">
        <f>Table2[[#This Row],[λ]]*Table2[[#This Row],[Failure rate distribution]]</f>
        <v>4.2292518470697933E-2</v>
      </c>
      <c r="L138" s="318" t="s">
        <v>63</v>
      </c>
      <c r="M138" s="20" t="str">
        <f>VLOOKUP(Table2[[#This Row],[Applicable Safety mechanism]],Table3[],2,FALSE)</f>
        <v>Not applicable</v>
      </c>
      <c r="N138" s="21" t="str">
        <f>VLOOKUP(Table2[[#This Row],[Applicable Safety mechanism]], Table3[], 3,FALSE)</f>
        <v>-</v>
      </c>
      <c r="O138" s="16">
        <f>VLOOKUP(Table2[[#This Row],[Applicable Safety mechanism]], Table3[], 6,FALSE)</f>
        <v>0</v>
      </c>
      <c r="P138" s="126">
        <f>IF(Table2[[#This Row],[Failure mode that has the potential to violate the safety goal in absence of safety mechanism?]]="Yes", Table2[[#This Row],[Failure mode rate]]*(1-Table2[[#This Row],[Failure mode coverage wrt. violation of safety goals]]), 0)</f>
        <v>0</v>
      </c>
      <c r="Q138" s="318" t="s">
        <v>36</v>
      </c>
      <c r="R138" s="122"/>
      <c r="S138" s="318"/>
      <c r="T138" s="171"/>
      <c r="U138" s="16"/>
      <c r="V138" s="125">
        <f>IF(Table2[[#This Row],[Failure mode that may lead to the violation of safety goals in combination with an independent failure of another block ?]]="Yes",(1-Table2[[#This Row],[Failure mode coverage with respect to latent failures]])*Table2[[#This Row],[Failure mode rate]], 0)</f>
        <v>0</v>
      </c>
      <c r="W138" s="123"/>
      <c r="X138" s="339" t="s">
        <v>36</v>
      </c>
      <c r="Y138" s="125">
        <f>IF(Table2[[#This Row],[SR]]="Yes",Table2[[#This Row],[λ]], 0)</f>
        <v>0</v>
      </c>
    </row>
    <row r="139" spans="1:25" outlineLevel="1">
      <c r="A139" s="18" t="s">
        <v>743</v>
      </c>
      <c r="B139" s="123" t="s">
        <v>405</v>
      </c>
      <c r="C139" s="123" t="s">
        <v>422</v>
      </c>
      <c r="D139" s="123"/>
      <c r="E139" s="123"/>
      <c r="F139" s="125">
        <f>VLOOKUP(Table2[Function], Table1[], 5, FALSE)</f>
        <v>0.38063266623628145</v>
      </c>
      <c r="G139" s="19" t="s">
        <v>28</v>
      </c>
      <c r="H139" s="318" t="s">
        <v>36</v>
      </c>
      <c r="I139" s="122" t="s">
        <v>63</v>
      </c>
      <c r="J139" s="124">
        <f t="shared" ref="J139:J146" si="9">1/9</f>
        <v>0.1111111111111111</v>
      </c>
      <c r="K139" s="125">
        <f>Table2[[#This Row],[λ]]*Table2[[#This Row],[Failure rate distribution]]</f>
        <v>4.2292518470697933E-2</v>
      </c>
      <c r="L139" s="318" t="s">
        <v>63</v>
      </c>
      <c r="M139" s="20" t="str">
        <f>VLOOKUP(Table2[[#This Row],[Applicable Safety mechanism]],Table3[],2,FALSE)</f>
        <v>Not applicable</v>
      </c>
      <c r="N139" s="21" t="str">
        <f>VLOOKUP(Table2[[#This Row],[Applicable Safety mechanism]], Table3[], 3,FALSE)</f>
        <v>-</v>
      </c>
      <c r="O139" s="16">
        <f>VLOOKUP(Table2[[#This Row],[Applicable Safety mechanism]], Table3[], 6,FALSE)</f>
        <v>0</v>
      </c>
      <c r="P139" s="126">
        <f>IF(Table2[[#This Row],[Failure mode that has the potential to violate the safety goal in absence of safety mechanism?]]="Yes", Table2[[#This Row],[Failure mode rate]]*(1-Table2[[#This Row],[Failure mode coverage wrt. violation of safety goals]]), 0)</f>
        <v>0</v>
      </c>
      <c r="Q139" s="318" t="s">
        <v>36</v>
      </c>
      <c r="R139" s="122"/>
      <c r="S139" s="318"/>
      <c r="T139" s="171"/>
      <c r="U139" s="16"/>
      <c r="V139" s="125">
        <f>IF(Table2[[#This Row],[Failure mode that may lead to the violation of safety goals in combination with an independent failure of another block ?]]="Yes",(1-Table2[[#This Row],[Failure mode coverage with respect to latent failures]])*Table2[[#This Row],[Failure mode rate]], 0)</f>
        <v>0</v>
      </c>
      <c r="W139" s="123"/>
      <c r="X139" s="339"/>
      <c r="Y139" s="125">
        <f>IF(Table2[[#This Row],[SR]]="Yes",Table2[[#This Row],[λ]], 0)</f>
        <v>0</v>
      </c>
    </row>
    <row r="140" spans="1:25" outlineLevel="1">
      <c r="A140" s="128" t="s">
        <v>744</v>
      </c>
      <c r="B140" s="123" t="s">
        <v>405</v>
      </c>
      <c r="C140" s="123" t="s">
        <v>422</v>
      </c>
      <c r="D140" s="123"/>
      <c r="E140" s="123"/>
      <c r="F140" s="125">
        <f>VLOOKUP(Table2[Function], Table1[], 5, FALSE)</f>
        <v>0.38063266623628145</v>
      </c>
      <c r="G140" s="168" t="s">
        <v>64</v>
      </c>
      <c r="H140" s="318" t="s">
        <v>36</v>
      </c>
      <c r="I140" s="122" t="s">
        <v>63</v>
      </c>
      <c r="J140" s="124">
        <f t="shared" si="9"/>
        <v>0.1111111111111111</v>
      </c>
      <c r="K140" s="125">
        <f>Table2[[#This Row],[λ]]*Table2[[#This Row],[Failure rate distribution]]</f>
        <v>4.2292518470697933E-2</v>
      </c>
      <c r="L140" s="318" t="s">
        <v>63</v>
      </c>
      <c r="M140" s="20" t="str">
        <f>VLOOKUP(Table2[[#This Row],[Applicable Safety mechanism]],Table3[],2,FALSE)</f>
        <v>Not applicable</v>
      </c>
      <c r="N140" s="21" t="str">
        <f>VLOOKUP(Table2[[#This Row],[Applicable Safety mechanism]], Table3[], 3,FALSE)</f>
        <v>-</v>
      </c>
      <c r="O140" s="16">
        <f>VLOOKUP(Table2[[#This Row],[Applicable Safety mechanism]], Table3[], 6,FALSE)</f>
        <v>0</v>
      </c>
      <c r="P140" s="126">
        <f>IF(Table2[[#This Row],[Failure mode that has the potential to violate the safety goal in absence of safety mechanism?]]="Yes", Table2[[#This Row],[Failure mode rate]]*(1-Table2[[#This Row],[Failure mode coverage wrt. violation of safety goals]]), 0)</f>
        <v>0</v>
      </c>
      <c r="Q140" s="318" t="s">
        <v>36</v>
      </c>
      <c r="R140" s="122"/>
      <c r="S140" s="318"/>
      <c r="T140" s="171"/>
      <c r="U140" s="16"/>
      <c r="V140" s="125">
        <f>IF(Table2[[#This Row],[Failure mode that may lead to the violation of safety goals in combination with an independent failure of another block ?]]="Yes",(1-Table2[[#This Row],[Failure mode coverage with respect to latent failures]])*Table2[[#This Row],[Failure mode rate]], 0)</f>
        <v>0</v>
      </c>
      <c r="W140" s="123"/>
      <c r="X140" s="339"/>
      <c r="Y140" s="125">
        <f>IF(Table2[[#This Row],[SR]]="Yes",Table2[[#This Row],[λ]], 0)</f>
        <v>0</v>
      </c>
    </row>
    <row r="141" spans="1:25" outlineLevel="1">
      <c r="A141" s="18" t="s">
        <v>745</v>
      </c>
      <c r="B141" s="123" t="s">
        <v>405</v>
      </c>
      <c r="C141" s="123" t="s">
        <v>422</v>
      </c>
      <c r="D141" s="123"/>
      <c r="E141" s="123"/>
      <c r="F141" s="125">
        <f>VLOOKUP(Table2[Function], Table1[], 5, FALSE)</f>
        <v>0.38063266623628145</v>
      </c>
      <c r="G141" s="19" t="s">
        <v>65</v>
      </c>
      <c r="H141" s="318" t="s">
        <v>36</v>
      </c>
      <c r="I141" s="122" t="s">
        <v>63</v>
      </c>
      <c r="J141" s="124">
        <f t="shared" si="9"/>
        <v>0.1111111111111111</v>
      </c>
      <c r="K141" s="125">
        <f>Table2[[#This Row],[λ]]*Table2[[#This Row],[Failure rate distribution]]</f>
        <v>4.2292518470697933E-2</v>
      </c>
      <c r="L141" s="318" t="s">
        <v>63</v>
      </c>
      <c r="M141" s="20" t="str">
        <f>VLOOKUP(Table2[[#This Row],[Applicable Safety mechanism]],Table3[],2,FALSE)</f>
        <v>Not applicable</v>
      </c>
      <c r="N141" s="21" t="str">
        <f>VLOOKUP(Table2[[#This Row],[Applicable Safety mechanism]], Table3[], 3,FALSE)</f>
        <v>-</v>
      </c>
      <c r="O141" s="16">
        <f>VLOOKUP(Table2[[#This Row],[Applicable Safety mechanism]], Table3[], 6,FALSE)</f>
        <v>0</v>
      </c>
      <c r="P141" s="126">
        <f>IF(Table2[[#This Row],[Failure mode that has the potential to violate the safety goal in absence of safety mechanism?]]="Yes", Table2[[#This Row],[Failure mode rate]]*(1-Table2[[#This Row],[Failure mode coverage wrt. violation of safety goals]]), 0)</f>
        <v>0</v>
      </c>
      <c r="Q141" s="318" t="s">
        <v>36</v>
      </c>
      <c r="R141" s="122"/>
      <c r="S141" s="318"/>
      <c r="T141" s="171"/>
      <c r="U141" s="16"/>
      <c r="V141" s="125">
        <f>IF(Table2[[#This Row],[Failure mode that may lead to the violation of safety goals in combination with an independent failure of another block ?]]="Yes",(1-Table2[[#This Row],[Failure mode coverage with respect to latent failures]])*Table2[[#This Row],[Failure mode rate]], 0)</f>
        <v>0</v>
      </c>
      <c r="W141" s="123"/>
      <c r="X141" s="339"/>
      <c r="Y141" s="125">
        <f>IF(Table2[[#This Row],[SR]]="Yes",Table2[[#This Row],[λ]], 0)</f>
        <v>0</v>
      </c>
    </row>
    <row r="142" spans="1:25" outlineLevel="1">
      <c r="A142" s="128" t="s">
        <v>746</v>
      </c>
      <c r="B142" s="123" t="s">
        <v>405</v>
      </c>
      <c r="C142" s="123" t="s">
        <v>422</v>
      </c>
      <c r="D142" s="123"/>
      <c r="E142" s="123"/>
      <c r="F142" s="125">
        <f>VLOOKUP(Table2[Function], Table1[], 5, FALSE)</f>
        <v>0.38063266623628145</v>
      </c>
      <c r="G142" s="168" t="s">
        <v>69</v>
      </c>
      <c r="H142" s="318" t="s">
        <v>36</v>
      </c>
      <c r="I142" s="122" t="s">
        <v>63</v>
      </c>
      <c r="J142" s="124">
        <f t="shared" si="9"/>
        <v>0.1111111111111111</v>
      </c>
      <c r="K142" s="125">
        <f>Table2[[#This Row],[λ]]*Table2[[#This Row],[Failure rate distribution]]</f>
        <v>4.2292518470697933E-2</v>
      </c>
      <c r="L142" s="318" t="s">
        <v>63</v>
      </c>
      <c r="M142" s="20" t="str">
        <f>VLOOKUP(Table2[[#This Row],[Applicable Safety mechanism]],Table3[],2,FALSE)</f>
        <v>Not applicable</v>
      </c>
      <c r="N142" s="21" t="str">
        <f>VLOOKUP(Table2[[#This Row],[Applicable Safety mechanism]], Table3[], 3,FALSE)</f>
        <v>-</v>
      </c>
      <c r="O142" s="16">
        <f>VLOOKUP(Table2[[#This Row],[Applicable Safety mechanism]], Table3[], 6,FALSE)</f>
        <v>0</v>
      </c>
      <c r="P142" s="126">
        <f>IF(Table2[[#This Row],[Failure mode that has the potential to violate the safety goal in absence of safety mechanism?]]="Yes", Table2[[#This Row],[Failure mode rate]]*(1-Table2[[#This Row],[Failure mode coverage wrt. violation of safety goals]]), 0)</f>
        <v>0</v>
      </c>
      <c r="Q142" s="318" t="s">
        <v>36</v>
      </c>
      <c r="R142" s="122"/>
      <c r="S142" s="318"/>
      <c r="T142" s="171"/>
      <c r="U142" s="16"/>
      <c r="V142" s="125">
        <f>IF(Table2[[#This Row],[Failure mode that may lead to the violation of safety goals in combination with an independent failure of another block ?]]="Yes",(1-Table2[[#This Row],[Failure mode coverage with respect to latent failures]])*Table2[[#This Row],[Failure mode rate]], 0)</f>
        <v>0</v>
      </c>
      <c r="W142" s="123"/>
      <c r="X142" s="339"/>
      <c r="Y142" s="125">
        <f>IF(Table2[[#This Row],[SR]]="Yes",Table2[[#This Row],[λ]], 0)</f>
        <v>0</v>
      </c>
    </row>
    <row r="143" spans="1:25" outlineLevel="1">
      <c r="A143" s="18" t="s">
        <v>747</v>
      </c>
      <c r="B143" s="123" t="s">
        <v>405</v>
      </c>
      <c r="C143" s="123" t="s">
        <v>422</v>
      </c>
      <c r="D143" s="123"/>
      <c r="E143" s="123"/>
      <c r="F143" s="125">
        <f>VLOOKUP(Table2[Function], Table1[], 5, FALSE)</f>
        <v>0.38063266623628145</v>
      </c>
      <c r="G143" s="19" t="s">
        <v>424</v>
      </c>
      <c r="H143" s="318" t="s">
        <v>36</v>
      </c>
      <c r="I143" s="122" t="s">
        <v>63</v>
      </c>
      <c r="J143" s="124">
        <f t="shared" si="9"/>
        <v>0.1111111111111111</v>
      </c>
      <c r="K143" s="125">
        <f>Table2[[#This Row],[λ]]*Table2[[#This Row],[Failure rate distribution]]</f>
        <v>4.2292518470697933E-2</v>
      </c>
      <c r="L143" s="318" t="s">
        <v>63</v>
      </c>
      <c r="M143" s="20" t="str">
        <f>VLOOKUP(Table2[[#This Row],[Applicable Safety mechanism]],Table3[],2,FALSE)</f>
        <v>Not applicable</v>
      </c>
      <c r="N143" s="21" t="str">
        <f>VLOOKUP(Table2[[#This Row],[Applicable Safety mechanism]], Table3[], 3,FALSE)</f>
        <v>-</v>
      </c>
      <c r="O143" s="16">
        <f>VLOOKUP(Table2[[#This Row],[Applicable Safety mechanism]], Table3[], 6,FALSE)</f>
        <v>0</v>
      </c>
      <c r="P143" s="126">
        <f>IF(Table2[[#This Row],[Failure mode that has the potential to violate the safety goal in absence of safety mechanism?]]="Yes", Table2[[#This Row],[Failure mode rate]]*(1-Table2[[#This Row],[Failure mode coverage wrt. violation of safety goals]]), 0)</f>
        <v>0</v>
      </c>
      <c r="Q143" s="318" t="s">
        <v>36</v>
      </c>
      <c r="R143" s="122"/>
      <c r="S143" s="318"/>
      <c r="T143" s="171"/>
      <c r="U143" s="16"/>
      <c r="V143" s="125">
        <f>IF(Table2[[#This Row],[Failure mode that may lead to the violation of safety goals in combination with an independent failure of another block ?]]="Yes",(1-Table2[[#This Row],[Failure mode coverage with respect to latent failures]])*Table2[[#This Row],[Failure mode rate]], 0)</f>
        <v>0</v>
      </c>
      <c r="W143" s="123"/>
      <c r="X143" s="339"/>
      <c r="Y143" s="125">
        <f>IF(Table2[[#This Row],[SR]]="Yes",Table2[[#This Row],[λ]], 0)</f>
        <v>0</v>
      </c>
    </row>
    <row r="144" spans="1:25" outlineLevel="1">
      <c r="A144" s="128" t="s">
        <v>748</v>
      </c>
      <c r="B144" s="123" t="s">
        <v>405</v>
      </c>
      <c r="C144" s="123" t="s">
        <v>422</v>
      </c>
      <c r="D144" s="123"/>
      <c r="E144" s="123"/>
      <c r="F144" s="125">
        <f>VLOOKUP(Table2[Function], Table1[], 5, FALSE)</f>
        <v>0.38063266623628145</v>
      </c>
      <c r="G144" s="168" t="s">
        <v>425</v>
      </c>
      <c r="H144" s="318" t="s">
        <v>36</v>
      </c>
      <c r="I144" s="122" t="s">
        <v>63</v>
      </c>
      <c r="J144" s="124">
        <f t="shared" si="9"/>
        <v>0.1111111111111111</v>
      </c>
      <c r="K144" s="125">
        <f>Table2[[#This Row],[λ]]*Table2[[#This Row],[Failure rate distribution]]</f>
        <v>4.2292518470697933E-2</v>
      </c>
      <c r="L144" s="318" t="s">
        <v>63</v>
      </c>
      <c r="M144" s="20" t="str">
        <f>VLOOKUP(Table2[[#This Row],[Applicable Safety mechanism]],Table3[],2,FALSE)</f>
        <v>Not applicable</v>
      </c>
      <c r="N144" s="21" t="str">
        <f>VLOOKUP(Table2[[#This Row],[Applicable Safety mechanism]], Table3[], 3,FALSE)</f>
        <v>-</v>
      </c>
      <c r="O144" s="16">
        <f>VLOOKUP(Table2[[#This Row],[Applicable Safety mechanism]], Table3[], 6,FALSE)</f>
        <v>0</v>
      </c>
      <c r="P144" s="126">
        <f>IF(Table2[[#This Row],[Failure mode that has the potential to violate the safety goal in absence of safety mechanism?]]="Yes", Table2[[#This Row],[Failure mode rate]]*(1-Table2[[#This Row],[Failure mode coverage wrt. violation of safety goals]]), 0)</f>
        <v>0</v>
      </c>
      <c r="Q144" s="318" t="s">
        <v>36</v>
      </c>
      <c r="R144" s="122"/>
      <c r="S144" s="318"/>
      <c r="T144" s="171"/>
      <c r="U144" s="16"/>
      <c r="V144" s="125">
        <f>IF(Table2[[#This Row],[Failure mode that may lead to the violation of safety goals in combination with an independent failure of another block ?]]="Yes",(1-Table2[[#This Row],[Failure mode coverage with respect to latent failures]])*Table2[[#This Row],[Failure mode rate]], 0)</f>
        <v>0</v>
      </c>
      <c r="W144" s="123"/>
      <c r="X144" s="339"/>
      <c r="Y144" s="125">
        <f>IF(Table2[[#This Row],[SR]]="Yes",Table2[[#This Row],[λ]], 0)</f>
        <v>0</v>
      </c>
    </row>
    <row r="145" spans="1:25" outlineLevel="1">
      <c r="A145" s="18" t="s">
        <v>749</v>
      </c>
      <c r="B145" s="123" t="s">
        <v>405</v>
      </c>
      <c r="C145" s="123" t="s">
        <v>422</v>
      </c>
      <c r="D145" s="123"/>
      <c r="E145" s="123"/>
      <c r="F145" s="125">
        <f>VLOOKUP(Table2[Function], Table1[], 5, FALSE)</f>
        <v>0.38063266623628145</v>
      </c>
      <c r="G145" s="19" t="s">
        <v>426</v>
      </c>
      <c r="H145" s="318" t="s">
        <v>36</v>
      </c>
      <c r="I145" s="122" t="s">
        <v>63</v>
      </c>
      <c r="J145" s="124">
        <f t="shared" si="9"/>
        <v>0.1111111111111111</v>
      </c>
      <c r="K145" s="125">
        <f>Table2[[#This Row],[λ]]*Table2[[#This Row],[Failure rate distribution]]</f>
        <v>4.2292518470697933E-2</v>
      </c>
      <c r="L145" s="318" t="s">
        <v>63</v>
      </c>
      <c r="M145" s="20" t="str">
        <f>VLOOKUP(Table2[[#This Row],[Applicable Safety mechanism]],Table3[],2,FALSE)</f>
        <v>Not applicable</v>
      </c>
      <c r="N145" s="21" t="str">
        <f>VLOOKUP(Table2[[#This Row],[Applicable Safety mechanism]], Table3[], 3,FALSE)</f>
        <v>-</v>
      </c>
      <c r="O145" s="16">
        <f>VLOOKUP(Table2[[#This Row],[Applicable Safety mechanism]], Table3[], 6,FALSE)</f>
        <v>0</v>
      </c>
      <c r="P145" s="126">
        <f>IF(Table2[[#This Row],[Failure mode that has the potential to violate the safety goal in absence of safety mechanism?]]="Yes", Table2[[#This Row],[Failure mode rate]]*(1-Table2[[#This Row],[Failure mode coverage wrt. violation of safety goals]]), 0)</f>
        <v>0</v>
      </c>
      <c r="Q145" s="318" t="s">
        <v>36</v>
      </c>
      <c r="R145" s="122"/>
      <c r="S145" s="318"/>
      <c r="T145" s="171"/>
      <c r="U145" s="16"/>
      <c r="V145" s="125">
        <f>IF(Table2[[#This Row],[Failure mode that may lead to the violation of safety goals in combination with an independent failure of another block ?]]="Yes",(1-Table2[[#This Row],[Failure mode coverage with respect to latent failures]])*Table2[[#This Row],[Failure mode rate]], 0)</f>
        <v>0</v>
      </c>
      <c r="W145" s="123"/>
      <c r="X145" s="339"/>
      <c r="Y145" s="125">
        <f>IF(Table2[[#This Row],[SR]]="Yes",Table2[[#This Row],[λ]], 0)</f>
        <v>0</v>
      </c>
    </row>
    <row r="146" spans="1:25" outlineLevel="1">
      <c r="A146" s="128" t="s">
        <v>750</v>
      </c>
      <c r="B146" s="123" t="s">
        <v>405</v>
      </c>
      <c r="C146" s="123" t="s">
        <v>422</v>
      </c>
      <c r="D146" s="123"/>
      <c r="E146" s="123"/>
      <c r="F146" s="125">
        <f>VLOOKUP(Table2[Function], Table1[], 5, FALSE)</f>
        <v>0.38063266623628145</v>
      </c>
      <c r="G146" s="168" t="s">
        <v>427</v>
      </c>
      <c r="H146" s="318" t="s">
        <v>36</v>
      </c>
      <c r="I146" s="122" t="s">
        <v>63</v>
      </c>
      <c r="J146" s="124">
        <f t="shared" si="9"/>
        <v>0.1111111111111111</v>
      </c>
      <c r="K146" s="125">
        <f>Table2[[#This Row],[λ]]*Table2[[#This Row],[Failure rate distribution]]</f>
        <v>4.2292518470697933E-2</v>
      </c>
      <c r="L146" s="318" t="s">
        <v>63</v>
      </c>
      <c r="M146" s="20" t="str">
        <f>VLOOKUP(Table2[[#This Row],[Applicable Safety mechanism]],Table3[],2,FALSE)</f>
        <v>Not applicable</v>
      </c>
      <c r="N146" s="21" t="str">
        <f>VLOOKUP(Table2[[#This Row],[Applicable Safety mechanism]], Table3[], 3,FALSE)</f>
        <v>-</v>
      </c>
      <c r="O146" s="16">
        <f>VLOOKUP(Table2[[#This Row],[Applicable Safety mechanism]], Table3[], 6,FALSE)</f>
        <v>0</v>
      </c>
      <c r="P146" s="126">
        <f>IF(Table2[[#This Row],[Failure mode that has the potential to violate the safety goal in absence of safety mechanism?]]="Yes", Table2[[#This Row],[Failure mode rate]]*(1-Table2[[#This Row],[Failure mode coverage wrt. violation of safety goals]]), 0)</f>
        <v>0</v>
      </c>
      <c r="Q146" s="318" t="s">
        <v>36</v>
      </c>
      <c r="R146" s="122"/>
      <c r="S146" s="318"/>
      <c r="T146" s="171"/>
      <c r="U146" s="16"/>
      <c r="V146" s="125">
        <f>IF(Table2[[#This Row],[Failure mode that may lead to the violation of safety goals in combination with an independent failure of another block ?]]="Yes",(1-Table2[[#This Row],[Failure mode coverage with respect to latent failures]])*Table2[[#This Row],[Failure mode rate]], 0)</f>
        <v>0</v>
      </c>
      <c r="W146" s="123"/>
      <c r="X146" s="339"/>
      <c r="Y146" s="125">
        <f>IF(Table2[[#This Row],[SR]]="Yes",Table2[[#This Row],[λ]], 0)</f>
        <v>0</v>
      </c>
    </row>
    <row r="147" spans="1:25" ht="28.8">
      <c r="A147" s="18" t="s">
        <v>751</v>
      </c>
      <c r="B147" s="130" t="s">
        <v>405</v>
      </c>
      <c r="C147" s="130" t="s">
        <v>422</v>
      </c>
      <c r="D147" s="123" t="s">
        <v>63</v>
      </c>
      <c r="E147" s="123"/>
      <c r="F147" s="125"/>
      <c r="G147" s="190" t="s">
        <v>63</v>
      </c>
      <c r="H147" s="318" t="s">
        <v>63</v>
      </c>
      <c r="I147" s="122" t="s">
        <v>63</v>
      </c>
      <c r="J147" s="124" t="s">
        <v>63</v>
      </c>
      <c r="K147" s="125" t="s">
        <v>63</v>
      </c>
      <c r="L147" s="318" t="s">
        <v>63</v>
      </c>
      <c r="M147" s="21" t="s">
        <v>63</v>
      </c>
      <c r="N147" s="21" t="s">
        <v>63</v>
      </c>
      <c r="O147" s="16" t="s">
        <v>63</v>
      </c>
      <c r="P147" s="126" t="s">
        <v>63</v>
      </c>
      <c r="Q147" s="318" t="s">
        <v>63</v>
      </c>
      <c r="R147" s="122"/>
      <c r="S147" s="318"/>
      <c r="T147" s="171"/>
      <c r="U147" s="122"/>
      <c r="V147" s="122"/>
      <c r="W147" s="122"/>
      <c r="X147" s="339"/>
      <c r="Y147" s="125"/>
    </row>
    <row r="148" spans="1:25" ht="43.2" outlineLevel="1">
      <c r="A148" s="128" t="s">
        <v>752</v>
      </c>
      <c r="B148" s="34" t="s">
        <v>418</v>
      </c>
      <c r="C148" s="34" t="s">
        <v>155</v>
      </c>
      <c r="D148" s="12" t="s">
        <v>215</v>
      </c>
      <c r="E148" s="12" t="s">
        <v>216</v>
      </c>
      <c r="F148" s="125">
        <f>VLOOKUP(Table2[Function], Table1[], 5, FALSE)</f>
        <v>0.50866365397030333</v>
      </c>
      <c r="G148" s="19" t="s">
        <v>136</v>
      </c>
      <c r="H148" s="318" t="s">
        <v>36</v>
      </c>
      <c r="I148" s="122" t="s">
        <v>63</v>
      </c>
      <c r="J148" s="32">
        <f>1/9</f>
        <v>0.1111111111111111</v>
      </c>
      <c r="K148" s="70">
        <f>Table2[[#This Row],[λ]]*Table2[[#This Row],[Failure rate distribution]]</f>
        <v>5.6518183774478148E-2</v>
      </c>
      <c r="L148" s="318" t="s">
        <v>63</v>
      </c>
      <c r="M148" s="26" t="str">
        <f>VLOOKUP(Table2[[#This Row],[Applicable Safety mechanism]],Table3[],2,FALSE)</f>
        <v>Not applicable</v>
      </c>
      <c r="N148" s="27" t="str">
        <f>VLOOKUP(Table2[[#This Row],[Applicable Safety mechanism]], Table3[], 3,FALSE)</f>
        <v>-</v>
      </c>
      <c r="O148" s="28">
        <f>VLOOKUP(Table2[[#This Row],[Applicable Safety mechanism]], Table3[], 6,FALSE)</f>
        <v>0</v>
      </c>
      <c r="P148" s="29">
        <f>IF(Table2[[#This Row],[Failure mode that has the potential to violate the safety goal in absence of safety mechanism?]]="Yes", Table2[[#This Row],[Failure mode rate]]*(1-Table2[[#This Row],[Failure mode coverage wrt. violation of safety goals]]), 0)</f>
        <v>0</v>
      </c>
      <c r="Q148" s="320" t="s">
        <v>35</v>
      </c>
      <c r="R148" s="25" t="s">
        <v>464</v>
      </c>
      <c r="S148" s="318" t="s">
        <v>48</v>
      </c>
      <c r="T148" s="171" t="str">
        <f>VLOOKUP(Table2[[#This Row],[Detection means ? Safety mechanism(s) allowing to prevent the failure mode from being latent ?]],Table3[],2,FALSE)</f>
        <v>Input comparison/voting</v>
      </c>
      <c r="U148" s="16">
        <f>VLOOKUP(Table2[[#This Row],[Detection means ? Safety mechanism(s) allowing to prevent the failure mode from being latent ?]], Table3[], 6,FALSE)</f>
        <v>0.99</v>
      </c>
      <c r="V148" s="125">
        <f>IF(Table2[[#This Row],[Failure mode that may lead to the violation of safety goals in combination with an independent failure of another block ?]]="Yes",(1-Table2[[#This Row],[Failure mode coverage with respect to latent failures]])*Table2[[#This Row],[Failure mode rate]], 0)</f>
        <v>5.6518183774478196E-4</v>
      </c>
      <c r="W148" s="12"/>
      <c r="X148" s="339" t="s">
        <v>35</v>
      </c>
      <c r="Y148" s="125">
        <f>IF(Table2[[#This Row],[SR]]="Yes",Table2[[#This Row],[λ]], 0)</f>
        <v>0.50866365397030333</v>
      </c>
    </row>
    <row r="149" spans="1:25" outlineLevel="1">
      <c r="A149" s="18" t="s">
        <v>753</v>
      </c>
      <c r="B149" s="34" t="s">
        <v>418</v>
      </c>
      <c r="C149" s="12" t="s">
        <v>155</v>
      </c>
      <c r="D149" s="12"/>
      <c r="E149" s="12"/>
      <c r="F149" s="125">
        <f>VLOOKUP(Table2[Function], Table1[], 5, FALSE)</f>
        <v>0.50866365397030333</v>
      </c>
      <c r="G149" s="19" t="s">
        <v>137</v>
      </c>
      <c r="H149" s="318" t="s">
        <v>36</v>
      </c>
      <c r="I149" s="122" t="s">
        <v>63</v>
      </c>
      <c r="J149" s="131">
        <f t="shared" ref="J149:J156" si="10">1/9</f>
        <v>0.1111111111111111</v>
      </c>
      <c r="K149" s="17">
        <f>Table2[[#This Row],[λ]]*Table2[[#This Row],[Failure rate distribution]]</f>
        <v>5.6518183774478148E-2</v>
      </c>
      <c r="L149" s="318" t="s">
        <v>63</v>
      </c>
      <c r="M149" s="20" t="str">
        <f>VLOOKUP(Table2[[#This Row],[Applicable Safety mechanism]],Table3[],2,FALSE)</f>
        <v>Not applicable</v>
      </c>
      <c r="N149" s="21" t="str">
        <f>VLOOKUP(Table2[[#This Row],[Applicable Safety mechanism]], Table3[], 3,FALSE)</f>
        <v>-</v>
      </c>
      <c r="O149" s="16">
        <f>VLOOKUP(Table2[[#This Row],[Applicable Safety mechanism]], Table3[], 6,FALSE)</f>
        <v>0</v>
      </c>
      <c r="P149" s="22">
        <f>IF(Table2[[#This Row],[Failure mode that has the potential to violate the safety goal in absence of safety mechanism?]]="Yes", Table2[[#This Row],[Failure mode rate]]*(1-Table2[[#This Row],[Failure mode coverage wrt. violation of safety goals]]), 0)</f>
        <v>0</v>
      </c>
      <c r="Q149" s="320" t="s">
        <v>35</v>
      </c>
      <c r="R149" s="25" t="s">
        <v>464</v>
      </c>
      <c r="S149" s="318" t="s">
        <v>48</v>
      </c>
      <c r="T149" s="171" t="str">
        <f>VLOOKUP(Table2[[#This Row],[Detection means ? Safety mechanism(s) allowing to prevent the failure mode from being latent ?]],Table3[],2,FALSE)</f>
        <v>Input comparison/voting</v>
      </c>
      <c r="U149" s="16">
        <f>VLOOKUP(Table2[[#This Row],[Detection means ? Safety mechanism(s) allowing to prevent the failure mode from being latent ?]], Table3[], 6,FALSE)</f>
        <v>0.99</v>
      </c>
      <c r="V149" s="125">
        <f>IF(Table2[[#This Row],[Failure mode that may lead to the violation of safety goals in combination with an independent failure of another block ?]]="Yes",(1-Table2[[#This Row],[Failure mode coverage with respect to latent failures]])*Table2[[#This Row],[Failure mode rate]], 0)</f>
        <v>5.6518183774478196E-4</v>
      </c>
      <c r="W149" s="12"/>
      <c r="X149" s="339"/>
      <c r="Y149" s="125">
        <f>IF(Table2[[#This Row],[SR]]="Yes",Table2[[#This Row],[λ]], 0)</f>
        <v>0</v>
      </c>
    </row>
    <row r="150" spans="1:25" ht="28.8" outlineLevel="1">
      <c r="A150" s="128" t="s">
        <v>754</v>
      </c>
      <c r="B150" s="34" t="s">
        <v>418</v>
      </c>
      <c r="C150" s="12" t="s">
        <v>155</v>
      </c>
      <c r="D150" s="12"/>
      <c r="E150" s="12"/>
      <c r="F150" s="125">
        <f>VLOOKUP(Table2[Function], Table1[], 5, FALSE)</f>
        <v>0.50866365397030333</v>
      </c>
      <c r="G150" s="19" t="s">
        <v>356</v>
      </c>
      <c r="H150" s="318" t="s">
        <v>36</v>
      </c>
      <c r="I150" s="122" t="s">
        <v>63</v>
      </c>
      <c r="J150" s="131">
        <f t="shared" si="10"/>
        <v>0.1111111111111111</v>
      </c>
      <c r="K150" s="17">
        <f>Table2[[#This Row],[λ]]*Table2[[#This Row],[Failure rate distribution]]</f>
        <v>5.6518183774478148E-2</v>
      </c>
      <c r="L150" s="318" t="s">
        <v>63</v>
      </c>
      <c r="M150" s="20" t="str">
        <f>VLOOKUP(Table2[[#This Row],[Applicable Safety mechanism]],Table3[],2,FALSE)</f>
        <v>Not applicable</v>
      </c>
      <c r="N150" s="21" t="str">
        <f>VLOOKUP(Table2[[#This Row],[Applicable Safety mechanism]], Table3[], 3,FALSE)</f>
        <v>-</v>
      </c>
      <c r="O150" s="16">
        <f>VLOOKUP(Table2[[#This Row],[Applicable Safety mechanism]], Table3[], 6,FALSE)</f>
        <v>0</v>
      </c>
      <c r="P150" s="22">
        <f>IF(Table2[[#This Row],[Failure mode that has the potential to violate the safety goal in absence of safety mechanism?]]="Yes", Table2[[#This Row],[Failure mode rate]]*(1-Table2[[#This Row],[Failure mode coverage wrt. violation of safety goals]]), 0)</f>
        <v>0</v>
      </c>
      <c r="Q150" s="320" t="s">
        <v>36</v>
      </c>
      <c r="R150" s="122"/>
      <c r="S150" s="331"/>
      <c r="T150" s="171"/>
      <c r="U150" s="16"/>
      <c r="V150" s="125">
        <f>IF(Table2[[#This Row],[Failure mode that may lead to the violation of safety goals in combination with an independent failure of another block ?]]="Yes",(1-Table2[[#This Row],[Failure mode coverage with respect to latent failures]])*Table2[[#This Row],[Failure mode rate]], 0)</f>
        <v>0</v>
      </c>
      <c r="W150" s="170" t="s">
        <v>221</v>
      </c>
      <c r="X150" s="339"/>
      <c r="Y150" s="125">
        <f>IF(Table2[[#This Row],[SR]]="Yes",Table2[[#This Row],[λ]], 0)</f>
        <v>0</v>
      </c>
    </row>
    <row r="151" spans="1:25" outlineLevel="1">
      <c r="A151" s="18" t="s">
        <v>755</v>
      </c>
      <c r="B151" s="34" t="s">
        <v>418</v>
      </c>
      <c r="C151" s="12" t="s">
        <v>155</v>
      </c>
      <c r="D151" s="12"/>
      <c r="E151" s="12"/>
      <c r="F151" s="125">
        <f>VLOOKUP(Table2[Function], Table1[], 5, FALSE)</f>
        <v>0.50866365397030333</v>
      </c>
      <c r="G151" s="19" t="s">
        <v>139</v>
      </c>
      <c r="H151" s="318" t="s">
        <v>36</v>
      </c>
      <c r="I151" s="122" t="s">
        <v>63</v>
      </c>
      <c r="J151" s="131">
        <f t="shared" si="10"/>
        <v>0.1111111111111111</v>
      </c>
      <c r="K151" s="17">
        <f>Table2[[#This Row],[λ]]*Table2[[#This Row],[Failure rate distribution]]</f>
        <v>5.6518183774478148E-2</v>
      </c>
      <c r="L151" s="318" t="s">
        <v>63</v>
      </c>
      <c r="M151" s="20" t="str">
        <f>VLOOKUP(Table2[[#This Row],[Applicable Safety mechanism]],Table3[],2,FALSE)</f>
        <v>Not applicable</v>
      </c>
      <c r="N151" s="21" t="str">
        <f>VLOOKUP(Table2[[#This Row],[Applicable Safety mechanism]], Table3[], 3,FALSE)</f>
        <v>-</v>
      </c>
      <c r="O151" s="16">
        <f>VLOOKUP(Table2[[#This Row],[Applicable Safety mechanism]], Table3[], 6,FALSE)</f>
        <v>0</v>
      </c>
      <c r="P151" s="22">
        <f>IF(Table2[[#This Row],[Failure mode that has the potential to violate the safety goal in absence of safety mechanism?]]="Yes", Table2[[#This Row],[Failure mode rate]]*(1-Table2[[#This Row],[Failure mode coverage wrt. violation of safety goals]]), 0)</f>
        <v>0</v>
      </c>
      <c r="Q151" s="320" t="s">
        <v>35</v>
      </c>
      <c r="R151" s="25" t="s">
        <v>464</v>
      </c>
      <c r="S151" s="318" t="s">
        <v>48</v>
      </c>
      <c r="T151" s="171" t="str">
        <f>VLOOKUP(Table2[[#This Row],[Detection means ? Safety mechanism(s) allowing to prevent the failure mode from being latent ?]],Table3[],2,FALSE)</f>
        <v>Input comparison/voting</v>
      </c>
      <c r="U151" s="16">
        <f>VLOOKUP(Table2[[#This Row],[Detection means ? Safety mechanism(s) allowing to prevent the failure mode from being latent ?]], Table3[], 6,FALSE)</f>
        <v>0.99</v>
      </c>
      <c r="V151" s="125">
        <f>IF(Table2[[#This Row],[Failure mode that may lead to the violation of safety goals in combination with an independent failure of another block ?]]="Yes",(1-Table2[[#This Row],[Failure mode coverage with respect to latent failures]])*Table2[[#This Row],[Failure mode rate]], 0)</f>
        <v>5.6518183774478196E-4</v>
      </c>
      <c r="W151" s="12"/>
      <c r="X151" s="339"/>
      <c r="Y151" s="125">
        <f>IF(Table2[[#This Row],[SR]]="Yes",Table2[[#This Row],[λ]], 0)</f>
        <v>0</v>
      </c>
    </row>
    <row r="152" spans="1:25" outlineLevel="1">
      <c r="A152" s="128" t="s">
        <v>756</v>
      </c>
      <c r="B152" s="34" t="s">
        <v>418</v>
      </c>
      <c r="C152" s="12" t="s">
        <v>155</v>
      </c>
      <c r="D152" s="12"/>
      <c r="E152" s="12"/>
      <c r="F152" s="125">
        <f>VLOOKUP(Table2[Function], Table1[], 5, FALSE)</f>
        <v>0.50866365397030333</v>
      </c>
      <c r="G152" s="19" t="s">
        <v>140</v>
      </c>
      <c r="H152" s="318" t="s">
        <v>36</v>
      </c>
      <c r="I152" s="122" t="s">
        <v>63</v>
      </c>
      <c r="J152" s="131">
        <f t="shared" si="10"/>
        <v>0.1111111111111111</v>
      </c>
      <c r="K152" s="17">
        <f>Table2[[#This Row],[λ]]*Table2[[#This Row],[Failure rate distribution]]</f>
        <v>5.6518183774478148E-2</v>
      </c>
      <c r="L152" s="318" t="s">
        <v>63</v>
      </c>
      <c r="M152" s="20" t="str">
        <f>VLOOKUP(Table2[[#This Row],[Applicable Safety mechanism]],Table3[],2,FALSE)</f>
        <v>Not applicable</v>
      </c>
      <c r="N152" s="21" t="str">
        <f>VLOOKUP(Table2[[#This Row],[Applicable Safety mechanism]], Table3[], 3,FALSE)</f>
        <v>-</v>
      </c>
      <c r="O152" s="16">
        <f>VLOOKUP(Table2[[#This Row],[Applicable Safety mechanism]], Table3[], 6,FALSE)</f>
        <v>0</v>
      </c>
      <c r="P152" s="22">
        <f>IF(Table2[[#This Row],[Failure mode that has the potential to violate the safety goal in absence of safety mechanism?]]="Yes", Table2[[#This Row],[Failure mode rate]]*(1-Table2[[#This Row],[Failure mode coverage wrt. violation of safety goals]]), 0)</f>
        <v>0</v>
      </c>
      <c r="Q152" s="320" t="s">
        <v>36</v>
      </c>
      <c r="R152" s="122"/>
      <c r="S152" s="331"/>
      <c r="T152" s="171"/>
      <c r="U152" s="16"/>
      <c r="V152" s="125">
        <f>IF(Table2[[#This Row],[Failure mode that may lead to the violation of safety goals in combination with an independent failure of another block ?]]="Yes",(1-Table2[[#This Row],[Failure mode coverage with respect to latent failures]])*Table2[[#This Row],[Failure mode rate]], 0)</f>
        <v>0</v>
      </c>
      <c r="W152" s="170" t="s">
        <v>221</v>
      </c>
      <c r="X152" s="339"/>
      <c r="Y152" s="125">
        <f>IF(Table2[[#This Row],[SR]]="Yes",Table2[[#This Row],[λ]], 0)</f>
        <v>0</v>
      </c>
    </row>
    <row r="153" spans="1:25" outlineLevel="1">
      <c r="A153" s="18" t="s">
        <v>757</v>
      </c>
      <c r="B153" s="34" t="s">
        <v>418</v>
      </c>
      <c r="C153" s="12" t="s">
        <v>155</v>
      </c>
      <c r="D153" s="12"/>
      <c r="E153" s="12"/>
      <c r="F153" s="125">
        <f>VLOOKUP(Table2[Function], Table1[], 5, FALSE)</f>
        <v>0.50866365397030333</v>
      </c>
      <c r="G153" s="19" t="s">
        <v>141</v>
      </c>
      <c r="H153" s="318" t="s">
        <v>36</v>
      </c>
      <c r="I153" s="122" t="s">
        <v>63</v>
      </c>
      <c r="J153" s="131">
        <f t="shared" si="10"/>
        <v>0.1111111111111111</v>
      </c>
      <c r="K153" s="17">
        <f>Table2[[#This Row],[λ]]*Table2[[#This Row],[Failure rate distribution]]</f>
        <v>5.6518183774478148E-2</v>
      </c>
      <c r="L153" s="318" t="s">
        <v>63</v>
      </c>
      <c r="M153" s="20" t="str">
        <f>VLOOKUP(Table2[[#This Row],[Applicable Safety mechanism]],Table3[],2,FALSE)</f>
        <v>Not applicable</v>
      </c>
      <c r="N153" s="21" t="str">
        <f>VLOOKUP(Table2[[#This Row],[Applicable Safety mechanism]], Table3[], 3,FALSE)</f>
        <v>-</v>
      </c>
      <c r="O153" s="16">
        <f>VLOOKUP(Table2[[#This Row],[Applicable Safety mechanism]], Table3[], 6,FALSE)</f>
        <v>0</v>
      </c>
      <c r="P153" s="22">
        <f>IF(Table2[[#This Row],[Failure mode that has the potential to violate the safety goal in absence of safety mechanism?]]="Yes", Table2[[#This Row],[Failure mode rate]]*(1-Table2[[#This Row],[Failure mode coverage wrt. violation of safety goals]]), 0)</f>
        <v>0</v>
      </c>
      <c r="Q153" s="320" t="s">
        <v>35</v>
      </c>
      <c r="R153" s="25" t="s">
        <v>464</v>
      </c>
      <c r="S153" s="318" t="s">
        <v>48</v>
      </c>
      <c r="T153" s="171" t="str">
        <f>VLOOKUP(Table2[[#This Row],[Detection means ? Safety mechanism(s) allowing to prevent the failure mode from being latent ?]],Table3[],2,FALSE)</f>
        <v>Input comparison/voting</v>
      </c>
      <c r="U153" s="16">
        <f>VLOOKUP(Table2[[#This Row],[Detection means ? Safety mechanism(s) allowing to prevent the failure mode from being latent ?]], Table3[], 6,FALSE)</f>
        <v>0.99</v>
      </c>
      <c r="V153" s="125">
        <f>IF(Table2[[#This Row],[Failure mode that may lead to the violation of safety goals in combination with an independent failure of another block ?]]="Yes",(1-Table2[[#This Row],[Failure mode coverage with respect to latent failures]])*Table2[[#This Row],[Failure mode rate]], 0)</f>
        <v>5.6518183774478196E-4</v>
      </c>
      <c r="W153" s="12"/>
      <c r="X153" s="339"/>
      <c r="Y153" s="125">
        <f>IF(Table2[[#This Row],[SR]]="Yes",Table2[[#This Row],[λ]], 0)</f>
        <v>0</v>
      </c>
    </row>
    <row r="154" spans="1:25" outlineLevel="1">
      <c r="A154" s="128" t="s">
        <v>758</v>
      </c>
      <c r="B154" s="34" t="s">
        <v>418</v>
      </c>
      <c r="C154" s="12" t="s">
        <v>155</v>
      </c>
      <c r="D154" s="12"/>
      <c r="E154" s="12"/>
      <c r="F154" s="125">
        <f>VLOOKUP(Table2[Function], Table1[], 5, FALSE)</f>
        <v>0.50866365397030333</v>
      </c>
      <c r="G154" s="19" t="s">
        <v>142</v>
      </c>
      <c r="H154" s="318" t="s">
        <v>36</v>
      </c>
      <c r="I154" s="122" t="s">
        <v>63</v>
      </c>
      <c r="J154" s="131">
        <f t="shared" si="10"/>
        <v>0.1111111111111111</v>
      </c>
      <c r="K154" s="17">
        <f>Table2[[#This Row],[λ]]*Table2[[#This Row],[Failure rate distribution]]</f>
        <v>5.6518183774478148E-2</v>
      </c>
      <c r="L154" s="318" t="s">
        <v>63</v>
      </c>
      <c r="M154" s="20" t="str">
        <f>VLOOKUP(Table2[[#This Row],[Applicable Safety mechanism]],Table3[],2,FALSE)</f>
        <v>Not applicable</v>
      </c>
      <c r="N154" s="21" t="str">
        <f>VLOOKUP(Table2[[#This Row],[Applicable Safety mechanism]], Table3[], 3,FALSE)</f>
        <v>-</v>
      </c>
      <c r="O154" s="16">
        <f>VLOOKUP(Table2[[#This Row],[Applicable Safety mechanism]], Table3[], 6,FALSE)</f>
        <v>0</v>
      </c>
      <c r="P154" s="22">
        <f>IF(Table2[[#This Row],[Failure mode that has the potential to violate the safety goal in absence of safety mechanism?]]="Yes", Table2[[#This Row],[Failure mode rate]]*(1-Table2[[#This Row],[Failure mode coverage wrt. violation of safety goals]]), 0)</f>
        <v>0</v>
      </c>
      <c r="Q154" s="320" t="s">
        <v>35</v>
      </c>
      <c r="R154" s="25" t="s">
        <v>464</v>
      </c>
      <c r="S154" s="318" t="s">
        <v>48</v>
      </c>
      <c r="T154" s="171" t="str">
        <f>VLOOKUP(Table2[[#This Row],[Detection means ? Safety mechanism(s) allowing to prevent the failure mode from being latent ?]],Table3[],2,FALSE)</f>
        <v>Input comparison/voting</v>
      </c>
      <c r="U154" s="16">
        <f>VLOOKUP(Table2[[#This Row],[Detection means ? Safety mechanism(s) allowing to prevent the failure mode from being latent ?]], Table3[], 6,FALSE)</f>
        <v>0.99</v>
      </c>
      <c r="V154" s="125">
        <f>IF(Table2[[#This Row],[Failure mode that may lead to the violation of safety goals in combination with an independent failure of another block ?]]="Yes",(1-Table2[[#This Row],[Failure mode coverage with respect to latent failures]])*Table2[[#This Row],[Failure mode rate]], 0)</f>
        <v>5.6518183774478196E-4</v>
      </c>
      <c r="W154" s="12"/>
      <c r="X154" s="339"/>
      <c r="Y154" s="125">
        <f>IF(Table2[[#This Row],[SR]]="Yes",Table2[[#This Row],[λ]], 0)</f>
        <v>0</v>
      </c>
    </row>
    <row r="155" spans="1:25" ht="28.8" outlineLevel="1">
      <c r="A155" s="18" t="s">
        <v>759</v>
      </c>
      <c r="B155" s="34" t="s">
        <v>418</v>
      </c>
      <c r="C155" s="12" t="s">
        <v>155</v>
      </c>
      <c r="D155" s="12"/>
      <c r="E155" s="12"/>
      <c r="F155" s="125">
        <f>VLOOKUP(Table2[Function], Table1[], 5, FALSE)</f>
        <v>0.50866365397030333</v>
      </c>
      <c r="G155" s="19" t="s">
        <v>355</v>
      </c>
      <c r="H155" s="318" t="s">
        <v>36</v>
      </c>
      <c r="I155" s="122" t="s">
        <v>63</v>
      </c>
      <c r="J155" s="131">
        <f t="shared" si="10"/>
        <v>0.1111111111111111</v>
      </c>
      <c r="K155" s="17">
        <f>Table2[[#This Row],[λ]]*Table2[[#This Row],[Failure rate distribution]]</f>
        <v>5.6518183774478148E-2</v>
      </c>
      <c r="L155" s="318" t="s">
        <v>63</v>
      </c>
      <c r="M155" s="20" t="str">
        <f>VLOOKUP(Table2[[#This Row],[Applicable Safety mechanism]],Table3[],2,FALSE)</f>
        <v>Not applicable</v>
      </c>
      <c r="N155" s="21" t="str">
        <f>VLOOKUP(Table2[[#This Row],[Applicable Safety mechanism]], Table3[], 3,FALSE)</f>
        <v>-</v>
      </c>
      <c r="O155" s="16">
        <f>VLOOKUP(Table2[[#This Row],[Applicable Safety mechanism]], Table3[], 6,FALSE)</f>
        <v>0</v>
      </c>
      <c r="P155" s="22">
        <f>IF(Table2[[#This Row],[Failure mode that has the potential to violate the safety goal in absence of safety mechanism?]]="Yes", Table2[[#This Row],[Failure mode rate]]*(1-Table2[[#This Row],[Failure mode coverage wrt. violation of safety goals]]), 0)</f>
        <v>0</v>
      </c>
      <c r="Q155" s="320" t="s">
        <v>35</v>
      </c>
      <c r="R155" s="25" t="s">
        <v>464</v>
      </c>
      <c r="S155" s="318" t="s">
        <v>48</v>
      </c>
      <c r="T155" s="171" t="str">
        <f>VLOOKUP(Table2[[#This Row],[Detection means ? Safety mechanism(s) allowing to prevent the failure mode from being latent ?]],Table3[],2,FALSE)</f>
        <v>Input comparison/voting</v>
      </c>
      <c r="U155" s="16">
        <f>VLOOKUP(Table2[[#This Row],[Detection means ? Safety mechanism(s) allowing to prevent the failure mode from being latent ?]], Table3[], 6,FALSE)</f>
        <v>0.99</v>
      </c>
      <c r="V155" s="125">
        <f>IF(Table2[[#This Row],[Failure mode that may lead to the violation of safety goals in combination with an independent failure of another block ?]]="Yes",(1-Table2[[#This Row],[Failure mode coverage with respect to latent failures]])*Table2[[#This Row],[Failure mode rate]], 0)</f>
        <v>5.6518183774478196E-4</v>
      </c>
      <c r="W155" s="12"/>
      <c r="X155" s="339"/>
      <c r="Y155" s="125">
        <f>IF(Table2[[#This Row],[SR]]="Yes",Table2[[#This Row],[λ]], 0)</f>
        <v>0</v>
      </c>
    </row>
    <row r="156" spans="1:25" outlineLevel="1">
      <c r="A156" s="128" t="s">
        <v>760</v>
      </c>
      <c r="B156" s="34" t="s">
        <v>418</v>
      </c>
      <c r="C156" s="123" t="s">
        <v>155</v>
      </c>
      <c r="D156" s="123"/>
      <c r="E156" s="123"/>
      <c r="F156" s="125">
        <f>VLOOKUP(Table2[Function], Table1[], 5, FALSE)</f>
        <v>0.50866365397030333</v>
      </c>
      <c r="G156" s="129" t="s">
        <v>345</v>
      </c>
      <c r="H156" s="318" t="s">
        <v>36</v>
      </c>
      <c r="I156" s="122" t="s">
        <v>63</v>
      </c>
      <c r="J156" s="131">
        <f t="shared" si="10"/>
        <v>0.1111111111111111</v>
      </c>
      <c r="K156" s="125">
        <f>Table2[[#This Row],[λ]]*Table2[[#This Row],[Failure rate distribution]]</f>
        <v>5.6518183774478148E-2</v>
      </c>
      <c r="L156" s="318" t="s">
        <v>63</v>
      </c>
      <c r="M156" s="20" t="str">
        <f>VLOOKUP(Table2[[#This Row],[Applicable Safety mechanism]],Table3[],2,FALSE)</f>
        <v>Not applicable</v>
      </c>
      <c r="N156" s="21" t="str">
        <f>VLOOKUP(Table2[[#This Row],[Applicable Safety mechanism]], Table3[], 3,FALSE)</f>
        <v>-</v>
      </c>
      <c r="O156" s="16">
        <f>VLOOKUP(Table2[[#This Row],[Applicable Safety mechanism]], Table3[], 6,FALSE)</f>
        <v>0</v>
      </c>
      <c r="P156" s="126">
        <f>IF(Table2[[#This Row],[Failure mode that has the potential to violate the safety goal in absence of safety mechanism?]]="Yes", Table2[[#This Row],[Failure mode rate]]*(1-Table2[[#This Row],[Failure mode coverage wrt. violation of safety goals]]), 0)</f>
        <v>0</v>
      </c>
      <c r="Q156" s="320" t="s">
        <v>35</v>
      </c>
      <c r="R156" s="25" t="s">
        <v>464</v>
      </c>
      <c r="S156" s="318" t="s">
        <v>126</v>
      </c>
      <c r="T156" s="171" t="str">
        <f>VLOOKUP(Table2[[#This Row],[Detection means ? Safety mechanism(s) allowing to prevent the failure mode from being latent ?]],Table3[],2,FALSE)</f>
        <v>Analog and Logical BuitIn Self Test</v>
      </c>
      <c r="U156" s="16">
        <f>VLOOKUP(Table2[[#This Row],[Detection means ? Safety mechanism(s) allowing to prevent the failure mode from being latent ?]], Table3[], 6,FALSE)</f>
        <v>0.6</v>
      </c>
      <c r="V156" s="125">
        <f>IF(Table2[[#This Row],[Failure mode that may lead to the violation of safety goals in combination with an independent failure of another block ?]]="Yes",(1-Table2[[#This Row],[Failure mode coverage with respect to latent failures]])*Table2[[#This Row],[Failure mode rate]], 0)</f>
        <v>2.2607273509791262E-2</v>
      </c>
      <c r="W156" s="123"/>
      <c r="X156" s="339"/>
      <c r="Y156" s="125">
        <f>IF(Table2[[#This Row],[SR]]="Yes",Table2[[#This Row],[λ]], 0)</f>
        <v>0</v>
      </c>
    </row>
    <row r="157" spans="1:25" ht="28.8">
      <c r="A157" s="18" t="s">
        <v>761</v>
      </c>
      <c r="B157" s="130" t="s">
        <v>418</v>
      </c>
      <c r="C157" s="31" t="s">
        <v>155</v>
      </c>
      <c r="D157" s="11" t="s">
        <v>63</v>
      </c>
      <c r="E157" s="11"/>
      <c r="F157" s="125">
        <f>VLOOKUP(Table2[Function], Table1[], 5, FALSE)</f>
        <v>0.50866365397030333</v>
      </c>
      <c r="G157" s="122" t="s">
        <v>63</v>
      </c>
      <c r="H157" s="318" t="s">
        <v>63</v>
      </c>
      <c r="I157" s="122" t="s">
        <v>63</v>
      </c>
      <c r="J157" s="122" t="s">
        <v>63</v>
      </c>
      <c r="K157" s="125" t="s">
        <v>63</v>
      </c>
      <c r="L157" s="318" t="s">
        <v>63</v>
      </c>
      <c r="M157" s="122" t="s">
        <v>63</v>
      </c>
      <c r="N157" s="122" t="s">
        <v>63</v>
      </c>
      <c r="O157" s="122" t="s">
        <v>63</v>
      </c>
      <c r="P157" s="122" t="s">
        <v>63</v>
      </c>
      <c r="Q157" s="318" t="s">
        <v>63</v>
      </c>
      <c r="R157" s="11"/>
      <c r="S157" s="318"/>
      <c r="T157" s="170"/>
      <c r="U157" s="122"/>
      <c r="V157" s="122"/>
      <c r="W157" s="122"/>
      <c r="X157" s="339"/>
      <c r="Y157" s="125"/>
    </row>
    <row r="158" spans="1:25" ht="72" outlineLevel="1">
      <c r="A158" s="128" t="s">
        <v>762</v>
      </c>
      <c r="B158" s="34" t="s">
        <v>527</v>
      </c>
      <c r="C158" s="123" t="s">
        <v>531</v>
      </c>
      <c r="D158" s="123" t="s">
        <v>529</v>
      </c>
      <c r="E158" s="123" t="s">
        <v>216</v>
      </c>
      <c r="F158" s="125">
        <f>VLOOKUP(Table2[Function], Table1[], 5, FALSE)</f>
        <v>0.65053582956746281</v>
      </c>
      <c r="G158" s="19" t="s">
        <v>147</v>
      </c>
      <c r="H158" s="320" t="s">
        <v>36</v>
      </c>
      <c r="I158" s="169" t="s">
        <v>63</v>
      </c>
      <c r="J158" s="131">
        <f>1/9</f>
        <v>0.1111111111111111</v>
      </c>
      <c r="K158" s="125">
        <f>Table2[[#This Row],[λ]]*Table2[[#This Row],[Failure rate distribution]]</f>
        <v>7.2281758840829199E-2</v>
      </c>
      <c r="L158" s="318" t="s">
        <v>63</v>
      </c>
      <c r="M158" s="20" t="str">
        <f>VLOOKUP(Table2[[#This Row],[Applicable Safety mechanism]],Table3[],2,FALSE)</f>
        <v>Not applicable</v>
      </c>
      <c r="N158" s="21" t="str">
        <f>VLOOKUP(Table2[[#This Row],[Applicable Safety mechanism]], Table3[], 3,FALSE)</f>
        <v>-</v>
      </c>
      <c r="O158" s="16">
        <f>VLOOKUP(Table2[[#This Row],[Applicable Safety mechanism]], Table3[], 6,FALSE)</f>
        <v>0</v>
      </c>
      <c r="P158" s="126">
        <f>IF(Table2[[#This Row],[Failure mode that has the potential to violate the safety goal in absence of safety mechanism?]]="Yes", Table2[[#This Row],[Failure mode rate]]*(1-Table2[[#This Row],[Failure mode coverage wrt. violation of safety goals]]), 0)</f>
        <v>0</v>
      </c>
      <c r="Q158" s="320" t="s">
        <v>36</v>
      </c>
      <c r="R158" s="25"/>
      <c r="S158" s="332"/>
      <c r="T158" s="171"/>
      <c r="U158" s="16"/>
      <c r="V158" s="16"/>
      <c r="W158" s="170" t="s">
        <v>221</v>
      </c>
      <c r="X158" s="332" t="str">
        <f>'Safety Mechanisms'!E13</f>
        <v>Yes</v>
      </c>
      <c r="Y158" s="125">
        <f>IF(Table2[[#This Row],[SR]]="Yes",Table2[[#This Row],[λ]], 0)</f>
        <v>0.65053582956746281</v>
      </c>
    </row>
    <row r="159" spans="1:25" outlineLevel="1">
      <c r="A159" s="18" t="s">
        <v>763</v>
      </c>
      <c r="B159" s="123" t="s">
        <v>527</v>
      </c>
      <c r="C159" s="123" t="s">
        <v>531</v>
      </c>
      <c r="D159" s="123"/>
      <c r="E159" s="123"/>
      <c r="F159" s="125">
        <f>VLOOKUP(Table2[Function], Table1[], 5, FALSE)</f>
        <v>0.65053582956746281</v>
      </c>
      <c r="G159" s="19" t="s">
        <v>148</v>
      </c>
      <c r="H159" s="320" t="s">
        <v>36</v>
      </c>
      <c r="I159" s="169" t="s">
        <v>63</v>
      </c>
      <c r="J159" s="131">
        <f t="shared" ref="J159:J166" si="11">1/9</f>
        <v>0.1111111111111111</v>
      </c>
      <c r="K159" s="125">
        <f>Table2[[#This Row],[λ]]*Table2[[#This Row],[Failure rate distribution]]</f>
        <v>7.2281758840829199E-2</v>
      </c>
      <c r="L159" s="318" t="s">
        <v>63</v>
      </c>
      <c r="M159" s="20" t="str">
        <f>VLOOKUP(Table2[[#This Row],[Applicable Safety mechanism]],Table3[],2,FALSE)</f>
        <v>Not applicable</v>
      </c>
      <c r="N159" s="21" t="str">
        <f>VLOOKUP(Table2[[#This Row],[Applicable Safety mechanism]], Table3[], 3,FALSE)</f>
        <v>-</v>
      </c>
      <c r="O159" s="16">
        <f>VLOOKUP(Table2[[#This Row],[Applicable Safety mechanism]], Table3[], 6,FALSE)</f>
        <v>0</v>
      </c>
      <c r="P159" s="126">
        <f>IF(Table2[[#This Row],[Failure mode that has the potential to violate the safety goal in absence of safety mechanism?]]="Yes", Table2[[#This Row],[Failure mode rate]]*(1-Table2[[#This Row],[Failure mode coverage wrt. violation of safety goals]]), 0)</f>
        <v>0</v>
      </c>
      <c r="Q159" s="320" t="s">
        <v>36</v>
      </c>
      <c r="R159" s="25"/>
      <c r="S159" s="332"/>
      <c r="T159" s="16"/>
      <c r="U159" s="16"/>
      <c r="V159" s="16"/>
      <c r="W159" s="123"/>
      <c r="X159" s="339"/>
      <c r="Y159" s="125">
        <f>IF(Table2[[#This Row],[SR]]="Yes",Table2[[#This Row],[λ]], 0)</f>
        <v>0</v>
      </c>
    </row>
    <row r="160" spans="1:25" ht="43.2" outlineLevel="1">
      <c r="A160" s="128" t="s">
        <v>764</v>
      </c>
      <c r="B160" s="123" t="s">
        <v>527</v>
      </c>
      <c r="C160" s="123" t="s">
        <v>531</v>
      </c>
      <c r="D160" s="123"/>
      <c r="E160" s="123"/>
      <c r="F160" s="125">
        <f>VLOOKUP(Table2[Function], Table1[], 5, FALSE)</f>
        <v>0.65053582956746281</v>
      </c>
      <c r="G160" s="19" t="s">
        <v>149</v>
      </c>
      <c r="H160" s="320" t="s">
        <v>36</v>
      </c>
      <c r="I160" s="169" t="s">
        <v>63</v>
      </c>
      <c r="J160" s="131">
        <f t="shared" si="11"/>
        <v>0.1111111111111111</v>
      </c>
      <c r="K160" s="125">
        <f>Table2[[#This Row],[λ]]*Table2[[#This Row],[Failure rate distribution]]</f>
        <v>7.2281758840829199E-2</v>
      </c>
      <c r="L160" s="318" t="s">
        <v>63</v>
      </c>
      <c r="M160" s="20" t="str">
        <f>VLOOKUP(Table2[[#This Row],[Applicable Safety mechanism]],Table3[],2,FALSE)</f>
        <v>Not applicable</v>
      </c>
      <c r="N160" s="21" t="str">
        <f>VLOOKUP(Table2[[#This Row],[Applicable Safety mechanism]], Table3[], 3,FALSE)</f>
        <v>-</v>
      </c>
      <c r="O160" s="16">
        <f>VLOOKUP(Table2[[#This Row],[Applicable Safety mechanism]], Table3[], 6,FALSE)</f>
        <v>0</v>
      </c>
      <c r="P160" s="126">
        <f>IF(Table2[[#This Row],[Failure mode that has the potential to violate the safety goal in absence of safety mechanism?]]="Yes", Table2[[#This Row],[Failure mode rate]]*(1-Table2[[#This Row],[Failure mode coverage wrt. violation of safety goals]]), 0)</f>
        <v>0</v>
      </c>
      <c r="Q160" s="345" t="str">
        <f>'Safety Mechanisms'!E18</f>
        <v>Yes</v>
      </c>
      <c r="R160" s="190" t="s">
        <v>601</v>
      </c>
      <c r="S160" s="318" t="s">
        <v>534</v>
      </c>
      <c r="T160" s="171" t="str">
        <f>VLOOKUP(Table2[[#This Row],[Detection means ? Safety mechanism(s) allowing to prevent the failure mode from being latent ?]],Table3[],2,FALSE)</f>
        <v>Verify the good activation of FS0b before starting the application with IO_4/5 configured safety critical</v>
      </c>
      <c r="U160" s="16">
        <f>VLOOKUP(Table2[[#This Row],[Detection means ? Safety mechanism(s) allowing to prevent the failure mode from being latent ?]], Table3[], 6,FALSE)</f>
        <v>0.99</v>
      </c>
      <c r="V160" s="125">
        <f>IF(Table2[[#This Row],[Failure mode that may lead to the violation of safety goals in combination with an independent failure of another block ?]]="Yes",(1-Table2[[#This Row],[Failure mode coverage with respect to latent failures]])*Table2[[#This Row],[Failure mode rate]], 0)</f>
        <v>7.2281758840829263E-4</v>
      </c>
      <c r="W160" s="123"/>
      <c r="X160" s="339"/>
      <c r="Y160" s="125">
        <f>IF(Table2[[#This Row],[SR]]="Yes",Table2[[#This Row],[λ]], 0)</f>
        <v>0</v>
      </c>
    </row>
    <row r="161" spans="1:25" ht="43.2" outlineLevel="1">
      <c r="A161" s="18" t="s">
        <v>765</v>
      </c>
      <c r="B161" s="123" t="s">
        <v>527</v>
      </c>
      <c r="C161" s="123" t="s">
        <v>531</v>
      </c>
      <c r="D161" s="123"/>
      <c r="E161" s="123"/>
      <c r="F161" s="125">
        <f>VLOOKUP(Table2[Function], Table1[], 5, FALSE)</f>
        <v>0.65053582956746281</v>
      </c>
      <c r="G161" s="19" t="s">
        <v>150</v>
      </c>
      <c r="H161" s="320" t="s">
        <v>36</v>
      </c>
      <c r="I161" s="169" t="s">
        <v>63</v>
      </c>
      <c r="J161" s="131">
        <f t="shared" si="11"/>
        <v>0.1111111111111111</v>
      </c>
      <c r="K161" s="125">
        <f>Table2[[#This Row],[λ]]*Table2[[#This Row],[Failure rate distribution]]</f>
        <v>7.2281758840829199E-2</v>
      </c>
      <c r="L161" s="318" t="s">
        <v>63</v>
      </c>
      <c r="M161" s="20" t="str">
        <f>VLOOKUP(Table2[[#This Row],[Applicable Safety mechanism]],Table3[],2,FALSE)</f>
        <v>Not applicable</v>
      </c>
      <c r="N161" s="21" t="str">
        <f>VLOOKUP(Table2[[#This Row],[Applicable Safety mechanism]], Table3[], 3,FALSE)</f>
        <v>-</v>
      </c>
      <c r="O161" s="16">
        <f>VLOOKUP(Table2[[#This Row],[Applicable Safety mechanism]], Table3[], 6,FALSE)</f>
        <v>0</v>
      </c>
      <c r="P161" s="126">
        <f>IF(Table2[[#This Row],[Failure mode that has the potential to violate the safety goal in absence of safety mechanism?]]="Yes", Table2[[#This Row],[Failure mode rate]]*(1-Table2[[#This Row],[Failure mode coverage wrt. violation of safety goals]]), 0)</f>
        <v>0</v>
      </c>
      <c r="Q161" s="345" t="str">
        <f>'Safety Mechanisms'!E18</f>
        <v>Yes</v>
      </c>
      <c r="R161" s="190" t="s">
        <v>601</v>
      </c>
      <c r="S161" s="318" t="s">
        <v>534</v>
      </c>
      <c r="T161" s="171" t="str">
        <f>VLOOKUP(Table2[[#This Row],[Detection means ? Safety mechanism(s) allowing to prevent the failure mode from being latent ?]],Table3[],2,FALSE)</f>
        <v>Verify the good activation of FS0b before starting the application with IO_4/5 configured safety critical</v>
      </c>
      <c r="U161" s="16">
        <f>VLOOKUP(Table2[[#This Row],[Detection means ? Safety mechanism(s) allowing to prevent the failure mode from being latent ?]], Table3[], 6,FALSE)</f>
        <v>0.99</v>
      </c>
      <c r="V161" s="125">
        <f>IF(Table2[[#This Row],[Failure mode that may lead to the violation of safety goals in combination with an independent failure of another block ?]]="Yes",(1-Table2[[#This Row],[Failure mode coverage with respect to latent failures]])*Table2[[#This Row],[Failure mode rate]], 0)</f>
        <v>7.2281758840829263E-4</v>
      </c>
      <c r="W161" s="123"/>
      <c r="X161" s="339"/>
      <c r="Y161" s="125">
        <f>IF(Table2[[#This Row],[SR]]="Yes",Table2[[#This Row],[λ]], 0)</f>
        <v>0</v>
      </c>
    </row>
    <row r="162" spans="1:25" ht="28.8" outlineLevel="1">
      <c r="A162" s="128" t="s">
        <v>766</v>
      </c>
      <c r="B162" s="123" t="s">
        <v>527</v>
      </c>
      <c r="C162" s="123" t="s">
        <v>531</v>
      </c>
      <c r="D162" s="123"/>
      <c r="E162" s="123"/>
      <c r="F162" s="125">
        <f>VLOOKUP(Table2[Function], Table1[], 5, FALSE)</f>
        <v>0.65053582956746281</v>
      </c>
      <c r="G162" s="19" t="s">
        <v>151</v>
      </c>
      <c r="H162" s="320" t="s">
        <v>36</v>
      </c>
      <c r="I162" s="169" t="s">
        <v>63</v>
      </c>
      <c r="J162" s="131">
        <f t="shared" si="11"/>
        <v>0.1111111111111111</v>
      </c>
      <c r="K162" s="125">
        <f>Table2[[#This Row],[λ]]*Table2[[#This Row],[Failure rate distribution]]</f>
        <v>7.2281758840829199E-2</v>
      </c>
      <c r="L162" s="318" t="s">
        <v>63</v>
      </c>
      <c r="M162" s="20" t="str">
        <f>VLOOKUP(Table2[[#This Row],[Applicable Safety mechanism]],Table3[],2,FALSE)</f>
        <v>Not applicable</v>
      </c>
      <c r="N162" s="21" t="str">
        <f>VLOOKUP(Table2[[#This Row],[Applicable Safety mechanism]], Table3[], 3,FALSE)</f>
        <v>-</v>
      </c>
      <c r="O162" s="16">
        <f>VLOOKUP(Table2[[#This Row],[Applicable Safety mechanism]], Table3[], 6,FALSE)</f>
        <v>0</v>
      </c>
      <c r="P162" s="126">
        <f>IF(Table2[[#This Row],[Failure mode that has the potential to violate the safety goal in absence of safety mechanism?]]="Yes", Table2[[#This Row],[Failure mode rate]]*(1-Table2[[#This Row],[Failure mode coverage wrt. violation of safety goals]]), 0)</f>
        <v>0</v>
      </c>
      <c r="Q162" s="345" t="str">
        <f>'Safety Mechanisms'!E13</f>
        <v>Yes</v>
      </c>
      <c r="R162" s="190" t="s">
        <v>601</v>
      </c>
      <c r="S162" s="318" t="s">
        <v>532</v>
      </c>
      <c r="T162" s="171" t="str">
        <f>VLOOKUP(Table2[[#This Row],[Detection means ? Safety mechanism(s) allowing to prevent the failure mode from being latent ?]],Table3[],2,FALSE)</f>
        <v>Information redundancy / Frame counter / Timeout monitoring</v>
      </c>
      <c r="U162" s="16">
        <f>VLOOKUP(Table2[[#This Row],[Detection means ? Safety mechanism(s) allowing to prevent the failure mode from being latent ?]], Table3[], 6,FALSE)</f>
        <v>0.99</v>
      </c>
      <c r="V162" s="125">
        <f>IF(Table2[[#This Row],[Failure mode that may lead to the violation of safety goals in combination with an independent failure of another block ?]]="Yes",(1-Table2[[#This Row],[Failure mode coverage with respect to latent failures]])*Table2[[#This Row],[Failure mode rate]], 0)</f>
        <v>7.2281758840829263E-4</v>
      </c>
      <c r="W162" s="123" t="s">
        <v>530</v>
      </c>
      <c r="X162" s="339"/>
      <c r="Y162" s="125">
        <f>IF(Table2[[#This Row],[SR]]="Yes",Table2[[#This Row],[λ]], 0)</f>
        <v>0</v>
      </c>
    </row>
    <row r="163" spans="1:25" ht="43.2" outlineLevel="1">
      <c r="A163" s="18" t="s">
        <v>767</v>
      </c>
      <c r="B163" s="123" t="s">
        <v>527</v>
      </c>
      <c r="C163" s="123" t="s">
        <v>531</v>
      </c>
      <c r="D163" s="123"/>
      <c r="E163" s="123"/>
      <c r="F163" s="125">
        <f>VLOOKUP(Table2[Function], Table1[], 5, FALSE)</f>
        <v>0.65053582956746281</v>
      </c>
      <c r="G163" s="19" t="s">
        <v>152</v>
      </c>
      <c r="H163" s="320" t="s">
        <v>36</v>
      </c>
      <c r="I163" s="169" t="s">
        <v>63</v>
      </c>
      <c r="J163" s="131">
        <f t="shared" si="11"/>
        <v>0.1111111111111111</v>
      </c>
      <c r="K163" s="125">
        <f>Table2[[#This Row],[λ]]*Table2[[#This Row],[Failure rate distribution]]</f>
        <v>7.2281758840829199E-2</v>
      </c>
      <c r="L163" s="318" t="s">
        <v>63</v>
      </c>
      <c r="M163" s="20" t="str">
        <f>VLOOKUP(Table2[[#This Row],[Applicable Safety mechanism]],Table3[],2,FALSE)</f>
        <v>Not applicable</v>
      </c>
      <c r="N163" s="21" t="str">
        <f>VLOOKUP(Table2[[#This Row],[Applicable Safety mechanism]], Table3[], 3,FALSE)</f>
        <v>-</v>
      </c>
      <c r="O163" s="16">
        <f>VLOOKUP(Table2[[#This Row],[Applicable Safety mechanism]], Table3[], 6,FALSE)</f>
        <v>0</v>
      </c>
      <c r="P163" s="126">
        <f>IF(Table2[[#This Row],[Failure mode that has the potential to violate the safety goal in absence of safety mechanism?]]="Yes", Table2[[#This Row],[Failure mode rate]]*(1-Table2[[#This Row],[Failure mode coverage wrt. violation of safety goals]]), 0)</f>
        <v>0</v>
      </c>
      <c r="Q163" s="345" t="str">
        <f>'Safety Mechanisms'!E18</f>
        <v>Yes</v>
      </c>
      <c r="R163" s="190" t="s">
        <v>601</v>
      </c>
      <c r="S163" s="318" t="s">
        <v>534</v>
      </c>
      <c r="T163" s="171" t="str">
        <f>VLOOKUP(Table2[[#This Row],[Detection means ? Safety mechanism(s) allowing to prevent the failure mode from being latent ?]],Table3[],2,FALSE)</f>
        <v>Verify the good activation of FS0b before starting the application with IO_4/5 configured safety critical</v>
      </c>
      <c r="U163" s="16">
        <f>VLOOKUP(Table2[[#This Row],[Detection means ? Safety mechanism(s) allowing to prevent the failure mode from being latent ?]], Table3[], 6,FALSE)</f>
        <v>0.99</v>
      </c>
      <c r="V163" s="125">
        <f>IF(Table2[[#This Row],[Failure mode that may lead to the violation of safety goals in combination with an independent failure of another block ?]]="Yes",(1-Table2[[#This Row],[Failure mode coverage with respect to latent failures]])*Table2[[#This Row],[Failure mode rate]], 0)</f>
        <v>7.2281758840829263E-4</v>
      </c>
      <c r="W163" s="123"/>
      <c r="X163" s="339"/>
      <c r="Y163" s="125">
        <f>IF(Table2[[#This Row],[SR]]="Yes",Table2[[#This Row],[λ]], 0)</f>
        <v>0</v>
      </c>
    </row>
    <row r="164" spans="1:25" ht="28.8" outlineLevel="1">
      <c r="A164" s="128" t="s">
        <v>768</v>
      </c>
      <c r="B164" s="123" t="s">
        <v>527</v>
      </c>
      <c r="C164" s="123" t="s">
        <v>531</v>
      </c>
      <c r="D164" s="123"/>
      <c r="E164" s="123"/>
      <c r="F164" s="125">
        <f>VLOOKUP(Table2[Function], Table1[], 5, FALSE)</f>
        <v>0.65053582956746281</v>
      </c>
      <c r="G164" s="33" t="s">
        <v>153</v>
      </c>
      <c r="H164" s="320" t="s">
        <v>36</v>
      </c>
      <c r="I164" s="169" t="s">
        <v>63</v>
      </c>
      <c r="J164" s="131">
        <f t="shared" si="11"/>
        <v>0.1111111111111111</v>
      </c>
      <c r="K164" s="125">
        <f>Table2[[#This Row],[λ]]*Table2[[#This Row],[Failure rate distribution]]</f>
        <v>7.2281758840829199E-2</v>
      </c>
      <c r="L164" s="318" t="s">
        <v>63</v>
      </c>
      <c r="M164" s="20" t="str">
        <f>VLOOKUP(Table2[[#This Row],[Applicable Safety mechanism]],Table3[],2,FALSE)</f>
        <v>Not applicable</v>
      </c>
      <c r="N164" s="21" t="str">
        <f>VLOOKUP(Table2[[#This Row],[Applicable Safety mechanism]], Table3[], 3,FALSE)</f>
        <v>-</v>
      </c>
      <c r="O164" s="16">
        <f>VLOOKUP(Table2[[#This Row],[Applicable Safety mechanism]], Table3[], 6,FALSE)</f>
        <v>0</v>
      </c>
      <c r="P164" s="126">
        <f>IF(Table2[[#This Row],[Failure mode that has the potential to violate the safety goal in absence of safety mechanism?]]="Yes", Table2[[#This Row],[Failure mode rate]]*(1-Table2[[#This Row],[Failure mode coverage wrt. violation of safety goals]]), 0)</f>
        <v>0</v>
      </c>
      <c r="Q164" s="345" t="str">
        <f>'Safety Mechanisms'!E13</f>
        <v>Yes</v>
      </c>
      <c r="R164" s="190" t="s">
        <v>601</v>
      </c>
      <c r="S164" s="318" t="s">
        <v>532</v>
      </c>
      <c r="T164" s="171" t="str">
        <f>VLOOKUP(Table2[[#This Row],[Detection means ? Safety mechanism(s) allowing to prevent the failure mode from being latent ?]],Table3[],2,FALSE)</f>
        <v>Information redundancy / Frame counter / Timeout monitoring</v>
      </c>
      <c r="U164" s="16">
        <f>VLOOKUP(Table2[[#This Row],[Detection means ? Safety mechanism(s) allowing to prevent the failure mode from being latent ?]], Table3[], 6,FALSE)</f>
        <v>0.99</v>
      </c>
      <c r="V164" s="125">
        <f>IF(Table2[[#This Row],[Failure mode that may lead to the violation of safety goals in combination with an independent failure of another block ?]]="Yes",(1-Table2[[#This Row],[Failure mode coverage with respect to latent failures]])*Table2[[#This Row],[Failure mode rate]], 0)</f>
        <v>7.2281758840829263E-4</v>
      </c>
      <c r="W164" s="123"/>
      <c r="X164" s="339"/>
      <c r="Y164" s="125">
        <f>IF(Table2[[#This Row],[SR]]="Yes",Table2[[#This Row],[λ]], 0)</f>
        <v>0</v>
      </c>
    </row>
    <row r="165" spans="1:25" ht="28.8" outlineLevel="1">
      <c r="A165" s="18" t="s">
        <v>769</v>
      </c>
      <c r="B165" s="123" t="s">
        <v>527</v>
      </c>
      <c r="C165" s="123" t="s">
        <v>531</v>
      </c>
      <c r="D165" s="123"/>
      <c r="E165" s="123"/>
      <c r="F165" s="125">
        <f>VLOOKUP(Table2[Function], Table1[], 5, FALSE)</f>
        <v>0.65053582956746281</v>
      </c>
      <c r="G165" s="19" t="s">
        <v>154</v>
      </c>
      <c r="H165" s="320" t="s">
        <v>36</v>
      </c>
      <c r="I165" s="169" t="s">
        <v>63</v>
      </c>
      <c r="J165" s="131">
        <f t="shared" si="11"/>
        <v>0.1111111111111111</v>
      </c>
      <c r="K165" s="125">
        <f>Table2[[#This Row],[λ]]*Table2[[#This Row],[Failure rate distribution]]</f>
        <v>7.2281758840829199E-2</v>
      </c>
      <c r="L165" s="318" t="s">
        <v>63</v>
      </c>
      <c r="M165" s="20" t="str">
        <f>VLOOKUP(Table2[[#This Row],[Applicable Safety mechanism]],Table3[],2,FALSE)</f>
        <v>Not applicable</v>
      </c>
      <c r="N165" s="21" t="str">
        <f>VLOOKUP(Table2[[#This Row],[Applicable Safety mechanism]], Table3[], 3,FALSE)</f>
        <v>-</v>
      </c>
      <c r="O165" s="16">
        <f>VLOOKUP(Table2[[#This Row],[Applicable Safety mechanism]], Table3[], 6,FALSE)</f>
        <v>0</v>
      </c>
      <c r="P165" s="126">
        <f>IF(Table2[[#This Row],[Failure mode that has the potential to violate the safety goal in absence of safety mechanism?]]="Yes", Table2[[#This Row],[Failure mode rate]]*(1-Table2[[#This Row],[Failure mode coverage wrt. violation of safety goals]]), 0)</f>
        <v>0</v>
      </c>
      <c r="Q165" s="345" t="str">
        <f>'Safety Mechanisms'!E13</f>
        <v>Yes</v>
      </c>
      <c r="R165" s="190" t="s">
        <v>601</v>
      </c>
      <c r="S165" s="318" t="s">
        <v>532</v>
      </c>
      <c r="T165" s="171" t="str">
        <f>VLOOKUP(Table2[[#This Row],[Detection means ? Safety mechanism(s) allowing to prevent the failure mode from being latent ?]],Table3[],2,FALSE)</f>
        <v>Information redundancy / Frame counter / Timeout monitoring</v>
      </c>
      <c r="U165" s="16">
        <f>VLOOKUP(Table2[[#This Row],[Detection means ? Safety mechanism(s) allowing to prevent the failure mode from being latent ?]], Table3[], 6,FALSE)</f>
        <v>0.99</v>
      </c>
      <c r="V165" s="125">
        <f>IF(Table2[[#This Row],[Failure mode that may lead to the violation of safety goals in combination with an independent failure of another block ?]]="Yes",(1-Table2[[#This Row],[Failure mode coverage with respect to latent failures]])*Table2[[#This Row],[Failure mode rate]], 0)</f>
        <v>7.2281758840829263E-4</v>
      </c>
      <c r="W165" s="123"/>
      <c r="X165" s="339"/>
      <c r="Y165" s="125">
        <f>IF(Table2[[#This Row],[SR]]="Yes",Table2[[#This Row],[λ]], 0)</f>
        <v>0</v>
      </c>
    </row>
    <row r="166" spans="1:25" outlineLevel="1">
      <c r="A166" s="128" t="s">
        <v>770</v>
      </c>
      <c r="B166" s="123" t="s">
        <v>527</v>
      </c>
      <c r="C166" s="123" t="s">
        <v>531</v>
      </c>
      <c r="D166" s="123"/>
      <c r="E166" s="123"/>
      <c r="F166" s="125">
        <f>VLOOKUP(Table2[Function], Table1[], 5, FALSE)</f>
        <v>0.65053582956746281</v>
      </c>
      <c r="G166" s="129" t="s">
        <v>345</v>
      </c>
      <c r="H166" s="320" t="s">
        <v>36</v>
      </c>
      <c r="I166" s="169" t="s">
        <v>63</v>
      </c>
      <c r="J166" s="131">
        <f t="shared" si="11"/>
        <v>0.1111111111111111</v>
      </c>
      <c r="K166" s="125">
        <f>Table2[[#This Row],[λ]]*Table2[[#This Row],[Failure rate distribution]]</f>
        <v>7.2281758840829199E-2</v>
      </c>
      <c r="L166" s="318" t="s">
        <v>63</v>
      </c>
      <c r="M166" s="20" t="str">
        <f>VLOOKUP(Table2[[#This Row],[Applicable Safety mechanism]],Table3[],2,FALSE)</f>
        <v>Not applicable</v>
      </c>
      <c r="N166" s="21" t="str">
        <f>VLOOKUP(Table2[[#This Row],[Applicable Safety mechanism]], Table3[], 3,FALSE)</f>
        <v>-</v>
      </c>
      <c r="O166" s="16">
        <f>VLOOKUP(Table2[[#This Row],[Applicable Safety mechanism]], Table3[], 6,FALSE)</f>
        <v>0</v>
      </c>
      <c r="P166" s="126">
        <f>IF(Table2[[#This Row],[Failure mode that has the potential to violate the safety goal in absence of safety mechanism?]]="Yes", Table2[[#This Row],[Failure mode rate]]*(1-Table2[[#This Row],[Failure mode coverage wrt. violation of safety goals]]), 0)</f>
        <v>0</v>
      </c>
      <c r="Q166" s="345" t="str">
        <f>'Safety Mechanisms'!E13</f>
        <v>Yes</v>
      </c>
      <c r="R166" s="190" t="s">
        <v>601</v>
      </c>
      <c r="S166" s="318" t="s">
        <v>126</v>
      </c>
      <c r="T166" s="171" t="str">
        <f>VLOOKUP(Table2[[#This Row],[Detection means ? Safety mechanism(s) allowing to prevent the failure mode from being latent ?]],Table3[],2,FALSE)</f>
        <v>Analog and Logical BuitIn Self Test</v>
      </c>
      <c r="U166" s="16">
        <f>VLOOKUP(Table2[[#This Row],[Detection means ? Safety mechanism(s) allowing to prevent the failure mode from being latent ?]], Table3[], 6,FALSE)</f>
        <v>0.6</v>
      </c>
      <c r="V166" s="125">
        <f>IF(Table2[[#This Row],[Failure mode that may lead to the violation of safety goals in combination with an independent failure of another block ?]]="Yes",(1-Table2[[#This Row],[Failure mode coverage with respect to latent failures]])*Table2[[#This Row],[Failure mode rate]], 0)</f>
        <v>2.8912703536331682E-2</v>
      </c>
      <c r="W166" s="123"/>
      <c r="X166" s="339"/>
      <c r="Y166" s="125">
        <f>IF(Table2[[#This Row],[SR]]="Yes",Table2[[#This Row],[λ]], 0)</f>
        <v>0</v>
      </c>
    </row>
    <row r="167" spans="1:25" ht="28.8">
      <c r="A167" s="18" t="s">
        <v>771</v>
      </c>
      <c r="B167" s="130" t="s">
        <v>527</v>
      </c>
      <c r="C167" s="130" t="s">
        <v>531</v>
      </c>
      <c r="D167" s="122" t="s">
        <v>63</v>
      </c>
      <c r="E167" s="122"/>
      <c r="F167" s="125">
        <f>VLOOKUP(Table2[Function], Table1[], 5, FALSE)</f>
        <v>0.65053582956746281</v>
      </c>
      <c r="G167" s="122" t="s">
        <v>63</v>
      </c>
      <c r="H167" s="318" t="s">
        <v>63</v>
      </c>
      <c r="I167" s="122" t="s">
        <v>63</v>
      </c>
      <c r="J167" s="122" t="s">
        <v>63</v>
      </c>
      <c r="K167" s="122" t="s">
        <v>63</v>
      </c>
      <c r="L167" s="318" t="s">
        <v>63</v>
      </c>
      <c r="M167" s="122" t="s">
        <v>63</v>
      </c>
      <c r="N167" s="122" t="s">
        <v>63</v>
      </c>
      <c r="O167" s="122" t="s">
        <v>63</v>
      </c>
      <c r="P167" s="122" t="s">
        <v>63</v>
      </c>
      <c r="Q167" s="318" t="s">
        <v>63</v>
      </c>
      <c r="R167" s="122"/>
      <c r="S167" s="318"/>
      <c r="T167" s="170"/>
      <c r="U167" s="122"/>
      <c r="V167" s="122"/>
      <c r="W167" s="122"/>
      <c r="X167" s="339"/>
      <c r="Y167" s="125"/>
    </row>
    <row r="168" spans="1:25" ht="28.8" outlineLevel="2">
      <c r="A168" s="128" t="s">
        <v>772</v>
      </c>
      <c r="B168" s="123" t="s">
        <v>474</v>
      </c>
      <c r="C168" s="123" t="s">
        <v>474</v>
      </c>
      <c r="D168" s="12" t="s">
        <v>482</v>
      </c>
      <c r="E168" s="12" t="s">
        <v>216</v>
      </c>
      <c r="F168" s="125">
        <f>VLOOKUP(Table2[Function], Table1[], 5, FALSE)</f>
        <v>0.2837443511943189</v>
      </c>
      <c r="G168" s="19" t="s">
        <v>477</v>
      </c>
      <c r="H168" s="320" t="s">
        <v>36</v>
      </c>
      <c r="I168" s="169" t="s">
        <v>63</v>
      </c>
      <c r="J168" s="13">
        <f>1/4</f>
        <v>0.25</v>
      </c>
      <c r="K168" s="17">
        <f>Table2[[#This Row],[λ]]*Table2[[#This Row],[Failure rate distribution]]</f>
        <v>7.0936087798579725E-2</v>
      </c>
      <c r="L168" s="318" t="s">
        <v>63</v>
      </c>
      <c r="M168" s="20" t="str">
        <f>VLOOKUP(Table2[[#This Row],[Applicable Safety mechanism]],Table3[],2,FALSE)</f>
        <v>Not applicable</v>
      </c>
      <c r="N168" s="21" t="str">
        <f>VLOOKUP(Table2[[#This Row],[Applicable Safety mechanism]], Table3[], 3,FALSE)</f>
        <v>-</v>
      </c>
      <c r="O168" s="16">
        <f>VLOOKUP(Table2[[#This Row],[Applicable Safety mechanism]], Table3[], 6,FALSE)</f>
        <v>0</v>
      </c>
      <c r="P168" s="22">
        <f>IF(Table2[[#This Row],[Failure mode that has the potential to violate the safety goal in absence of safety mechanism?]]="Yes", Table2[[#This Row],[Failure mode rate]]*(1-Table2[[#This Row],[Failure mode coverage wrt. violation of safety goals]]), 0)</f>
        <v>0</v>
      </c>
      <c r="Q168" s="318" t="s">
        <v>36</v>
      </c>
      <c r="R168" s="25"/>
      <c r="S168" s="332"/>
      <c r="T168" s="171"/>
      <c r="U168" s="16"/>
      <c r="V168" s="125">
        <f>IF(Table2[[#This Row],[Failure mode that may lead to the violation of safety goals in combination with an independent failure of another block ?]]="Yes",(1-Table2[[#This Row],[Failure mode coverage with respect to latent failures]])*Table2[[#This Row],[Failure mode rate]], 0)</f>
        <v>0</v>
      </c>
      <c r="W168" s="12"/>
      <c r="X168" s="339" t="s">
        <v>35</v>
      </c>
      <c r="Y168" s="125">
        <f>IF(Table2[[#This Row],[SR]]="Yes",Table2[[#This Row],[λ]], 0)</f>
        <v>0.2837443511943189</v>
      </c>
    </row>
    <row r="169" spans="1:25" outlineLevel="2">
      <c r="A169" s="18" t="s">
        <v>773</v>
      </c>
      <c r="B169" s="123" t="s">
        <v>474</v>
      </c>
      <c r="C169" s="123" t="s">
        <v>474</v>
      </c>
      <c r="D169" s="12"/>
      <c r="E169" s="12"/>
      <c r="F169" s="125">
        <f>VLOOKUP(Table2[Function], Table1[], 5, FALSE)</f>
        <v>0.2837443511943189</v>
      </c>
      <c r="G169" s="19" t="s">
        <v>478</v>
      </c>
      <c r="H169" s="320" t="s">
        <v>36</v>
      </c>
      <c r="I169" s="169" t="s">
        <v>63</v>
      </c>
      <c r="J169" s="124">
        <f t="shared" ref="J169:J171" si="12">1/4</f>
        <v>0.25</v>
      </c>
      <c r="K169" s="17">
        <f>Table2[[#This Row],[λ]]*Table2[[#This Row],[Failure rate distribution]]</f>
        <v>7.0936087798579725E-2</v>
      </c>
      <c r="L169" s="318" t="s">
        <v>63</v>
      </c>
      <c r="M169" s="20" t="str">
        <f>VLOOKUP(Table2[[#This Row],[Applicable Safety mechanism]],Table3[],2,FALSE)</f>
        <v>Not applicable</v>
      </c>
      <c r="N169" s="21" t="str">
        <f>VLOOKUP(Table2[[#This Row],[Applicable Safety mechanism]], Table3[], 3,FALSE)</f>
        <v>-</v>
      </c>
      <c r="O169" s="16">
        <f>VLOOKUP(Table2[[#This Row],[Applicable Safety mechanism]], Table3[], 6,FALSE)</f>
        <v>0</v>
      </c>
      <c r="P169" s="22">
        <f>IF(Table2[[#This Row],[Failure mode that has the potential to violate the safety goal in absence of safety mechanism?]]="Yes", Table2[[#This Row],[Failure mode rate]]*(1-Table2[[#This Row],[Failure mode coverage wrt. violation of safety goals]]), 0)</f>
        <v>0</v>
      </c>
      <c r="Q169" s="318" t="s">
        <v>36</v>
      </c>
      <c r="R169" s="25"/>
      <c r="S169" s="332"/>
      <c r="T169" s="171"/>
      <c r="U169" s="16"/>
      <c r="V169" s="125">
        <f>IF(Table2[[#This Row],[Failure mode that may lead to the violation of safety goals in combination with an independent failure of another block ?]]="Yes",(1-Table2[[#This Row],[Failure mode coverage with respect to latent failures]])*Table2[[#This Row],[Failure mode rate]], 0)</f>
        <v>0</v>
      </c>
      <c r="W169" s="12"/>
      <c r="X169" s="339"/>
      <c r="Y169" s="125">
        <f>IF(Table2[[#This Row],[SR]]="Yes",Table2[[#This Row],[λ]], 0)</f>
        <v>0</v>
      </c>
    </row>
    <row r="170" spans="1:25" outlineLevel="2">
      <c r="A170" s="128" t="s">
        <v>774</v>
      </c>
      <c r="B170" s="123" t="s">
        <v>474</v>
      </c>
      <c r="C170" s="123" t="s">
        <v>474</v>
      </c>
      <c r="D170" s="12"/>
      <c r="E170" s="12"/>
      <c r="F170" s="125">
        <f>VLOOKUP(Table2[Function], Table1[], 5, FALSE)</f>
        <v>0.2837443511943189</v>
      </c>
      <c r="G170" s="19" t="s">
        <v>479</v>
      </c>
      <c r="H170" s="320" t="s">
        <v>36</v>
      </c>
      <c r="I170" s="169" t="s">
        <v>63</v>
      </c>
      <c r="J170" s="124">
        <f t="shared" si="12"/>
        <v>0.25</v>
      </c>
      <c r="K170" s="17">
        <f>Table2[[#This Row],[λ]]*Table2[[#This Row],[Failure rate distribution]]</f>
        <v>7.0936087798579725E-2</v>
      </c>
      <c r="L170" s="318" t="s">
        <v>63</v>
      </c>
      <c r="M170" s="20" t="str">
        <f>VLOOKUP(Table2[[#This Row],[Applicable Safety mechanism]],Table3[],2,FALSE)</f>
        <v>Not applicable</v>
      </c>
      <c r="N170" s="21" t="str">
        <f>VLOOKUP(Table2[[#This Row],[Applicable Safety mechanism]], Table3[], 3,FALSE)</f>
        <v>-</v>
      </c>
      <c r="O170" s="16">
        <f>VLOOKUP(Table2[[#This Row],[Applicable Safety mechanism]], Table3[], 6,FALSE)</f>
        <v>0</v>
      </c>
      <c r="P170" s="22">
        <f>IF(Table2[[#This Row],[Failure mode that has the potential to violate the safety goal in absence of safety mechanism?]]="Yes", Table2[[#This Row],[Failure mode rate]]*(1-Table2[[#This Row],[Failure mode coverage wrt. violation of safety goals]]), 0)</f>
        <v>0</v>
      </c>
      <c r="Q170" s="318" t="s">
        <v>36</v>
      </c>
      <c r="R170" s="25"/>
      <c r="S170" s="332"/>
      <c r="T170" s="171"/>
      <c r="U170" s="16"/>
      <c r="V170" s="125">
        <f>IF(Table2[[#This Row],[Failure mode that may lead to the violation of safety goals in combination with an independent failure of another block ?]]="Yes",(1-Table2[[#This Row],[Failure mode coverage with respect to latent failures]])*Table2[[#This Row],[Failure mode rate]], 0)</f>
        <v>0</v>
      </c>
      <c r="W170" s="12"/>
      <c r="X170" s="339"/>
      <c r="Y170" s="125">
        <f>IF(Table2[[#This Row],[SR]]="Yes",Table2[[#This Row],[λ]], 0)</f>
        <v>0</v>
      </c>
    </row>
    <row r="171" spans="1:25" outlineLevel="2">
      <c r="A171" s="18" t="s">
        <v>775</v>
      </c>
      <c r="B171" s="123" t="s">
        <v>474</v>
      </c>
      <c r="C171" s="123" t="s">
        <v>474</v>
      </c>
      <c r="D171" s="123"/>
      <c r="E171" s="123"/>
      <c r="F171" s="125">
        <f>VLOOKUP(Table2[Function], Table1[], 5, FALSE)</f>
        <v>0.2837443511943189</v>
      </c>
      <c r="G171" s="129" t="s">
        <v>345</v>
      </c>
      <c r="H171" s="320" t="s">
        <v>36</v>
      </c>
      <c r="I171" s="169" t="s">
        <v>63</v>
      </c>
      <c r="J171" s="124">
        <f t="shared" si="12"/>
        <v>0.25</v>
      </c>
      <c r="K171" s="125">
        <f>Table2[[#This Row],[λ]]*Table2[[#This Row],[Failure rate distribution]]</f>
        <v>7.0936087798579725E-2</v>
      </c>
      <c r="L171" s="318" t="s">
        <v>63</v>
      </c>
      <c r="M171" s="20" t="str">
        <f>VLOOKUP(Table2[[#This Row],[Applicable Safety mechanism]],Table3[],2,FALSE)</f>
        <v>Not applicable</v>
      </c>
      <c r="N171" s="21" t="str">
        <f>VLOOKUP(Table2[[#This Row],[Applicable Safety mechanism]], Table3[], 3,FALSE)</f>
        <v>-</v>
      </c>
      <c r="O171" s="16">
        <f>VLOOKUP(Table2[[#This Row],[Applicable Safety mechanism]], Table3[], 6,FALSE)</f>
        <v>0</v>
      </c>
      <c r="P171" s="126">
        <f>IF(Table2[[#This Row],[Failure mode that has the potential to violate the safety goal in absence of safety mechanism?]]="Yes", Table2[[#This Row],[Failure mode rate]]*(1-Table2[[#This Row],[Failure mode coverage wrt. violation of safety goals]]), 0)</f>
        <v>0</v>
      </c>
      <c r="Q171" s="318" t="s">
        <v>35</v>
      </c>
      <c r="R171" s="25" t="s">
        <v>462</v>
      </c>
      <c r="S171" s="318" t="s">
        <v>126</v>
      </c>
      <c r="T171" s="171" t="str">
        <f>VLOOKUP(Table2[[#This Row],[Detection means ? Safety mechanism(s) allowing to prevent the failure mode from being latent ?]],Table3[],2,FALSE)</f>
        <v>Analog and Logical BuitIn Self Test</v>
      </c>
      <c r="U171" s="16">
        <f>VLOOKUP(Table2[[#This Row],[Detection means ? Safety mechanism(s) allowing to prevent the failure mode from being latent ?]], Table3[], 6,FALSE)</f>
        <v>0.6</v>
      </c>
      <c r="V171" s="125">
        <f>IF(Table2[[#This Row],[Failure mode that may lead to the violation of safety goals in combination with an independent failure of another block ?]]="Yes",(1-Table2[[#This Row],[Failure mode coverage with respect to latent failures]])*Table2[[#This Row],[Failure mode rate]], 0)</f>
        <v>2.8374435119431891E-2</v>
      </c>
      <c r="W171" s="123"/>
      <c r="X171" s="339"/>
      <c r="Y171" s="125">
        <f>IF(Table2[[#This Row],[SR]]="Yes",Table2[[#This Row],[λ]], 0)</f>
        <v>0</v>
      </c>
    </row>
    <row r="172" spans="1:25" ht="28.8">
      <c r="A172" s="128" t="s">
        <v>776</v>
      </c>
      <c r="B172" s="130" t="s">
        <v>474</v>
      </c>
      <c r="C172" s="130" t="s">
        <v>474</v>
      </c>
      <c r="D172" s="11" t="s">
        <v>63</v>
      </c>
      <c r="E172" s="11"/>
      <c r="F172" s="125">
        <f>VLOOKUP(Table2[Function], Table1[], 5, FALSE)</f>
        <v>0.2837443511943189</v>
      </c>
      <c r="G172" s="122" t="s">
        <v>63</v>
      </c>
      <c r="H172" s="318" t="s">
        <v>63</v>
      </c>
      <c r="I172" s="122" t="s">
        <v>63</v>
      </c>
      <c r="J172" s="122" t="s">
        <v>63</v>
      </c>
      <c r="K172" s="125" t="s">
        <v>63</v>
      </c>
      <c r="L172" s="318" t="s">
        <v>63</v>
      </c>
      <c r="M172" s="122" t="s">
        <v>63</v>
      </c>
      <c r="N172" s="122" t="s">
        <v>63</v>
      </c>
      <c r="O172" s="122" t="s">
        <v>63</v>
      </c>
      <c r="P172" s="122" t="s">
        <v>63</v>
      </c>
      <c r="Q172" s="318" t="s">
        <v>63</v>
      </c>
      <c r="R172" s="11"/>
      <c r="S172" s="318"/>
      <c r="T172" s="170"/>
      <c r="U172" s="122"/>
      <c r="V172" s="122"/>
      <c r="W172" s="122"/>
      <c r="X172" s="339"/>
      <c r="Y172" s="125"/>
    </row>
    <row r="173" spans="1:25" ht="86.4" outlineLevel="1">
      <c r="A173" s="18" t="s">
        <v>777</v>
      </c>
      <c r="B173" s="12" t="s">
        <v>232</v>
      </c>
      <c r="C173" s="12" t="s">
        <v>156</v>
      </c>
      <c r="D173" s="12" t="s">
        <v>483</v>
      </c>
      <c r="E173" s="12" t="s">
        <v>217</v>
      </c>
      <c r="F173" s="125">
        <f>VLOOKUP(Table2[Function], Table1[], 5, FALSE)</f>
        <v>2.3737637185280827</v>
      </c>
      <c r="G173" s="33" t="s">
        <v>144</v>
      </c>
      <c r="H173" s="318" t="s">
        <v>36</v>
      </c>
      <c r="I173" s="122" t="s">
        <v>63</v>
      </c>
      <c r="J173" s="13">
        <f>1/19</f>
        <v>5.2631578947368418E-2</v>
      </c>
      <c r="K173" s="17">
        <f>Table2[[#This Row],[λ]]*Table2[[#This Row],[Failure rate distribution]]</f>
        <v>0.1249349325541096</v>
      </c>
      <c r="L173" s="318" t="s">
        <v>63</v>
      </c>
      <c r="M173" s="20" t="str">
        <f>VLOOKUP(Table2[[#This Row],[Applicable Safety mechanism]],Table3[],2,FALSE)</f>
        <v>Not applicable</v>
      </c>
      <c r="N173" s="21" t="str">
        <f>VLOOKUP(Table2[[#This Row],[Applicable Safety mechanism]], Table3[], 3,FALSE)</f>
        <v>-</v>
      </c>
      <c r="O173" s="16">
        <f>VLOOKUP(Table2[[#This Row],[Applicable Safety mechanism]], Table3[], 6,FALSE)</f>
        <v>0</v>
      </c>
      <c r="P173" s="22">
        <f>IF(Table2[[#This Row],[Failure mode that has the potential to violate the safety goal in absence of safety mechanism?]]="Yes", Table2[[#This Row],[Failure mode rate]]*(1-Table2[[#This Row],[Failure mode coverage wrt. violation of safety goals]]), 0)</f>
        <v>0</v>
      </c>
      <c r="Q173" s="318" t="s">
        <v>36</v>
      </c>
      <c r="R173" s="11"/>
      <c r="S173" s="318"/>
      <c r="T173" s="170"/>
      <c r="U173" s="16"/>
      <c r="V173" s="125">
        <f>IF(Table2[[#This Row],[Failure mode that may lead to the violation of safety goals in combination with an independent failure of another block ?]]="Yes",(1-Table2[[#This Row],[Failure mode coverage with respect to latent failures]])*Table2[[#This Row],[Failure mode rate]], 0)</f>
        <v>0</v>
      </c>
      <c r="W173" s="12"/>
      <c r="X173" s="339" t="s">
        <v>36</v>
      </c>
      <c r="Y173" s="125">
        <f>IF(Table2[[#This Row],[SR]]="Yes",Table2[[#This Row],[λ]], 0)</f>
        <v>0</v>
      </c>
    </row>
    <row r="174" spans="1:25" outlineLevel="1">
      <c r="A174" s="128" t="s">
        <v>778</v>
      </c>
      <c r="B174" s="123" t="s">
        <v>232</v>
      </c>
      <c r="C174" s="123" t="s">
        <v>156</v>
      </c>
      <c r="D174" s="123"/>
      <c r="E174" s="123"/>
      <c r="F174" s="125">
        <f>VLOOKUP(Table2[Function], Table1[], 5, FALSE)</f>
        <v>2.3737637185280827</v>
      </c>
      <c r="G174" s="19" t="s">
        <v>145</v>
      </c>
      <c r="H174" s="318" t="s">
        <v>36</v>
      </c>
      <c r="I174" s="122" t="s">
        <v>63</v>
      </c>
      <c r="J174" s="124">
        <f t="shared" ref="J174:J191" si="13">1/19</f>
        <v>5.2631578947368418E-2</v>
      </c>
      <c r="K174" s="17">
        <f>Table2[[#This Row],[λ]]*Table2[[#This Row],[Failure rate distribution]]</f>
        <v>0.1249349325541096</v>
      </c>
      <c r="L174" s="318" t="s">
        <v>63</v>
      </c>
      <c r="M174" s="20" t="str">
        <f>VLOOKUP(Table2[[#This Row],[Applicable Safety mechanism]],Table3[],2,FALSE)</f>
        <v>Not applicable</v>
      </c>
      <c r="N174" s="21" t="str">
        <f>VLOOKUP(Table2[[#This Row],[Applicable Safety mechanism]], Table3[], 3,FALSE)</f>
        <v>-</v>
      </c>
      <c r="O174" s="16">
        <f>VLOOKUP(Table2[[#This Row],[Applicable Safety mechanism]], Table3[], 6,FALSE)</f>
        <v>0</v>
      </c>
      <c r="P174" s="22">
        <f>IF(Table2[[#This Row],[Failure mode that has the potential to violate the safety goal in absence of safety mechanism?]]="Yes", Table2[[#This Row],[Failure mode rate]]*(1-Table2[[#This Row],[Failure mode coverage wrt. violation of safety goals]]), 0)</f>
        <v>0</v>
      </c>
      <c r="Q174" s="318" t="s">
        <v>36</v>
      </c>
      <c r="R174" s="11"/>
      <c r="S174" s="318"/>
      <c r="T174" s="170"/>
      <c r="U174" s="16"/>
      <c r="V174" s="125">
        <f>IF(Table2[[#This Row],[Failure mode that may lead to the violation of safety goals in combination with an independent failure of another block ?]]="Yes",(1-Table2[[#This Row],[Failure mode coverage with respect to latent failures]])*Table2[[#This Row],[Failure mode rate]], 0)</f>
        <v>0</v>
      </c>
      <c r="W174" s="12"/>
      <c r="X174" s="339"/>
      <c r="Y174" s="125">
        <f>IF(Table2[[#This Row],[SR]]="Yes",Table2[[#This Row],[λ]], 0)</f>
        <v>0</v>
      </c>
    </row>
    <row r="175" spans="1:25" outlineLevel="1">
      <c r="A175" s="18" t="s">
        <v>779</v>
      </c>
      <c r="B175" s="12" t="s">
        <v>232</v>
      </c>
      <c r="C175" s="12" t="s">
        <v>156</v>
      </c>
      <c r="D175" s="12"/>
      <c r="E175" s="12"/>
      <c r="F175" s="125">
        <f>VLOOKUP(Table2[Function], Table1[], 5, FALSE)</f>
        <v>2.3737637185280827</v>
      </c>
      <c r="G175" s="19" t="s">
        <v>146</v>
      </c>
      <c r="H175" s="318" t="s">
        <v>36</v>
      </c>
      <c r="I175" s="122" t="s">
        <v>63</v>
      </c>
      <c r="J175" s="124">
        <f t="shared" si="13"/>
        <v>5.2631578947368418E-2</v>
      </c>
      <c r="K175" s="17">
        <f>Table2[[#This Row],[λ]]*Table2[[#This Row],[Failure rate distribution]]</f>
        <v>0.1249349325541096</v>
      </c>
      <c r="L175" s="318" t="s">
        <v>63</v>
      </c>
      <c r="M175" s="20" t="str">
        <f>VLOOKUP(Table2[[#This Row],[Applicable Safety mechanism]],Table3[],2,FALSE)</f>
        <v>Not applicable</v>
      </c>
      <c r="N175" s="21" t="str">
        <f>VLOOKUP(Table2[[#This Row],[Applicable Safety mechanism]], Table3[], 3,FALSE)</f>
        <v>-</v>
      </c>
      <c r="O175" s="16">
        <f>VLOOKUP(Table2[[#This Row],[Applicable Safety mechanism]], Table3[], 6,FALSE)</f>
        <v>0</v>
      </c>
      <c r="P175" s="22">
        <f>IF(Table2[[#This Row],[Failure mode that has the potential to violate the safety goal in absence of safety mechanism?]]="Yes", Table2[[#This Row],[Failure mode rate]]*(1-Table2[[#This Row],[Failure mode coverage wrt. violation of safety goals]]), 0)</f>
        <v>0</v>
      </c>
      <c r="Q175" s="318" t="s">
        <v>36</v>
      </c>
      <c r="R175" s="11"/>
      <c r="S175" s="318"/>
      <c r="T175" s="170"/>
      <c r="U175" s="16"/>
      <c r="V175" s="125">
        <f>IF(Table2[[#This Row],[Failure mode that may lead to the violation of safety goals in combination with an independent failure of another block ?]]="Yes",(1-Table2[[#This Row],[Failure mode coverage with respect to latent failures]])*Table2[[#This Row],[Failure mode rate]], 0)</f>
        <v>0</v>
      </c>
      <c r="W175" s="12"/>
      <c r="X175" s="339"/>
      <c r="Y175" s="125">
        <f>IF(Table2[[#This Row],[SR]]="Yes",Table2[[#This Row],[λ]], 0)</f>
        <v>0</v>
      </c>
    </row>
    <row r="176" spans="1:25" outlineLevel="1">
      <c r="A176" s="128" t="s">
        <v>780</v>
      </c>
      <c r="B176" s="123" t="s">
        <v>232</v>
      </c>
      <c r="C176" s="123" t="s">
        <v>156</v>
      </c>
      <c r="D176" s="123"/>
      <c r="E176" s="123"/>
      <c r="F176" s="125">
        <f>VLOOKUP(Table2[Function], Table1[], 5, FALSE)</f>
        <v>2.3737637185280827</v>
      </c>
      <c r="G176" s="19" t="s">
        <v>136</v>
      </c>
      <c r="H176" s="318" t="s">
        <v>36</v>
      </c>
      <c r="I176" s="122" t="s">
        <v>63</v>
      </c>
      <c r="J176" s="124">
        <f t="shared" si="13"/>
        <v>5.2631578947368418E-2</v>
      </c>
      <c r="K176" s="17">
        <f>Table2[[#This Row],[λ]]*Table2[[#This Row],[Failure rate distribution]]</f>
        <v>0.1249349325541096</v>
      </c>
      <c r="L176" s="318" t="s">
        <v>63</v>
      </c>
      <c r="M176" s="20" t="str">
        <f>VLOOKUP(Table2[[#This Row],[Applicable Safety mechanism]],Table3[],2,FALSE)</f>
        <v>Not applicable</v>
      </c>
      <c r="N176" s="21" t="str">
        <f>VLOOKUP(Table2[[#This Row],[Applicable Safety mechanism]], Table3[], 3,FALSE)</f>
        <v>-</v>
      </c>
      <c r="O176" s="16">
        <f>VLOOKUP(Table2[[#This Row],[Applicable Safety mechanism]], Table3[], 6,FALSE)</f>
        <v>0</v>
      </c>
      <c r="P176" s="22">
        <f>IF(Table2[[#This Row],[Failure mode that has the potential to violate the safety goal in absence of safety mechanism?]]="Yes", Table2[[#This Row],[Failure mode rate]]*(1-Table2[[#This Row],[Failure mode coverage wrt. violation of safety goals]]), 0)</f>
        <v>0</v>
      </c>
      <c r="Q176" s="318" t="s">
        <v>36</v>
      </c>
      <c r="R176" s="11"/>
      <c r="S176" s="318"/>
      <c r="T176" s="170"/>
      <c r="U176" s="16"/>
      <c r="V176" s="125">
        <f>IF(Table2[[#This Row],[Failure mode that may lead to the violation of safety goals in combination with an independent failure of another block ?]]="Yes",(1-Table2[[#This Row],[Failure mode coverage with respect to latent failures]])*Table2[[#This Row],[Failure mode rate]], 0)</f>
        <v>0</v>
      </c>
      <c r="W176" s="12"/>
      <c r="X176" s="339"/>
      <c r="Y176" s="125">
        <f>IF(Table2[[#This Row],[SR]]="Yes",Table2[[#This Row],[λ]], 0)</f>
        <v>0</v>
      </c>
    </row>
    <row r="177" spans="1:25" outlineLevel="1">
      <c r="A177" s="18" t="s">
        <v>781</v>
      </c>
      <c r="B177" s="123" t="s">
        <v>232</v>
      </c>
      <c r="C177" s="123" t="s">
        <v>156</v>
      </c>
      <c r="D177" s="123"/>
      <c r="E177" s="123"/>
      <c r="F177" s="125">
        <f>VLOOKUP(Table2[Function], Table1[], 5, FALSE)</f>
        <v>2.3737637185280827</v>
      </c>
      <c r="G177" s="19" t="s">
        <v>137</v>
      </c>
      <c r="H177" s="318" t="s">
        <v>36</v>
      </c>
      <c r="I177" s="122" t="s">
        <v>63</v>
      </c>
      <c r="J177" s="124">
        <f t="shared" si="13"/>
        <v>5.2631578947368418E-2</v>
      </c>
      <c r="K177" s="17">
        <f>Table2[[#This Row],[λ]]*Table2[[#This Row],[Failure rate distribution]]</f>
        <v>0.1249349325541096</v>
      </c>
      <c r="L177" s="318" t="s">
        <v>63</v>
      </c>
      <c r="M177" s="20" t="str">
        <f>VLOOKUP(Table2[[#This Row],[Applicable Safety mechanism]],Table3[],2,FALSE)</f>
        <v>Not applicable</v>
      </c>
      <c r="N177" s="21" t="str">
        <f>VLOOKUP(Table2[[#This Row],[Applicable Safety mechanism]], Table3[], 3,FALSE)</f>
        <v>-</v>
      </c>
      <c r="O177" s="16">
        <f>VLOOKUP(Table2[[#This Row],[Applicable Safety mechanism]], Table3[], 6,FALSE)</f>
        <v>0</v>
      </c>
      <c r="P177" s="22">
        <f>IF(Table2[[#This Row],[Failure mode that has the potential to violate the safety goal in absence of safety mechanism?]]="Yes", Table2[[#This Row],[Failure mode rate]]*(1-Table2[[#This Row],[Failure mode coverage wrt. violation of safety goals]]), 0)</f>
        <v>0</v>
      </c>
      <c r="Q177" s="318" t="s">
        <v>36</v>
      </c>
      <c r="R177" s="11"/>
      <c r="S177" s="318"/>
      <c r="T177" s="170"/>
      <c r="U177" s="16"/>
      <c r="V177" s="125">
        <f>IF(Table2[[#This Row],[Failure mode that may lead to the violation of safety goals in combination with an independent failure of another block ?]]="Yes",(1-Table2[[#This Row],[Failure mode coverage with respect to latent failures]])*Table2[[#This Row],[Failure mode rate]], 0)</f>
        <v>0</v>
      </c>
      <c r="W177" s="12"/>
      <c r="X177" s="339"/>
      <c r="Y177" s="125">
        <f>IF(Table2[[#This Row],[SR]]="Yes",Table2[[#This Row],[λ]], 0)</f>
        <v>0</v>
      </c>
    </row>
    <row r="178" spans="1:25" outlineLevel="1">
      <c r="A178" s="128" t="s">
        <v>782</v>
      </c>
      <c r="B178" s="12" t="s">
        <v>232</v>
      </c>
      <c r="C178" s="12" t="s">
        <v>156</v>
      </c>
      <c r="D178" s="12"/>
      <c r="E178" s="12"/>
      <c r="F178" s="125">
        <f>VLOOKUP(Table2[Function], Table1[], 5, FALSE)</f>
        <v>2.3737637185280827</v>
      </c>
      <c r="G178" s="19" t="s">
        <v>138</v>
      </c>
      <c r="H178" s="318" t="s">
        <v>36</v>
      </c>
      <c r="I178" s="122" t="s">
        <v>63</v>
      </c>
      <c r="J178" s="124">
        <f t="shared" si="13"/>
        <v>5.2631578947368418E-2</v>
      </c>
      <c r="K178" s="17">
        <f>Table2[[#This Row],[λ]]*Table2[[#This Row],[Failure rate distribution]]</f>
        <v>0.1249349325541096</v>
      </c>
      <c r="L178" s="318" t="s">
        <v>63</v>
      </c>
      <c r="M178" s="20" t="str">
        <f>VLOOKUP(Table2[[#This Row],[Applicable Safety mechanism]],Table3[],2,FALSE)</f>
        <v>Not applicable</v>
      </c>
      <c r="N178" s="21" t="str">
        <f>VLOOKUP(Table2[[#This Row],[Applicable Safety mechanism]], Table3[], 3,FALSE)</f>
        <v>-</v>
      </c>
      <c r="O178" s="16">
        <f>VLOOKUP(Table2[[#This Row],[Applicable Safety mechanism]], Table3[], 6,FALSE)</f>
        <v>0</v>
      </c>
      <c r="P178" s="22">
        <f>IF(Table2[[#This Row],[Failure mode that has the potential to violate the safety goal in absence of safety mechanism?]]="Yes", Table2[[#This Row],[Failure mode rate]]*(1-Table2[[#This Row],[Failure mode coverage wrt. violation of safety goals]]), 0)</f>
        <v>0</v>
      </c>
      <c r="Q178" s="318" t="s">
        <v>36</v>
      </c>
      <c r="R178" s="11"/>
      <c r="S178" s="318"/>
      <c r="T178" s="170"/>
      <c r="U178" s="16"/>
      <c r="V178" s="125">
        <f>IF(Table2[[#This Row],[Failure mode that may lead to the violation of safety goals in combination with an independent failure of another block ?]]="Yes",(1-Table2[[#This Row],[Failure mode coverage with respect to latent failures]])*Table2[[#This Row],[Failure mode rate]], 0)</f>
        <v>0</v>
      </c>
      <c r="W178" s="12"/>
      <c r="X178" s="339"/>
      <c r="Y178" s="125">
        <f>IF(Table2[[#This Row],[SR]]="Yes",Table2[[#This Row],[λ]], 0)</f>
        <v>0</v>
      </c>
    </row>
    <row r="179" spans="1:25" outlineLevel="1">
      <c r="A179" s="18" t="s">
        <v>783</v>
      </c>
      <c r="B179" s="12" t="s">
        <v>232</v>
      </c>
      <c r="C179" s="12" t="s">
        <v>156</v>
      </c>
      <c r="D179" s="12"/>
      <c r="E179" s="12"/>
      <c r="F179" s="125">
        <f>VLOOKUP(Table2[Function], Table1[], 5, FALSE)</f>
        <v>2.3737637185280827</v>
      </c>
      <c r="G179" s="19" t="s">
        <v>139</v>
      </c>
      <c r="H179" s="318" t="s">
        <v>36</v>
      </c>
      <c r="I179" s="122" t="s">
        <v>63</v>
      </c>
      <c r="J179" s="124">
        <f t="shared" si="13"/>
        <v>5.2631578947368418E-2</v>
      </c>
      <c r="K179" s="17">
        <f>Table2[[#This Row],[λ]]*Table2[[#This Row],[Failure rate distribution]]</f>
        <v>0.1249349325541096</v>
      </c>
      <c r="L179" s="318" t="s">
        <v>63</v>
      </c>
      <c r="M179" s="20" t="str">
        <f>VLOOKUP(Table2[[#This Row],[Applicable Safety mechanism]],Table3[],2,FALSE)</f>
        <v>Not applicable</v>
      </c>
      <c r="N179" s="21" t="str">
        <f>VLOOKUP(Table2[[#This Row],[Applicable Safety mechanism]], Table3[], 3,FALSE)</f>
        <v>-</v>
      </c>
      <c r="O179" s="16">
        <f>VLOOKUP(Table2[[#This Row],[Applicable Safety mechanism]], Table3[], 6,FALSE)</f>
        <v>0</v>
      </c>
      <c r="P179" s="22">
        <f>IF(Table2[[#This Row],[Failure mode that has the potential to violate the safety goal in absence of safety mechanism?]]="Yes", Table2[[#This Row],[Failure mode rate]]*(1-Table2[[#This Row],[Failure mode coverage wrt. violation of safety goals]]), 0)</f>
        <v>0</v>
      </c>
      <c r="Q179" s="318" t="s">
        <v>36</v>
      </c>
      <c r="R179" s="11"/>
      <c r="S179" s="318"/>
      <c r="T179" s="170"/>
      <c r="U179" s="16"/>
      <c r="V179" s="125">
        <f>IF(Table2[[#This Row],[Failure mode that may lead to the violation of safety goals in combination with an independent failure of another block ?]]="Yes",(1-Table2[[#This Row],[Failure mode coverage with respect to latent failures]])*Table2[[#This Row],[Failure mode rate]], 0)</f>
        <v>0</v>
      </c>
      <c r="W179" s="12"/>
      <c r="X179" s="339"/>
      <c r="Y179" s="125">
        <f>IF(Table2[[#This Row],[SR]]="Yes",Table2[[#This Row],[λ]], 0)</f>
        <v>0</v>
      </c>
    </row>
    <row r="180" spans="1:25" outlineLevel="1">
      <c r="A180" s="128" t="s">
        <v>784</v>
      </c>
      <c r="B180" s="12" t="s">
        <v>232</v>
      </c>
      <c r="C180" s="12" t="s">
        <v>156</v>
      </c>
      <c r="D180" s="12"/>
      <c r="E180" s="12"/>
      <c r="F180" s="125">
        <f>VLOOKUP(Table2[Function], Table1[], 5, FALSE)</f>
        <v>2.3737637185280827</v>
      </c>
      <c r="G180" s="19" t="s">
        <v>140</v>
      </c>
      <c r="H180" s="318" t="s">
        <v>36</v>
      </c>
      <c r="I180" s="122" t="s">
        <v>63</v>
      </c>
      <c r="J180" s="124">
        <f t="shared" si="13"/>
        <v>5.2631578947368418E-2</v>
      </c>
      <c r="K180" s="17">
        <f>Table2[[#This Row],[λ]]*Table2[[#This Row],[Failure rate distribution]]</f>
        <v>0.1249349325541096</v>
      </c>
      <c r="L180" s="318" t="s">
        <v>63</v>
      </c>
      <c r="M180" s="20" t="str">
        <f>VLOOKUP(Table2[[#This Row],[Applicable Safety mechanism]],Table3[],2,FALSE)</f>
        <v>Not applicable</v>
      </c>
      <c r="N180" s="21" t="str">
        <f>VLOOKUP(Table2[[#This Row],[Applicable Safety mechanism]], Table3[], 3,FALSE)</f>
        <v>-</v>
      </c>
      <c r="O180" s="16">
        <f>VLOOKUP(Table2[[#This Row],[Applicable Safety mechanism]], Table3[], 6,FALSE)</f>
        <v>0</v>
      </c>
      <c r="P180" s="22">
        <f>IF(Table2[[#This Row],[Failure mode that has the potential to violate the safety goal in absence of safety mechanism?]]="Yes", Table2[[#This Row],[Failure mode rate]]*(1-Table2[[#This Row],[Failure mode coverage wrt. violation of safety goals]]), 0)</f>
        <v>0</v>
      </c>
      <c r="Q180" s="318" t="s">
        <v>36</v>
      </c>
      <c r="R180" s="11"/>
      <c r="S180" s="318"/>
      <c r="T180" s="170"/>
      <c r="U180" s="16"/>
      <c r="V180" s="125">
        <f>IF(Table2[[#This Row],[Failure mode that may lead to the violation of safety goals in combination with an independent failure of another block ?]]="Yes",(1-Table2[[#This Row],[Failure mode coverage with respect to latent failures]])*Table2[[#This Row],[Failure mode rate]], 0)</f>
        <v>0</v>
      </c>
      <c r="W180" s="12"/>
      <c r="X180" s="339"/>
      <c r="Y180" s="125">
        <f>IF(Table2[[#This Row],[SR]]="Yes",Table2[[#This Row],[λ]], 0)</f>
        <v>0</v>
      </c>
    </row>
    <row r="181" spans="1:25" outlineLevel="1">
      <c r="A181" s="18" t="s">
        <v>785</v>
      </c>
      <c r="B181" s="12" t="s">
        <v>232</v>
      </c>
      <c r="C181" s="12" t="s">
        <v>156</v>
      </c>
      <c r="D181" s="12"/>
      <c r="E181" s="12"/>
      <c r="F181" s="125">
        <f>VLOOKUP(Table2[Function], Table1[], 5, FALSE)</f>
        <v>2.3737637185280827</v>
      </c>
      <c r="G181" s="19" t="s">
        <v>141</v>
      </c>
      <c r="H181" s="318" t="s">
        <v>36</v>
      </c>
      <c r="I181" s="122" t="s">
        <v>63</v>
      </c>
      <c r="J181" s="124">
        <f t="shared" si="13"/>
        <v>5.2631578947368418E-2</v>
      </c>
      <c r="K181" s="17">
        <f>Table2[[#This Row],[λ]]*Table2[[#This Row],[Failure rate distribution]]</f>
        <v>0.1249349325541096</v>
      </c>
      <c r="L181" s="318" t="s">
        <v>63</v>
      </c>
      <c r="M181" s="20" t="str">
        <f>VLOOKUP(Table2[[#This Row],[Applicable Safety mechanism]],Table3[],2,FALSE)</f>
        <v>Not applicable</v>
      </c>
      <c r="N181" s="21" t="str">
        <f>VLOOKUP(Table2[[#This Row],[Applicable Safety mechanism]], Table3[], 3,FALSE)</f>
        <v>-</v>
      </c>
      <c r="O181" s="16">
        <f>VLOOKUP(Table2[[#This Row],[Applicable Safety mechanism]], Table3[], 6,FALSE)</f>
        <v>0</v>
      </c>
      <c r="P181" s="22">
        <f>IF(Table2[[#This Row],[Failure mode that has the potential to violate the safety goal in absence of safety mechanism?]]="Yes", Table2[[#This Row],[Failure mode rate]]*(1-Table2[[#This Row],[Failure mode coverage wrt. violation of safety goals]]), 0)</f>
        <v>0</v>
      </c>
      <c r="Q181" s="318" t="s">
        <v>36</v>
      </c>
      <c r="R181" s="11"/>
      <c r="S181" s="318"/>
      <c r="T181" s="170"/>
      <c r="U181" s="16"/>
      <c r="V181" s="125">
        <f>IF(Table2[[#This Row],[Failure mode that may lead to the violation of safety goals in combination with an independent failure of another block ?]]="Yes",(1-Table2[[#This Row],[Failure mode coverage with respect to latent failures]])*Table2[[#This Row],[Failure mode rate]], 0)</f>
        <v>0</v>
      </c>
      <c r="W181" s="12"/>
      <c r="X181" s="339"/>
      <c r="Y181" s="125">
        <f>IF(Table2[[#This Row],[SR]]="Yes",Table2[[#This Row],[λ]], 0)</f>
        <v>0</v>
      </c>
    </row>
    <row r="182" spans="1:25" outlineLevel="1">
      <c r="A182" s="128" t="s">
        <v>786</v>
      </c>
      <c r="B182" s="12" t="s">
        <v>232</v>
      </c>
      <c r="C182" s="12" t="s">
        <v>156</v>
      </c>
      <c r="D182" s="12"/>
      <c r="E182" s="12"/>
      <c r="F182" s="125">
        <f>VLOOKUP(Table2[Function], Table1[], 5, FALSE)</f>
        <v>2.3737637185280827</v>
      </c>
      <c r="G182" s="19" t="s">
        <v>142</v>
      </c>
      <c r="H182" s="318" t="s">
        <v>36</v>
      </c>
      <c r="I182" s="122" t="s">
        <v>63</v>
      </c>
      <c r="J182" s="124">
        <f t="shared" si="13"/>
        <v>5.2631578947368418E-2</v>
      </c>
      <c r="K182" s="17">
        <f>Table2[[#This Row],[λ]]*Table2[[#This Row],[Failure rate distribution]]</f>
        <v>0.1249349325541096</v>
      </c>
      <c r="L182" s="318" t="s">
        <v>63</v>
      </c>
      <c r="M182" s="20" t="str">
        <f>VLOOKUP(Table2[[#This Row],[Applicable Safety mechanism]],Table3[],2,FALSE)</f>
        <v>Not applicable</v>
      </c>
      <c r="N182" s="21" t="str">
        <f>VLOOKUP(Table2[[#This Row],[Applicable Safety mechanism]], Table3[], 3,FALSE)</f>
        <v>-</v>
      </c>
      <c r="O182" s="16">
        <f>VLOOKUP(Table2[[#This Row],[Applicable Safety mechanism]], Table3[], 6,FALSE)</f>
        <v>0</v>
      </c>
      <c r="P182" s="22">
        <f>IF(Table2[[#This Row],[Failure mode that has the potential to violate the safety goal in absence of safety mechanism?]]="Yes", Table2[[#This Row],[Failure mode rate]]*(1-Table2[[#This Row],[Failure mode coverage wrt. violation of safety goals]]), 0)</f>
        <v>0</v>
      </c>
      <c r="Q182" s="318" t="s">
        <v>36</v>
      </c>
      <c r="R182" s="11"/>
      <c r="S182" s="318"/>
      <c r="T182" s="170"/>
      <c r="U182" s="16"/>
      <c r="V182" s="125">
        <f>IF(Table2[[#This Row],[Failure mode that may lead to the violation of safety goals in combination with an independent failure of another block ?]]="Yes",(1-Table2[[#This Row],[Failure mode coverage with respect to latent failures]])*Table2[[#This Row],[Failure mode rate]], 0)</f>
        <v>0</v>
      </c>
      <c r="W182" s="12"/>
      <c r="X182" s="339"/>
      <c r="Y182" s="125">
        <f>IF(Table2[[#This Row],[SR]]="Yes",Table2[[#This Row],[λ]], 0)</f>
        <v>0</v>
      </c>
    </row>
    <row r="183" spans="1:25" outlineLevel="1">
      <c r="A183" s="18" t="s">
        <v>787</v>
      </c>
      <c r="B183" s="12" t="s">
        <v>232</v>
      </c>
      <c r="C183" s="12" t="s">
        <v>156</v>
      </c>
      <c r="D183" s="12"/>
      <c r="E183" s="12"/>
      <c r="F183" s="125">
        <f>VLOOKUP(Table2[Function], Table1[], 5, FALSE)</f>
        <v>2.3737637185280827</v>
      </c>
      <c r="G183" s="19" t="s">
        <v>143</v>
      </c>
      <c r="H183" s="318" t="s">
        <v>36</v>
      </c>
      <c r="I183" s="122" t="s">
        <v>63</v>
      </c>
      <c r="J183" s="124">
        <f t="shared" si="13"/>
        <v>5.2631578947368418E-2</v>
      </c>
      <c r="K183" s="17">
        <f>Table2[[#This Row],[λ]]*Table2[[#This Row],[Failure rate distribution]]</f>
        <v>0.1249349325541096</v>
      </c>
      <c r="L183" s="318" t="s">
        <v>63</v>
      </c>
      <c r="M183" s="20" t="str">
        <f>VLOOKUP(Table2[[#This Row],[Applicable Safety mechanism]],Table3[],2,FALSE)</f>
        <v>Not applicable</v>
      </c>
      <c r="N183" s="21" t="str">
        <f>VLOOKUP(Table2[[#This Row],[Applicable Safety mechanism]], Table3[], 3,FALSE)</f>
        <v>-</v>
      </c>
      <c r="O183" s="16">
        <f>VLOOKUP(Table2[[#This Row],[Applicable Safety mechanism]], Table3[], 6,FALSE)</f>
        <v>0</v>
      </c>
      <c r="P183" s="22">
        <f>IF(Table2[[#This Row],[Failure mode that has the potential to violate the safety goal in absence of safety mechanism?]]="Yes", Table2[[#This Row],[Failure mode rate]]*(1-Table2[[#This Row],[Failure mode coverage wrt. violation of safety goals]]), 0)</f>
        <v>0</v>
      </c>
      <c r="Q183" s="318" t="s">
        <v>36</v>
      </c>
      <c r="R183" s="11"/>
      <c r="S183" s="318"/>
      <c r="T183" s="170"/>
      <c r="U183" s="16"/>
      <c r="V183" s="125">
        <f>IF(Table2[[#This Row],[Failure mode that may lead to the violation of safety goals in combination with an independent failure of another block ?]]="Yes",(1-Table2[[#This Row],[Failure mode coverage with respect to latent failures]])*Table2[[#This Row],[Failure mode rate]], 0)</f>
        <v>0</v>
      </c>
      <c r="W183" s="12"/>
      <c r="X183" s="339"/>
      <c r="Y183" s="125">
        <f>IF(Table2[[#This Row],[SR]]="Yes",Table2[[#This Row],[λ]], 0)</f>
        <v>0</v>
      </c>
    </row>
    <row r="184" spans="1:25" outlineLevel="1">
      <c r="A184" s="128" t="s">
        <v>788</v>
      </c>
      <c r="B184" s="12" t="s">
        <v>232</v>
      </c>
      <c r="C184" s="12" t="s">
        <v>156</v>
      </c>
      <c r="D184" s="12"/>
      <c r="E184" s="12"/>
      <c r="F184" s="125">
        <f>VLOOKUP(Table2[Function], Table1[], 5, FALSE)</f>
        <v>2.3737637185280827</v>
      </c>
      <c r="G184" s="19" t="s">
        <v>147</v>
      </c>
      <c r="H184" s="318" t="s">
        <v>36</v>
      </c>
      <c r="I184" s="122" t="s">
        <v>63</v>
      </c>
      <c r="J184" s="124">
        <f t="shared" si="13"/>
        <v>5.2631578947368418E-2</v>
      </c>
      <c r="K184" s="17">
        <f>Table2[[#This Row],[λ]]*Table2[[#This Row],[Failure rate distribution]]</f>
        <v>0.1249349325541096</v>
      </c>
      <c r="L184" s="318" t="s">
        <v>63</v>
      </c>
      <c r="M184" s="20" t="str">
        <f>VLOOKUP(Table2[[#This Row],[Applicable Safety mechanism]],Table3[],2,FALSE)</f>
        <v>Not applicable</v>
      </c>
      <c r="N184" s="21" t="str">
        <f>VLOOKUP(Table2[[#This Row],[Applicable Safety mechanism]], Table3[], 3,FALSE)</f>
        <v>-</v>
      </c>
      <c r="O184" s="16">
        <f>VLOOKUP(Table2[[#This Row],[Applicable Safety mechanism]], Table3[], 6,FALSE)</f>
        <v>0</v>
      </c>
      <c r="P184" s="22">
        <f>IF(Table2[[#This Row],[Failure mode that has the potential to violate the safety goal in absence of safety mechanism?]]="Yes", Table2[[#This Row],[Failure mode rate]]*(1-Table2[[#This Row],[Failure mode coverage wrt. violation of safety goals]]), 0)</f>
        <v>0</v>
      </c>
      <c r="Q184" s="318" t="s">
        <v>36</v>
      </c>
      <c r="R184" s="11"/>
      <c r="S184" s="318"/>
      <c r="T184" s="170"/>
      <c r="U184" s="16"/>
      <c r="V184" s="125">
        <f>IF(Table2[[#This Row],[Failure mode that may lead to the violation of safety goals in combination with an independent failure of another block ?]]="Yes",(1-Table2[[#This Row],[Failure mode coverage with respect to latent failures]])*Table2[[#This Row],[Failure mode rate]], 0)</f>
        <v>0</v>
      </c>
      <c r="W184" s="12"/>
      <c r="X184" s="339"/>
      <c r="Y184" s="125">
        <f>IF(Table2[[#This Row],[SR]]="Yes",Table2[[#This Row],[λ]], 0)</f>
        <v>0</v>
      </c>
    </row>
    <row r="185" spans="1:25" outlineLevel="1">
      <c r="A185" s="18" t="s">
        <v>789</v>
      </c>
      <c r="B185" s="12" t="s">
        <v>232</v>
      </c>
      <c r="C185" s="12" t="s">
        <v>156</v>
      </c>
      <c r="D185" s="12"/>
      <c r="E185" s="12"/>
      <c r="F185" s="125">
        <f>VLOOKUP(Table2[Function], Table1[], 5, FALSE)</f>
        <v>2.3737637185280827</v>
      </c>
      <c r="G185" s="19" t="s">
        <v>148</v>
      </c>
      <c r="H185" s="318" t="s">
        <v>36</v>
      </c>
      <c r="I185" s="122" t="s">
        <v>63</v>
      </c>
      <c r="J185" s="124">
        <f t="shared" si="13"/>
        <v>5.2631578947368418E-2</v>
      </c>
      <c r="K185" s="17">
        <f>Table2[[#This Row],[λ]]*Table2[[#This Row],[Failure rate distribution]]</f>
        <v>0.1249349325541096</v>
      </c>
      <c r="L185" s="318" t="s">
        <v>63</v>
      </c>
      <c r="M185" s="20" t="str">
        <f>VLOOKUP(Table2[[#This Row],[Applicable Safety mechanism]],Table3[],2,FALSE)</f>
        <v>Not applicable</v>
      </c>
      <c r="N185" s="21" t="str">
        <f>VLOOKUP(Table2[[#This Row],[Applicable Safety mechanism]], Table3[], 3,FALSE)</f>
        <v>-</v>
      </c>
      <c r="O185" s="16">
        <f>VLOOKUP(Table2[[#This Row],[Applicable Safety mechanism]], Table3[], 6,FALSE)</f>
        <v>0</v>
      </c>
      <c r="P185" s="22">
        <f>IF(Table2[[#This Row],[Failure mode that has the potential to violate the safety goal in absence of safety mechanism?]]="Yes", Table2[[#This Row],[Failure mode rate]]*(1-Table2[[#This Row],[Failure mode coverage wrt. violation of safety goals]]), 0)</f>
        <v>0</v>
      </c>
      <c r="Q185" s="318" t="s">
        <v>36</v>
      </c>
      <c r="R185" s="11"/>
      <c r="S185" s="318"/>
      <c r="T185" s="170"/>
      <c r="U185" s="16"/>
      <c r="V185" s="125">
        <f>IF(Table2[[#This Row],[Failure mode that may lead to the violation of safety goals in combination with an independent failure of another block ?]]="Yes",(1-Table2[[#This Row],[Failure mode coverage with respect to latent failures]])*Table2[[#This Row],[Failure mode rate]], 0)</f>
        <v>0</v>
      </c>
      <c r="W185" s="12"/>
      <c r="X185" s="339"/>
      <c r="Y185" s="125">
        <f>IF(Table2[[#This Row],[SR]]="Yes",Table2[[#This Row],[λ]], 0)</f>
        <v>0</v>
      </c>
    </row>
    <row r="186" spans="1:25" outlineLevel="1">
      <c r="A186" s="128" t="s">
        <v>790</v>
      </c>
      <c r="B186" s="12" t="s">
        <v>232</v>
      </c>
      <c r="C186" s="12" t="s">
        <v>156</v>
      </c>
      <c r="D186" s="12"/>
      <c r="E186" s="12"/>
      <c r="F186" s="125">
        <f>VLOOKUP(Table2[Function], Table1[], 5, FALSE)</f>
        <v>2.3737637185280827</v>
      </c>
      <c r="G186" s="19" t="s">
        <v>149</v>
      </c>
      <c r="H186" s="318" t="s">
        <v>36</v>
      </c>
      <c r="I186" s="122" t="s">
        <v>63</v>
      </c>
      <c r="J186" s="124">
        <f t="shared" si="13"/>
        <v>5.2631578947368418E-2</v>
      </c>
      <c r="K186" s="17">
        <f>Table2[[#This Row],[λ]]*Table2[[#This Row],[Failure rate distribution]]</f>
        <v>0.1249349325541096</v>
      </c>
      <c r="L186" s="318" t="s">
        <v>63</v>
      </c>
      <c r="M186" s="20" t="str">
        <f>VLOOKUP(Table2[[#This Row],[Applicable Safety mechanism]],Table3[],2,FALSE)</f>
        <v>Not applicable</v>
      </c>
      <c r="N186" s="21" t="str">
        <f>VLOOKUP(Table2[[#This Row],[Applicable Safety mechanism]], Table3[], 3,FALSE)</f>
        <v>-</v>
      </c>
      <c r="O186" s="16">
        <f>VLOOKUP(Table2[[#This Row],[Applicable Safety mechanism]], Table3[], 6,FALSE)</f>
        <v>0</v>
      </c>
      <c r="P186" s="22">
        <f>IF(Table2[[#This Row],[Failure mode that has the potential to violate the safety goal in absence of safety mechanism?]]="Yes", Table2[[#This Row],[Failure mode rate]]*(1-Table2[[#This Row],[Failure mode coverage wrt. violation of safety goals]]), 0)</f>
        <v>0</v>
      </c>
      <c r="Q186" s="318" t="s">
        <v>36</v>
      </c>
      <c r="R186" s="11"/>
      <c r="S186" s="318"/>
      <c r="T186" s="170"/>
      <c r="U186" s="16"/>
      <c r="V186" s="125">
        <f>IF(Table2[[#This Row],[Failure mode that may lead to the violation of safety goals in combination with an independent failure of another block ?]]="Yes",(1-Table2[[#This Row],[Failure mode coverage with respect to latent failures]])*Table2[[#This Row],[Failure mode rate]], 0)</f>
        <v>0</v>
      </c>
      <c r="W186" s="12"/>
      <c r="X186" s="339"/>
      <c r="Y186" s="125">
        <f>IF(Table2[[#This Row],[SR]]="Yes",Table2[[#This Row],[λ]], 0)</f>
        <v>0</v>
      </c>
    </row>
    <row r="187" spans="1:25" outlineLevel="1">
      <c r="A187" s="18" t="s">
        <v>791</v>
      </c>
      <c r="B187" s="12" t="s">
        <v>232</v>
      </c>
      <c r="C187" s="12" t="s">
        <v>156</v>
      </c>
      <c r="D187" s="12"/>
      <c r="E187" s="12"/>
      <c r="F187" s="125">
        <f>VLOOKUP(Table2[Function], Table1[], 5, FALSE)</f>
        <v>2.3737637185280827</v>
      </c>
      <c r="G187" s="19" t="s">
        <v>150</v>
      </c>
      <c r="H187" s="318" t="s">
        <v>36</v>
      </c>
      <c r="I187" s="122" t="s">
        <v>63</v>
      </c>
      <c r="J187" s="124">
        <f t="shared" si="13"/>
        <v>5.2631578947368418E-2</v>
      </c>
      <c r="K187" s="17">
        <f>Table2[[#This Row],[λ]]*Table2[[#This Row],[Failure rate distribution]]</f>
        <v>0.1249349325541096</v>
      </c>
      <c r="L187" s="318" t="s">
        <v>63</v>
      </c>
      <c r="M187" s="20" t="str">
        <f>VLOOKUP(Table2[[#This Row],[Applicable Safety mechanism]],Table3[],2,FALSE)</f>
        <v>Not applicable</v>
      </c>
      <c r="N187" s="21" t="str">
        <f>VLOOKUP(Table2[[#This Row],[Applicable Safety mechanism]], Table3[], 3,FALSE)</f>
        <v>-</v>
      </c>
      <c r="O187" s="16">
        <f>VLOOKUP(Table2[[#This Row],[Applicable Safety mechanism]], Table3[], 6,FALSE)</f>
        <v>0</v>
      </c>
      <c r="P187" s="22">
        <f>IF(Table2[[#This Row],[Failure mode that has the potential to violate the safety goal in absence of safety mechanism?]]="Yes", Table2[[#This Row],[Failure mode rate]]*(1-Table2[[#This Row],[Failure mode coverage wrt. violation of safety goals]]), 0)</f>
        <v>0</v>
      </c>
      <c r="Q187" s="318" t="s">
        <v>36</v>
      </c>
      <c r="R187" s="11"/>
      <c r="S187" s="318"/>
      <c r="T187" s="170"/>
      <c r="U187" s="16"/>
      <c r="V187" s="125">
        <f>IF(Table2[[#This Row],[Failure mode that may lead to the violation of safety goals in combination with an independent failure of another block ?]]="Yes",(1-Table2[[#This Row],[Failure mode coverage with respect to latent failures]])*Table2[[#This Row],[Failure mode rate]], 0)</f>
        <v>0</v>
      </c>
      <c r="W187" s="12"/>
      <c r="X187" s="339"/>
      <c r="Y187" s="125">
        <f>IF(Table2[[#This Row],[SR]]="Yes",Table2[[#This Row],[λ]], 0)</f>
        <v>0</v>
      </c>
    </row>
    <row r="188" spans="1:25" outlineLevel="1">
      <c r="A188" s="128" t="s">
        <v>792</v>
      </c>
      <c r="B188" s="12" t="s">
        <v>232</v>
      </c>
      <c r="C188" s="12" t="s">
        <v>156</v>
      </c>
      <c r="D188" s="12"/>
      <c r="E188" s="12"/>
      <c r="F188" s="125">
        <f>VLOOKUP(Table2[Function], Table1[], 5, FALSE)</f>
        <v>2.3737637185280827</v>
      </c>
      <c r="G188" s="19" t="s">
        <v>151</v>
      </c>
      <c r="H188" s="318" t="s">
        <v>36</v>
      </c>
      <c r="I188" s="122" t="s">
        <v>63</v>
      </c>
      <c r="J188" s="124">
        <f t="shared" si="13"/>
        <v>5.2631578947368418E-2</v>
      </c>
      <c r="K188" s="17">
        <f>Table2[[#This Row],[λ]]*Table2[[#This Row],[Failure rate distribution]]</f>
        <v>0.1249349325541096</v>
      </c>
      <c r="L188" s="318" t="s">
        <v>63</v>
      </c>
      <c r="M188" s="20" t="str">
        <f>VLOOKUP(Table2[[#This Row],[Applicable Safety mechanism]],Table3[],2,FALSE)</f>
        <v>Not applicable</v>
      </c>
      <c r="N188" s="21" t="str">
        <f>VLOOKUP(Table2[[#This Row],[Applicable Safety mechanism]], Table3[], 3,FALSE)</f>
        <v>-</v>
      </c>
      <c r="O188" s="16">
        <f>VLOOKUP(Table2[[#This Row],[Applicable Safety mechanism]], Table3[], 6,FALSE)</f>
        <v>0</v>
      </c>
      <c r="P188" s="22">
        <f>IF(Table2[[#This Row],[Failure mode that has the potential to violate the safety goal in absence of safety mechanism?]]="Yes", Table2[[#This Row],[Failure mode rate]]*(1-Table2[[#This Row],[Failure mode coverage wrt. violation of safety goals]]), 0)</f>
        <v>0</v>
      </c>
      <c r="Q188" s="318" t="s">
        <v>36</v>
      </c>
      <c r="R188" s="11"/>
      <c r="S188" s="318"/>
      <c r="T188" s="170"/>
      <c r="U188" s="16"/>
      <c r="V188" s="125">
        <f>IF(Table2[[#This Row],[Failure mode that may lead to the violation of safety goals in combination with an independent failure of another block ?]]="Yes",(1-Table2[[#This Row],[Failure mode coverage with respect to latent failures]])*Table2[[#This Row],[Failure mode rate]], 0)</f>
        <v>0</v>
      </c>
      <c r="W188" s="12"/>
      <c r="X188" s="339"/>
      <c r="Y188" s="125">
        <f>IF(Table2[[#This Row],[SR]]="Yes",Table2[[#This Row],[λ]], 0)</f>
        <v>0</v>
      </c>
    </row>
    <row r="189" spans="1:25" outlineLevel="1">
      <c r="A189" s="18" t="s">
        <v>793</v>
      </c>
      <c r="B189" s="12" t="s">
        <v>232</v>
      </c>
      <c r="C189" s="12" t="s">
        <v>156</v>
      </c>
      <c r="D189" s="12"/>
      <c r="E189" s="12"/>
      <c r="F189" s="125">
        <f>VLOOKUP(Table2[Function], Table1[], 5, FALSE)</f>
        <v>2.3737637185280827</v>
      </c>
      <c r="G189" s="19" t="s">
        <v>152</v>
      </c>
      <c r="H189" s="318" t="s">
        <v>36</v>
      </c>
      <c r="I189" s="122" t="s">
        <v>63</v>
      </c>
      <c r="J189" s="124">
        <f t="shared" si="13"/>
        <v>5.2631578947368418E-2</v>
      </c>
      <c r="K189" s="17">
        <f>Table2[[#This Row],[λ]]*Table2[[#This Row],[Failure rate distribution]]</f>
        <v>0.1249349325541096</v>
      </c>
      <c r="L189" s="318" t="s">
        <v>63</v>
      </c>
      <c r="M189" s="20" t="str">
        <f>VLOOKUP(Table2[[#This Row],[Applicable Safety mechanism]],Table3[],2,FALSE)</f>
        <v>Not applicable</v>
      </c>
      <c r="N189" s="21" t="str">
        <f>VLOOKUP(Table2[[#This Row],[Applicable Safety mechanism]], Table3[], 3,FALSE)</f>
        <v>-</v>
      </c>
      <c r="O189" s="16">
        <f>VLOOKUP(Table2[[#This Row],[Applicable Safety mechanism]], Table3[], 6,FALSE)</f>
        <v>0</v>
      </c>
      <c r="P189" s="22">
        <f>IF(Table2[[#This Row],[Failure mode that has the potential to violate the safety goal in absence of safety mechanism?]]="Yes", Table2[[#This Row],[Failure mode rate]]*(1-Table2[[#This Row],[Failure mode coverage wrt. violation of safety goals]]), 0)</f>
        <v>0</v>
      </c>
      <c r="Q189" s="318" t="s">
        <v>36</v>
      </c>
      <c r="R189" s="11"/>
      <c r="S189" s="318"/>
      <c r="T189" s="170"/>
      <c r="U189" s="16"/>
      <c r="V189" s="125">
        <f>IF(Table2[[#This Row],[Failure mode that may lead to the violation of safety goals in combination with an independent failure of another block ?]]="Yes",(1-Table2[[#This Row],[Failure mode coverage with respect to latent failures]])*Table2[[#This Row],[Failure mode rate]], 0)</f>
        <v>0</v>
      </c>
      <c r="W189" s="12"/>
      <c r="X189" s="339"/>
      <c r="Y189" s="125">
        <f>IF(Table2[[#This Row],[SR]]="Yes",Table2[[#This Row],[λ]], 0)</f>
        <v>0</v>
      </c>
    </row>
    <row r="190" spans="1:25" outlineLevel="1">
      <c r="A190" s="128" t="s">
        <v>794</v>
      </c>
      <c r="B190" s="12" t="s">
        <v>232</v>
      </c>
      <c r="C190" s="12" t="s">
        <v>156</v>
      </c>
      <c r="D190" s="12"/>
      <c r="E190" s="12"/>
      <c r="F190" s="125">
        <f>VLOOKUP(Table2[Function], Table1[], 5, FALSE)</f>
        <v>2.3737637185280827</v>
      </c>
      <c r="G190" s="19" t="s">
        <v>153</v>
      </c>
      <c r="H190" s="318" t="s">
        <v>36</v>
      </c>
      <c r="I190" s="122" t="s">
        <v>63</v>
      </c>
      <c r="J190" s="124">
        <f t="shared" si="13"/>
        <v>5.2631578947368418E-2</v>
      </c>
      <c r="K190" s="17">
        <f>Table2[[#This Row],[λ]]*Table2[[#This Row],[Failure rate distribution]]</f>
        <v>0.1249349325541096</v>
      </c>
      <c r="L190" s="318" t="s">
        <v>63</v>
      </c>
      <c r="M190" s="20" t="str">
        <f>VLOOKUP(Table2[[#This Row],[Applicable Safety mechanism]],Table3[],2,FALSE)</f>
        <v>Not applicable</v>
      </c>
      <c r="N190" s="21" t="str">
        <f>VLOOKUP(Table2[[#This Row],[Applicable Safety mechanism]], Table3[], 3,FALSE)</f>
        <v>-</v>
      </c>
      <c r="O190" s="16">
        <f>VLOOKUP(Table2[[#This Row],[Applicable Safety mechanism]], Table3[], 6,FALSE)</f>
        <v>0</v>
      </c>
      <c r="P190" s="22">
        <f>IF(Table2[[#This Row],[Failure mode that has the potential to violate the safety goal in absence of safety mechanism?]]="Yes", Table2[[#This Row],[Failure mode rate]]*(1-Table2[[#This Row],[Failure mode coverage wrt. violation of safety goals]]), 0)</f>
        <v>0</v>
      </c>
      <c r="Q190" s="318" t="s">
        <v>36</v>
      </c>
      <c r="R190" s="11"/>
      <c r="S190" s="318"/>
      <c r="T190" s="170"/>
      <c r="U190" s="16"/>
      <c r="V190" s="125">
        <f>IF(Table2[[#This Row],[Failure mode that may lead to the violation of safety goals in combination with an independent failure of another block ?]]="Yes",(1-Table2[[#This Row],[Failure mode coverage with respect to latent failures]])*Table2[[#This Row],[Failure mode rate]], 0)</f>
        <v>0</v>
      </c>
      <c r="W190" s="12"/>
      <c r="X190" s="339"/>
      <c r="Y190" s="125">
        <f>IF(Table2[[#This Row],[SR]]="Yes",Table2[[#This Row],[λ]], 0)</f>
        <v>0</v>
      </c>
    </row>
    <row r="191" spans="1:25" outlineLevel="1">
      <c r="A191" s="18" t="s">
        <v>795</v>
      </c>
      <c r="B191" s="12" t="s">
        <v>232</v>
      </c>
      <c r="C191" s="12" t="s">
        <v>156</v>
      </c>
      <c r="D191" s="12"/>
      <c r="E191" s="12"/>
      <c r="F191" s="125">
        <f>VLOOKUP(Table2[Function], Table1[], 5, FALSE)</f>
        <v>2.3737637185280827</v>
      </c>
      <c r="G191" s="19" t="s">
        <v>154</v>
      </c>
      <c r="H191" s="318" t="s">
        <v>36</v>
      </c>
      <c r="I191" s="122" t="s">
        <v>63</v>
      </c>
      <c r="J191" s="124">
        <f t="shared" si="13"/>
        <v>5.2631578947368418E-2</v>
      </c>
      <c r="K191" s="17">
        <f>Table2[[#This Row],[λ]]*Table2[[#This Row],[Failure rate distribution]]</f>
        <v>0.1249349325541096</v>
      </c>
      <c r="L191" s="318" t="s">
        <v>63</v>
      </c>
      <c r="M191" s="20" t="str">
        <f>VLOOKUP(Table2[[#This Row],[Applicable Safety mechanism]],Table3[],2,FALSE)</f>
        <v>Not applicable</v>
      </c>
      <c r="N191" s="21" t="str">
        <f>VLOOKUP(Table2[[#This Row],[Applicable Safety mechanism]], Table3[], 3,FALSE)</f>
        <v>-</v>
      </c>
      <c r="O191" s="16">
        <f>VLOOKUP(Table2[[#This Row],[Applicable Safety mechanism]], Table3[], 6,FALSE)</f>
        <v>0</v>
      </c>
      <c r="P191" s="22">
        <f>IF(Table2[[#This Row],[Failure mode that has the potential to violate the safety goal in absence of safety mechanism?]]="Yes", Table2[[#This Row],[Failure mode rate]]*(1-Table2[[#This Row],[Failure mode coverage wrt. violation of safety goals]]), 0)</f>
        <v>0</v>
      </c>
      <c r="Q191" s="318" t="s">
        <v>36</v>
      </c>
      <c r="R191" s="11"/>
      <c r="S191" s="318"/>
      <c r="T191" s="170"/>
      <c r="U191" s="16"/>
      <c r="V191" s="125">
        <f>IF(Table2[[#This Row],[Failure mode that may lead to the violation of safety goals in combination with an independent failure of another block ?]]="Yes",(1-Table2[[#This Row],[Failure mode coverage with respect to latent failures]])*Table2[[#This Row],[Failure mode rate]], 0)</f>
        <v>0</v>
      </c>
      <c r="W191" s="12"/>
      <c r="X191" s="339"/>
      <c r="Y191" s="125">
        <f>IF(Table2[[#This Row],[SR]]="Yes",Table2[[#This Row],[λ]], 0)</f>
        <v>0</v>
      </c>
    </row>
    <row r="192" spans="1:25">
      <c r="A192" s="128" t="s">
        <v>796</v>
      </c>
      <c r="B192" s="31" t="s">
        <v>232</v>
      </c>
      <c r="C192" s="31" t="s">
        <v>156</v>
      </c>
      <c r="D192" s="11" t="s">
        <v>63</v>
      </c>
      <c r="E192" s="11"/>
      <c r="F192" s="125">
        <f>VLOOKUP(Table2[Function], Table1[], 5, FALSE)</f>
        <v>2.3737637185280827</v>
      </c>
      <c r="G192" s="122" t="s">
        <v>63</v>
      </c>
      <c r="H192" s="318" t="s">
        <v>63</v>
      </c>
      <c r="I192" s="122" t="s">
        <v>63</v>
      </c>
      <c r="J192" s="122" t="s">
        <v>63</v>
      </c>
      <c r="K192" s="125" t="s">
        <v>63</v>
      </c>
      <c r="L192" s="318" t="s">
        <v>63</v>
      </c>
      <c r="M192" s="122" t="s">
        <v>63</v>
      </c>
      <c r="N192" s="122" t="s">
        <v>63</v>
      </c>
      <c r="O192" s="122" t="s">
        <v>63</v>
      </c>
      <c r="P192" s="122" t="s">
        <v>63</v>
      </c>
      <c r="Q192" s="318" t="s">
        <v>63</v>
      </c>
      <c r="R192" s="11"/>
      <c r="S192" s="318"/>
      <c r="T192" s="170"/>
      <c r="U192" s="122"/>
      <c r="V192" s="122"/>
      <c r="W192" s="122"/>
      <c r="X192" s="339"/>
      <c r="Y192" s="125"/>
    </row>
    <row r="193" spans="1:25" ht="72" outlineLevel="1">
      <c r="A193" s="18" t="s">
        <v>797</v>
      </c>
      <c r="B193" s="12" t="s">
        <v>10</v>
      </c>
      <c r="C193" s="12" t="s">
        <v>157</v>
      </c>
      <c r="D193" s="12" t="s">
        <v>484</v>
      </c>
      <c r="E193" s="12"/>
      <c r="F193" s="125">
        <f>VLOOKUP(Table2[Function], Table1[], 5, FALSE)</f>
        <v>1.69208521626856</v>
      </c>
      <c r="G193" s="19" t="s">
        <v>158</v>
      </c>
      <c r="H193" s="318" t="s">
        <v>36</v>
      </c>
      <c r="I193" s="122" t="s">
        <v>63</v>
      </c>
      <c r="J193" s="13">
        <f>1/4</f>
        <v>0.25</v>
      </c>
      <c r="K193" s="17">
        <f>Table2[[#This Row],[λ]]*Table2[[#This Row],[Failure rate distribution]]</f>
        <v>0.42302130406714</v>
      </c>
      <c r="L193" s="318" t="s">
        <v>63</v>
      </c>
      <c r="M193" s="20" t="str">
        <f>VLOOKUP(Table2[[#This Row],[Applicable Safety mechanism]],Table3[],2,FALSE)</f>
        <v>Not applicable</v>
      </c>
      <c r="N193" s="21" t="str">
        <f>VLOOKUP(Table2[[#This Row],[Applicable Safety mechanism]], Table3[], 3,FALSE)</f>
        <v>-</v>
      </c>
      <c r="O193" s="16">
        <f>VLOOKUP(Table2[[#This Row],[Applicable Safety mechanism]], Table3[], 6,FALSE)</f>
        <v>0</v>
      </c>
      <c r="P193" s="22">
        <f>IF(Table2[[#This Row],[Failure mode that has the potential to violate the safety goal in absence of safety mechanism?]]="Yes", Table2[[#This Row],[Failure mode rate]]*(1-Table2[[#This Row],[Failure mode coverage wrt. violation of safety goals]]), 0)</f>
        <v>0</v>
      </c>
      <c r="Q193" s="318" t="s">
        <v>36</v>
      </c>
      <c r="R193" s="11"/>
      <c r="S193" s="318"/>
      <c r="T193" s="170"/>
      <c r="U193" s="16"/>
      <c r="V193" s="125">
        <f>IF(Table2[[#This Row],[Failure mode that may lead to the violation of safety goals in combination with an independent failure of another block ?]]="Yes",(1-Table2[[#This Row],[Failure mode coverage with respect to latent failures]])*Table2[[#This Row],[Failure mode rate]], 0)</f>
        <v>0</v>
      </c>
      <c r="W193" s="12"/>
      <c r="X193" s="339" t="s">
        <v>36</v>
      </c>
      <c r="Y193" s="125">
        <f>IF(Table2[[#This Row],[SR]]="Yes",Table2[[#This Row],[λ]], 0)</f>
        <v>0</v>
      </c>
    </row>
    <row r="194" spans="1:25" outlineLevel="1">
      <c r="A194" s="128" t="s">
        <v>798</v>
      </c>
      <c r="B194" s="12" t="s">
        <v>10</v>
      </c>
      <c r="C194" s="12" t="s">
        <v>157</v>
      </c>
      <c r="D194" s="12"/>
      <c r="E194" s="12"/>
      <c r="F194" s="125">
        <f>VLOOKUP(Table2[Function], Table1[], 5, FALSE)</f>
        <v>1.69208521626856</v>
      </c>
      <c r="G194" s="19" t="s">
        <v>159</v>
      </c>
      <c r="H194" s="318" t="s">
        <v>36</v>
      </c>
      <c r="I194" s="122" t="s">
        <v>63</v>
      </c>
      <c r="J194" s="124">
        <f>1/4</f>
        <v>0.25</v>
      </c>
      <c r="K194" s="17">
        <f>Table2[[#This Row],[λ]]*Table2[[#This Row],[Failure rate distribution]]</f>
        <v>0.42302130406714</v>
      </c>
      <c r="L194" s="318" t="s">
        <v>63</v>
      </c>
      <c r="M194" s="20" t="str">
        <f>VLOOKUP(Table2[[#This Row],[Applicable Safety mechanism]],Table3[],2,FALSE)</f>
        <v>Not applicable</v>
      </c>
      <c r="N194" s="21" t="str">
        <f>VLOOKUP(Table2[[#This Row],[Applicable Safety mechanism]], Table3[], 3,FALSE)</f>
        <v>-</v>
      </c>
      <c r="O194" s="16">
        <f>VLOOKUP(Table2[[#This Row],[Applicable Safety mechanism]], Table3[], 6,FALSE)</f>
        <v>0</v>
      </c>
      <c r="P194" s="22">
        <f>IF(Table2[[#This Row],[Failure mode that has the potential to violate the safety goal in absence of safety mechanism?]]="Yes", Table2[[#This Row],[Failure mode rate]]*(1-Table2[[#This Row],[Failure mode coverage wrt. violation of safety goals]]), 0)</f>
        <v>0</v>
      </c>
      <c r="Q194" s="318" t="s">
        <v>36</v>
      </c>
      <c r="R194" s="11"/>
      <c r="S194" s="318"/>
      <c r="T194" s="170"/>
      <c r="U194" s="16"/>
      <c r="V194" s="125">
        <f>IF(Table2[[#This Row],[Failure mode that may lead to the violation of safety goals in combination with an independent failure of another block ?]]="Yes",(1-Table2[[#This Row],[Failure mode coverage with respect to latent failures]])*Table2[[#This Row],[Failure mode rate]], 0)</f>
        <v>0</v>
      </c>
      <c r="W194" s="12"/>
      <c r="X194" s="339"/>
      <c r="Y194" s="125">
        <f>IF(Table2[[#This Row],[SR]]="Yes",Table2[[#This Row],[λ]], 0)</f>
        <v>0</v>
      </c>
    </row>
    <row r="195" spans="1:25" outlineLevel="1">
      <c r="A195" s="18" t="s">
        <v>799</v>
      </c>
      <c r="B195" s="12" t="s">
        <v>10</v>
      </c>
      <c r="C195" s="12" t="s">
        <v>157</v>
      </c>
      <c r="D195" s="12"/>
      <c r="E195" s="12"/>
      <c r="F195" s="125">
        <f>VLOOKUP(Table2[Function], Table1[], 5, FALSE)</f>
        <v>1.69208521626856</v>
      </c>
      <c r="G195" s="19" t="s">
        <v>160</v>
      </c>
      <c r="H195" s="318" t="s">
        <v>36</v>
      </c>
      <c r="I195" s="122" t="s">
        <v>63</v>
      </c>
      <c r="J195" s="124">
        <f>1/4</f>
        <v>0.25</v>
      </c>
      <c r="K195" s="17">
        <f>Table2[[#This Row],[λ]]*Table2[[#This Row],[Failure rate distribution]]</f>
        <v>0.42302130406714</v>
      </c>
      <c r="L195" s="318" t="s">
        <v>63</v>
      </c>
      <c r="M195" s="20" t="str">
        <f>VLOOKUP(Table2[[#This Row],[Applicable Safety mechanism]],Table3[],2,FALSE)</f>
        <v>Not applicable</v>
      </c>
      <c r="N195" s="21" t="str">
        <f>VLOOKUP(Table2[[#This Row],[Applicable Safety mechanism]], Table3[], 3,FALSE)</f>
        <v>-</v>
      </c>
      <c r="O195" s="16">
        <f>VLOOKUP(Table2[[#This Row],[Applicable Safety mechanism]], Table3[], 6,FALSE)</f>
        <v>0</v>
      </c>
      <c r="P195" s="22">
        <f>IF(Table2[[#This Row],[Failure mode that has the potential to violate the safety goal in absence of safety mechanism?]]="Yes", Table2[[#This Row],[Failure mode rate]]*(1-Table2[[#This Row],[Failure mode coverage wrt. violation of safety goals]]), 0)</f>
        <v>0</v>
      </c>
      <c r="Q195" s="318" t="s">
        <v>36</v>
      </c>
      <c r="R195" s="11"/>
      <c r="S195" s="318"/>
      <c r="T195" s="170"/>
      <c r="U195" s="16"/>
      <c r="V195" s="125">
        <f>IF(Table2[[#This Row],[Failure mode that may lead to the violation of safety goals in combination with an independent failure of another block ?]]="Yes",(1-Table2[[#This Row],[Failure mode coverage with respect to latent failures]])*Table2[[#This Row],[Failure mode rate]], 0)</f>
        <v>0</v>
      </c>
      <c r="W195" s="12"/>
      <c r="X195" s="339"/>
      <c r="Y195" s="125">
        <f>IF(Table2[[#This Row],[SR]]="Yes",Table2[[#This Row],[λ]], 0)</f>
        <v>0</v>
      </c>
    </row>
    <row r="196" spans="1:25" outlineLevel="1">
      <c r="A196" s="128" t="s">
        <v>800</v>
      </c>
      <c r="B196" s="12" t="s">
        <v>10</v>
      </c>
      <c r="C196" s="12" t="s">
        <v>157</v>
      </c>
      <c r="D196" s="12"/>
      <c r="E196" s="12"/>
      <c r="F196" s="125">
        <f>VLOOKUP(Table2[Function], Table1[], 5, FALSE)</f>
        <v>1.69208521626856</v>
      </c>
      <c r="G196" s="19" t="s">
        <v>161</v>
      </c>
      <c r="H196" s="318" t="s">
        <v>36</v>
      </c>
      <c r="I196" s="122" t="s">
        <v>63</v>
      </c>
      <c r="J196" s="124">
        <f>1/4</f>
        <v>0.25</v>
      </c>
      <c r="K196" s="70">
        <f>Table2[[#This Row],[λ]]*Table2[[#This Row],[Failure rate distribution]]</f>
        <v>0.42302130406714</v>
      </c>
      <c r="L196" s="318" t="s">
        <v>63</v>
      </c>
      <c r="M196" s="26" t="str">
        <f>VLOOKUP(Table2[[#This Row],[Applicable Safety mechanism]],Table3[],2,FALSE)</f>
        <v>Not applicable</v>
      </c>
      <c r="N196" s="27" t="str">
        <f>VLOOKUP(Table2[[#This Row],[Applicable Safety mechanism]], Table3[], 3,FALSE)</f>
        <v>-</v>
      </c>
      <c r="O196" s="28">
        <f>VLOOKUP(Table2[[#This Row],[Applicable Safety mechanism]], Table3[], 6,FALSE)</f>
        <v>0</v>
      </c>
      <c r="P196" s="29">
        <f>IF(Table2[[#This Row],[Failure mode that has the potential to violate the safety goal in absence of safety mechanism?]]="Yes", Table2[[#This Row],[Failure mode rate]]*(1-Table2[[#This Row],[Failure mode coverage wrt. violation of safety goals]]), 0)</f>
        <v>0</v>
      </c>
      <c r="Q196" s="318" t="s">
        <v>36</v>
      </c>
      <c r="R196" s="11"/>
      <c r="S196" s="318"/>
      <c r="T196" s="170"/>
      <c r="U196" s="16"/>
      <c r="V196" s="125">
        <f>IF(Table2[[#This Row],[Failure mode that may lead to the violation of safety goals in combination with an independent failure of another block ?]]="Yes",(1-Table2[[#This Row],[Failure mode coverage with respect to latent failures]])*Table2[[#This Row],[Failure mode rate]], 0)</f>
        <v>0</v>
      </c>
      <c r="W196" s="12"/>
      <c r="X196" s="339"/>
      <c r="Y196" s="125">
        <f>IF(Table2[[#This Row],[SR]]="Yes",Table2[[#This Row],[λ]], 0)</f>
        <v>0</v>
      </c>
    </row>
    <row r="197" spans="1:25">
      <c r="A197" s="18" t="s">
        <v>801</v>
      </c>
      <c r="B197" s="31" t="s">
        <v>10</v>
      </c>
      <c r="C197" s="31" t="s">
        <v>157</v>
      </c>
      <c r="D197" s="11" t="s">
        <v>63</v>
      </c>
      <c r="E197" s="11"/>
      <c r="F197" s="125">
        <f>VLOOKUP(Table2[Function], Table1[], 5, FALSE)</f>
        <v>1.69208521626856</v>
      </c>
      <c r="G197" s="122" t="s">
        <v>63</v>
      </c>
      <c r="H197" s="318" t="s">
        <v>63</v>
      </c>
      <c r="I197" s="122" t="s">
        <v>63</v>
      </c>
      <c r="J197" s="122" t="s">
        <v>63</v>
      </c>
      <c r="K197" s="125" t="s">
        <v>63</v>
      </c>
      <c r="L197" s="318" t="s">
        <v>63</v>
      </c>
      <c r="M197" s="122" t="s">
        <v>63</v>
      </c>
      <c r="N197" s="122" t="s">
        <v>63</v>
      </c>
      <c r="O197" s="122" t="s">
        <v>63</v>
      </c>
      <c r="P197" s="122" t="s">
        <v>63</v>
      </c>
      <c r="Q197" s="318" t="s">
        <v>63</v>
      </c>
      <c r="R197" s="11"/>
      <c r="S197" s="318"/>
      <c r="T197" s="170"/>
      <c r="U197" s="122"/>
      <c r="V197" s="122"/>
      <c r="W197" s="122"/>
      <c r="X197" s="339"/>
      <c r="Y197" s="125"/>
    </row>
    <row r="198" spans="1:25" outlineLevel="1">
      <c r="A198" s="128" t="s">
        <v>802</v>
      </c>
      <c r="B198" s="123" t="s">
        <v>499</v>
      </c>
      <c r="C198" s="123" t="s">
        <v>512</v>
      </c>
      <c r="D198" s="123"/>
      <c r="E198" s="123"/>
      <c r="F198" s="125">
        <f>VLOOKUP(Table2[Function], Table1[], 5, FALSE)</f>
        <v>1.69208521626856</v>
      </c>
      <c r="G198" s="19" t="s">
        <v>513</v>
      </c>
      <c r="H198" s="318" t="s">
        <v>36</v>
      </c>
      <c r="I198" s="122" t="s">
        <v>63</v>
      </c>
      <c r="J198" s="131">
        <f>(1/12)</f>
        <v>8.3333333333333329E-2</v>
      </c>
      <c r="K198" s="70">
        <f>Table2[[#This Row],[λ]]*Table2[[#This Row],[Failure rate distribution]]</f>
        <v>0.14100710135571332</v>
      </c>
      <c r="L198" s="318" t="s">
        <v>63</v>
      </c>
      <c r="M198" s="26" t="str">
        <f>VLOOKUP(Table2[[#This Row],[Applicable Safety mechanism]],Table3[],2,FALSE)</f>
        <v>Not applicable</v>
      </c>
      <c r="N198" s="27" t="str">
        <f>VLOOKUP(Table2[[#This Row],[Applicable Safety mechanism]], Table3[], 3,FALSE)</f>
        <v>-</v>
      </c>
      <c r="O198" s="28">
        <f>VLOOKUP(Table2[[#This Row],[Applicable Safety mechanism]], Table3[], 6,FALSE)</f>
        <v>0</v>
      </c>
      <c r="P198" s="29">
        <f>IF(Table2[[#This Row],[Failure mode that has the potential to violate the safety goal in absence of safety mechanism?]]="Yes", Table2[[#This Row],[Failure mode rate]]*(1-Table2[[#This Row],[Failure mode coverage wrt. violation of safety goals]]), 0)</f>
        <v>0</v>
      </c>
      <c r="Q198" s="318" t="s">
        <v>36</v>
      </c>
      <c r="R198" s="122"/>
      <c r="S198" s="318"/>
      <c r="T198" s="170"/>
      <c r="U198" s="16"/>
      <c r="V198" s="125">
        <f>IF(Table2[[#This Row],[Failure mode that may lead to the violation of safety goals in combination with an independent failure of another block ?]]="Yes",(1-Table2[[#This Row],[Failure mode coverage with respect to latent failures]])*Table2[[#This Row],[Failure mode rate]], 0)</f>
        <v>0</v>
      </c>
      <c r="W198" s="123"/>
      <c r="X198" s="339" t="s">
        <v>36</v>
      </c>
      <c r="Y198" s="125">
        <f>IF(Table2[[#This Row],[SR]]="Yes",Table2[[#This Row],[λ]], 0)</f>
        <v>0</v>
      </c>
    </row>
    <row r="199" spans="1:25" outlineLevel="1">
      <c r="A199" s="18" t="s">
        <v>803</v>
      </c>
      <c r="B199" s="123" t="s">
        <v>499</v>
      </c>
      <c r="C199" s="123"/>
      <c r="D199" s="123"/>
      <c r="E199" s="123"/>
      <c r="F199" s="125">
        <f>VLOOKUP(Table2[Function], Table1[], 5, FALSE)</f>
        <v>1.69208521626856</v>
      </c>
      <c r="G199" s="19" t="s">
        <v>514</v>
      </c>
      <c r="H199" s="318" t="s">
        <v>36</v>
      </c>
      <c r="I199" s="122" t="s">
        <v>63</v>
      </c>
      <c r="J199" s="131">
        <f t="shared" ref="J199:J209" si="14">(1/12)</f>
        <v>8.3333333333333329E-2</v>
      </c>
      <c r="K199" s="70">
        <f>Table2[[#This Row],[λ]]*Table2[[#This Row],[Failure rate distribution]]</f>
        <v>0.14100710135571332</v>
      </c>
      <c r="L199" s="318" t="s">
        <v>63</v>
      </c>
      <c r="M199" s="26" t="str">
        <f>VLOOKUP(Table2[[#This Row],[Applicable Safety mechanism]],Table3[],2,FALSE)</f>
        <v>Not applicable</v>
      </c>
      <c r="N199" s="27" t="str">
        <f>VLOOKUP(Table2[[#This Row],[Applicable Safety mechanism]], Table3[], 3,FALSE)</f>
        <v>-</v>
      </c>
      <c r="O199" s="28">
        <f>VLOOKUP(Table2[[#This Row],[Applicable Safety mechanism]], Table3[], 6,FALSE)</f>
        <v>0</v>
      </c>
      <c r="P199" s="29">
        <f>IF(Table2[[#This Row],[Failure mode that has the potential to violate the safety goal in absence of safety mechanism?]]="Yes", Table2[[#This Row],[Failure mode rate]]*(1-Table2[[#This Row],[Failure mode coverage wrt. violation of safety goals]]), 0)</f>
        <v>0</v>
      </c>
      <c r="Q199" s="318" t="s">
        <v>36</v>
      </c>
      <c r="R199" s="122"/>
      <c r="S199" s="318"/>
      <c r="T199" s="170"/>
      <c r="U199" s="16"/>
      <c r="V199" s="125">
        <f>IF(Table2[[#This Row],[Failure mode that may lead to the violation of safety goals in combination with an independent failure of another block ?]]="Yes",(1-Table2[[#This Row],[Failure mode coverage with respect to latent failures]])*Table2[[#This Row],[Failure mode rate]], 0)</f>
        <v>0</v>
      </c>
      <c r="W199" s="123"/>
      <c r="X199" s="339"/>
      <c r="Y199" s="125">
        <f>IF(Table2[[#This Row],[SR]]="Yes",Table2[[#This Row],[λ]], 0)</f>
        <v>0</v>
      </c>
    </row>
    <row r="200" spans="1:25" outlineLevel="1">
      <c r="A200" s="128" t="s">
        <v>804</v>
      </c>
      <c r="B200" s="123" t="s">
        <v>499</v>
      </c>
      <c r="C200" s="123"/>
      <c r="D200" s="123"/>
      <c r="E200" s="123"/>
      <c r="F200" s="125">
        <f>VLOOKUP(Table2[Function], Table1[], 5, FALSE)</f>
        <v>1.69208521626856</v>
      </c>
      <c r="G200" s="19" t="s">
        <v>515</v>
      </c>
      <c r="H200" s="318" t="s">
        <v>36</v>
      </c>
      <c r="I200" s="122" t="s">
        <v>63</v>
      </c>
      <c r="J200" s="131">
        <f t="shared" si="14"/>
        <v>8.3333333333333329E-2</v>
      </c>
      <c r="K200" s="70">
        <f>Table2[[#This Row],[λ]]*Table2[[#This Row],[Failure rate distribution]]</f>
        <v>0.14100710135571332</v>
      </c>
      <c r="L200" s="318" t="s">
        <v>63</v>
      </c>
      <c r="M200" s="26" t="str">
        <f>VLOOKUP(Table2[[#This Row],[Applicable Safety mechanism]],Table3[],2,FALSE)</f>
        <v>Not applicable</v>
      </c>
      <c r="N200" s="27" t="str">
        <f>VLOOKUP(Table2[[#This Row],[Applicable Safety mechanism]], Table3[], 3,FALSE)</f>
        <v>-</v>
      </c>
      <c r="O200" s="28">
        <f>VLOOKUP(Table2[[#This Row],[Applicable Safety mechanism]], Table3[], 6,FALSE)</f>
        <v>0</v>
      </c>
      <c r="P200" s="29">
        <f>IF(Table2[[#This Row],[Failure mode that has the potential to violate the safety goal in absence of safety mechanism?]]="Yes", Table2[[#This Row],[Failure mode rate]]*(1-Table2[[#This Row],[Failure mode coverage wrt. violation of safety goals]]), 0)</f>
        <v>0</v>
      </c>
      <c r="Q200" s="318" t="s">
        <v>36</v>
      </c>
      <c r="R200" s="122"/>
      <c r="S200" s="318"/>
      <c r="T200" s="170"/>
      <c r="U200" s="16"/>
      <c r="V200" s="125">
        <f>IF(Table2[[#This Row],[Failure mode that may lead to the violation of safety goals in combination with an independent failure of another block ?]]="Yes",(1-Table2[[#This Row],[Failure mode coverage with respect to latent failures]])*Table2[[#This Row],[Failure mode rate]], 0)</f>
        <v>0</v>
      </c>
      <c r="W200" s="123"/>
      <c r="X200" s="339"/>
      <c r="Y200" s="125">
        <f>IF(Table2[[#This Row],[SR]]="Yes",Table2[[#This Row],[λ]], 0)</f>
        <v>0</v>
      </c>
    </row>
    <row r="201" spans="1:25" outlineLevel="1">
      <c r="A201" s="18" t="s">
        <v>805</v>
      </c>
      <c r="B201" s="123" t="s">
        <v>499</v>
      </c>
      <c r="C201" s="123"/>
      <c r="D201" s="123"/>
      <c r="E201" s="123"/>
      <c r="F201" s="125">
        <f>VLOOKUP(Table2[Function], Table1[], 5, FALSE)</f>
        <v>1.69208521626856</v>
      </c>
      <c r="G201" s="19" t="s">
        <v>516</v>
      </c>
      <c r="H201" s="318" t="s">
        <v>36</v>
      </c>
      <c r="I201" s="122" t="s">
        <v>63</v>
      </c>
      <c r="J201" s="131">
        <f t="shared" si="14"/>
        <v>8.3333333333333329E-2</v>
      </c>
      <c r="K201" s="70">
        <f>Table2[[#This Row],[λ]]*Table2[[#This Row],[Failure rate distribution]]</f>
        <v>0.14100710135571332</v>
      </c>
      <c r="L201" s="318" t="s">
        <v>63</v>
      </c>
      <c r="M201" s="26" t="str">
        <f>VLOOKUP(Table2[[#This Row],[Applicable Safety mechanism]],Table3[],2,FALSE)</f>
        <v>Not applicable</v>
      </c>
      <c r="N201" s="27" t="str">
        <f>VLOOKUP(Table2[[#This Row],[Applicable Safety mechanism]], Table3[], 3,FALSE)</f>
        <v>-</v>
      </c>
      <c r="O201" s="28">
        <f>VLOOKUP(Table2[[#This Row],[Applicable Safety mechanism]], Table3[], 6,FALSE)</f>
        <v>0</v>
      </c>
      <c r="P201" s="29">
        <f>IF(Table2[[#This Row],[Failure mode that has the potential to violate the safety goal in absence of safety mechanism?]]="Yes", Table2[[#This Row],[Failure mode rate]]*(1-Table2[[#This Row],[Failure mode coverage wrt. violation of safety goals]]), 0)</f>
        <v>0</v>
      </c>
      <c r="Q201" s="318" t="s">
        <v>36</v>
      </c>
      <c r="R201" s="122"/>
      <c r="S201" s="318"/>
      <c r="T201" s="170"/>
      <c r="U201" s="16"/>
      <c r="V201" s="125">
        <f>IF(Table2[[#This Row],[Failure mode that may lead to the violation of safety goals in combination with an independent failure of another block ?]]="Yes",(1-Table2[[#This Row],[Failure mode coverage with respect to latent failures]])*Table2[[#This Row],[Failure mode rate]], 0)</f>
        <v>0</v>
      </c>
      <c r="W201" s="123"/>
      <c r="X201" s="339"/>
      <c r="Y201" s="125">
        <f>IF(Table2[[#This Row],[SR]]="Yes",Table2[[#This Row],[λ]], 0)</f>
        <v>0</v>
      </c>
    </row>
    <row r="202" spans="1:25" outlineLevel="1">
      <c r="A202" s="128" t="s">
        <v>806</v>
      </c>
      <c r="B202" s="123" t="s">
        <v>499</v>
      </c>
      <c r="C202" s="123"/>
      <c r="D202" s="123"/>
      <c r="E202" s="123"/>
      <c r="F202" s="125">
        <f>VLOOKUP(Table2[Function], Table1[], 5, FALSE)</f>
        <v>1.69208521626856</v>
      </c>
      <c r="G202" s="19" t="s">
        <v>517</v>
      </c>
      <c r="H202" s="318" t="s">
        <v>36</v>
      </c>
      <c r="I202" s="122" t="s">
        <v>63</v>
      </c>
      <c r="J202" s="131">
        <f t="shared" si="14"/>
        <v>8.3333333333333329E-2</v>
      </c>
      <c r="K202" s="70">
        <f>Table2[[#This Row],[λ]]*Table2[[#This Row],[Failure rate distribution]]</f>
        <v>0.14100710135571332</v>
      </c>
      <c r="L202" s="318" t="s">
        <v>63</v>
      </c>
      <c r="M202" s="26" t="str">
        <f>VLOOKUP(Table2[[#This Row],[Applicable Safety mechanism]],Table3[],2,FALSE)</f>
        <v>Not applicable</v>
      </c>
      <c r="N202" s="27" t="str">
        <f>VLOOKUP(Table2[[#This Row],[Applicable Safety mechanism]], Table3[], 3,FALSE)</f>
        <v>-</v>
      </c>
      <c r="O202" s="28">
        <f>VLOOKUP(Table2[[#This Row],[Applicable Safety mechanism]], Table3[], 6,FALSE)</f>
        <v>0</v>
      </c>
      <c r="P202" s="29">
        <f>IF(Table2[[#This Row],[Failure mode that has the potential to violate the safety goal in absence of safety mechanism?]]="Yes", Table2[[#This Row],[Failure mode rate]]*(1-Table2[[#This Row],[Failure mode coverage wrt. violation of safety goals]]), 0)</f>
        <v>0</v>
      </c>
      <c r="Q202" s="318" t="s">
        <v>36</v>
      </c>
      <c r="R202" s="122"/>
      <c r="S202" s="318"/>
      <c r="T202" s="170"/>
      <c r="U202" s="16"/>
      <c r="V202" s="125">
        <f>IF(Table2[[#This Row],[Failure mode that may lead to the violation of safety goals in combination with an independent failure of another block ?]]="Yes",(1-Table2[[#This Row],[Failure mode coverage with respect to latent failures]])*Table2[[#This Row],[Failure mode rate]], 0)</f>
        <v>0</v>
      </c>
      <c r="W202" s="123"/>
      <c r="X202" s="339"/>
      <c r="Y202" s="125">
        <f>IF(Table2[[#This Row],[SR]]="Yes",Table2[[#This Row],[λ]], 0)</f>
        <v>0</v>
      </c>
    </row>
    <row r="203" spans="1:25" outlineLevel="1">
      <c r="A203" s="18" t="s">
        <v>807</v>
      </c>
      <c r="B203" s="123" t="s">
        <v>499</v>
      </c>
      <c r="C203" s="123"/>
      <c r="D203" s="123"/>
      <c r="E203" s="123"/>
      <c r="F203" s="125">
        <f>VLOOKUP(Table2[Function], Table1[], 5, FALSE)</f>
        <v>1.69208521626856</v>
      </c>
      <c r="G203" s="19" t="s">
        <v>518</v>
      </c>
      <c r="H203" s="318" t="s">
        <v>36</v>
      </c>
      <c r="I203" s="122" t="s">
        <v>63</v>
      </c>
      <c r="J203" s="131">
        <f t="shared" si="14"/>
        <v>8.3333333333333329E-2</v>
      </c>
      <c r="K203" s="70">
        <f>Table2[[#This Row],[λ]]*Table2[[#This Row],[Failure rate distribution]]</f>
        <v>0.14100710135571332</v>
      </c>
      <c r="L203" s="318" t="s">
        <v>63</v>
      </c>
      <c r="M203" s="26" t="str">
        <f>VLOOKUP(Table2[[#This Row],[Applicable Safety mechanism]],Table3[],2,FALSE)</f>
        <v>Not applicable</v>
      </c>
      <c r="N203" s="27" t="str">
        <f>VLOOKUP(Table2[[#This Row],[Applicable Safety mechanism]], Table3[], 3,FALSE)</f>
        <v>-</v>
      </c>
      <c r="O203" s="28">
        <f>VLOOKUP(Table2[[#This Row],[Applicable Safety mechanism]], Table3[], 6,FALSE)</f>
        <v>0</v>
      </c>
      <c r="P203" s="29">
        <f>IF(Table2[[#This Row],[Failure mode that has the potential to violate the safety goal in absence of safety mechanism?]]="Yes", Table2[[#This Row],[Failure mode rate]]*(1-Table2[[#This Row],[Failure mode coverage wrt. violation of safety goals]]), 0)</f>
        <v>0</v>
      </c>
      <c r="Q203" s="318" t="s">
        <v>36</v>
      </c>
      <c r="R203" s="122"/>
      <c r="S203" s="318"/>
      <c r="T203" s="170"/>
      <c r="U203" s="16"/>
      <c r="V203" s="125">
        <f>IF(Table2[[#This Row],[Failure mode that may lead to the violation of safety goals in combination with an independent failure of another block ?]]="Yes",(1-Table2[[#This Row],[Failure mode coverage with respect to latent failures]])*Table2[[#This Row],[Failure mode rate]], 0)</f>
        <v>0</v>
      </c>
      <c r="W203" s="123"/>
      <c r="X203" s="339"/>
      <c r="Y203" s="125">
        <f>IF(Table2[[#This Row],[SR]]="Yes",Table2[[#This Row],[λ]], 0)</f>
        <v>0</v>
      </c>
    </row>
    <row r="204" spans="1:25" outlineLevel="1">
      <c r="A204" s="128" t="s">
        <v>808</v>
      </c>
      <c r="B204" s="123" t="s">
        <v>499</v>
      </c>
      <c r="C204" s="123"/>
      <c r="D204" s="123"/>
      <c r="E204" s="123"/>
      <c r="F204" s="125">
        <f>VLOOKUP(Table2[Function], Table1[], 5, FALSE)</f>
        <v>1.69208521626856</v>
      </c>
      <c r="G204" s="19" t="s">
        <v>519</v>
      </c>
      <c r="H204" s="318" t="s">
        <v>36</v>
      </c>
      <c r="I204" s="122" t="s">
        <v>63</v>
      </c>
      <c r="J204" s="131">
        <f t="shared" si="14"/>
        <v>8.3333333333333329E-2</v>
      </c>
      <c r="K204" s="70">
        <f>Table2[[#This Row],[λ]]*Table2[[#This Row],[Failure rate distribution]]</f>
        <v>0.14100710135571332</v>
      </c>
      <c r="L204" s="318" t="s">
        <v>63</v>
      </c>
      <c r="M204" s="26" t="str">
        <f>VLOOKUP(Table2[[#This Row],[Applicable Safety mechanism]],Table3[],2,FALSE)</f>
        <v>Not applicable</v>
      </c>
      <c r="N204" s="27" t="str">
        <f>VLOOKUP(Table2[[#This Row],[Applicable Safety mechanism]], Table3[], 3,FALSE)</f>
        <v>-</v>
      </c>
      <c r="O204" s="28">
        <f>VLOOKUP(Table2[[#This Row],[Applicable Safety mechanism]], Table3[], 6,FALSE)</f>
        <v>0</v>
      </c>
      <c r="P204" s="29">
        <f>IF(Table2[[#This Row],[Failure mode that has the potential to violate the safety goal in absence of safety mechanism?]]="Yes", Table2[[#This Row],[Failure mode rate]]*(1-Table2[[#This Row],[Failure mode coverage wrt. violation of safety goals]]), 0)</f>
        <v>0</v>
      </c>
      <c r="Q204" s="318" t="s">
        <v>36</v>
      </c>
      <c r="R204" s="122"/>
      <c r="S204" s="318"/>
      <c r="T204" s="170"/>
      <c r="U204" s="16"/>
      <c r="V204" s="125">
        <f>IF(Table2[[#This Row],[Failure mode that may lead to the violation of safety goals in combination with an independent failure of another block ?]]="Yes",(1-Table2[[#This Row],[Failure mode coverage with respect to latent failures]])*Table2[[#This Row],[Failure mode rate]], 0)</f>
        <v>0</v>
      </c>
      <c r="W204" s="123"/>
      <c r="X204" s="339"/>
      <c r="Y204" s="125">
        <f>IF(Table2[[#This Row],[SR]]="Yes",Table2[[#This Row],[λ]], 0)</f>
        <v>0</v>
      </c>
    </row>
    <row r="205" spans="1:25" outlineLevel="1">
      <c r="A205" s="18" t="s">
        <v>809</v>
      </c>
      <c r="B205" s="123" t="s">
        <v>499</v>
      </c>
      <c r="C205" s="123"/>
      <c r="D205" s="123"/>
      <c r="E205" s="123"/>
      <c r="F205" s="125">
        <f>VLOOKUP(Table2[Function], Table1[], 5, FALSE)</f>
        <v>1.69208521626856</v>
      </c>
      <c r="G205" s="19" t="s">
        <v>520</v>
      </c>
      <c r="H205" s="318" t="s">
        <v>36</v>
      </c>
      <c r="I205" s="122" t="s">
        <v>63</v>
      </c>
      <c r="J205" s="131">
        <f t="shared" si="14"/>
        <v>8.3333333333333329E-2</v>
      </c>
      <c r="K205" s="70">
        <f>Table2[[#This Row],[λ]]*Table2[[#This Row],[Failure rate distribution]]</f>
        <v>0.14100710135571332</v>
      </c>
      <c r="L205" s="318" t="s">
        <v>63</v>
      </c>
      <c r="M205" s="26" t="str">
        <f>VLOOKUP(Table2[[#This Row],[Applicable Safety mechanism]],Table3[],2,FALSE)</f>
        <v>Not applicable</v>
      </c>
      <c r="N205" s="27" t="str">
        <f>VLOOKUP(Table2[[#This Row],[Applicable Safety mechanism]], Table3[], 3,FALSE)</f>
        <v>-</v>
      </c>
      <c r="O205" s="28">
        <f>VLOOKUP(Table2[[#This Row],[Applicable Safety mechanism]], Table3[], 6,FALSE)</f>
        <v>0</v>
      </c>
      <c r="P205" s="29">
        <f>IF(Table2[[#This Row],[Failure mode that has the potential to violate the safety goal in absence of safety mechanism?]]="Yes", Table2[[#This Row],[Failure mode rate]]*(1-Table2[[#This Row],[Failure mode coverage wrt. violation of safety goals]]), 0)</f>
        <v>0</v>
      </c>
      <c r="Q205" s="318" t="s">
        <v>36</v>
      </c>
      <c r="R205" s="122"/>
      <c r="S205" s="318"/>
      <c r="T205" s="170"/>
      <c r="U205" s="16"/>
      <c r="V205" s="125">
        <f>IF(Table2[[#This Row],[Failure mode that may lead to the violation of safety goals in combination with an independent failure of another block ?]]="Yes",(1-Table2[[#This Row],[Failure mode coverage with respect to latent failures]])*Table2[[#This Row],[Failure mode rate]], 0)</f>
        <v>0</v>
      </c>
      <c r="W205" s="123"/>
      <c r="X205" s="339"/>
      <c r="Y205" s="125">
        <f>IF(Table2[[#This Row],[SR]]="Yes",Table2[[#This Row],[λ]], 0)</f>
        <v>0</v>
      </c>
    </row>
    <row r="206" spans="1:25" outlineLevel="1">
      <c r="A206" s="128" t="s">
        <v>810</v>
      </c>
      <c r="B206" s="123" t="s">
        <v>499</v>
      </c>
      <c r="C206" s="123"/>
      <c r="D206" s="123"/>
      <c r="E206" s="123"/>
      <c r="F206" s="125">
        <f>VLOOKUP(Table2[Function], Table1[], 5, FALSE)</f>
        <v>1.69208521626856</v>
      </c>
      <c r="G206" s="19" t="s">
        <v>521</v>
      </c>
      <c r="H206" s="318" t="s">
        <v>36</v>
      </c>
      <c r="I206" s="122" t="s">
        <v>63</v>
      </c>
      <c r="J206" s="131">
        <f t="shared" si="14"/>
        <v>8.3333333333333329E-2</v>
      </c>
      <c r="K206" s="70">
        <f>Table2[[#This Row],[λ]]*Table2[[#This Row],[Failure rate distribution]]</f>
        <v>0.14100710135571332</v>
      </c>
      <c r="L206" s="318" t="s">
        <v>63</v>
      </c>
      <c r="M206" s="26" t="str">
        <f>VLOOKUP(Table2[[#This Row],[Applicable Safety mechanism]],Table3[],2,FALSE)</f>
        <v>Not applicable</v>
      </c>
      <c r="N206" s="27" t="str">
        <f>VLOOKUP(Table2[[#This Row],[Applicable Safety mechanism]], Table3[], 3,FALSE)</f>
        <v>-</v>
      </c>
      <c r="O206" s="28">
        <f>VLOOKUP(Table2[[#This Row],[Applicable Safety mechanism]], Table3[], 6,FALSE)</f>
        <v>0</v>
      </c>
      <c r="P206" s="29">
        <f>IF(Table2[[#This Row],[Failure mode that has the potential to violate the safety goal in absence of safety mechanism?]]="Yes", Table2[[#This Row],[Failure mode rate]]*(1-Table2[[#This Row],[Failure mode coverage wrt. violation of safety goals]]), 0)</f>
        <v>0</v>
      </c>
      <c r="Q206" s="318" t="s">
        <v>36</v>
      </c>
      <c r="R206" s="122"/>
      <c r="S206" s="318"/>
      <c r="T206" s="170"/>
      <c r="U206" s="16"/>
      <c r="V206" s="125">
        <f>IF(Table2[[#This Row],[Failure mode that may lead to the violation of safety goals in combination with an independent failure of another block ?]]="Yes",(1-Table2[[#This Row],[Failure mode coverage with respect to latent failures]])*Table2[[#This Row],[Failure mode rate]], 0)</f>
        <v>0</v>
      </c>
      <c r="W206" s="123"/>
      <c r="X206" s="339"/>
      <c r="Y206" s="125">
        <f>IF(Table2[[#This Row],[SR]]="Yes",Table2[[#This Row],[λ]], 0)</f>
        <v>0</v>
      </c>
    </row>
    <row r="207" spans="1:25" outlineLevel="1">
      <c r="A207" s="18" t="s">
        <v>811</v>
      </c>
      <c r="B207" s="123" t="s">
        <v>499</v>
      </c>
      <c r="C207" s="123"/>
      <c r="D207" s="123"/>
      <c r="E207" s="123"/>
      <c r="F207" s="125">
        <f>VLOOKUP(Table2[Function], Table1[], 5, FALSE)</f>
        <v>1.69208521626856</v>
      </c>
      <c r="G207" s="19" t="s">
        <v>522</v>
      </c>
      <c r="H207" s="318" t="s">
        <v>36</v>
      </c>
      <c r="I207" s="122" t="s">
        <v>63</v>
      </c>
      <c r="J207" s="131">
        <f t="shared" si="14"/>
        <v>8.3333333333333329E-2</v>
      </c>
      <c r="K207" s="70">
        <f>Table2[[#This Row],[λ]]*Table2[[#This Row],[Failure rate distribution]]</f>
        <v>0.14100710135571332</v>
      </c>
      <c r="L207" s="318" t="s">
        <v>63</v>
      </c>
      <c r="M207" s="26" t="str">
        <f>VLOOKUP(Table2[[#This Row],[Applicable Safety mechanism]],Table3[],2,FALSE)</f>
        <v>Not applicable</v>
      </c>
      <c r="N207" s="27" t="str">
        <f>VLOOKUP(Table2[[#This Row],[Applicable Safety mechanism]], Table3[], 3,FALSE)</f>
        <v>-</v>
      </c>
      <c r="O207" s="28">
        <f>VLOOKUP(Table2[[#This Row],[Applicable Safety mechanism]], Table3[], 6,FALSE)</f>
        <v>0</v>
      </c>
      <c r="P207" s="29">
        <f>IF(Table2[[#This Row],[Failure mode that has the potential to violate the safety goal in absence of safety mechanism?]]="Yes", Table2[[#This Row],[Failure mode rate]]*(1-Table2[[#This Row],[Failure mode coverage wrt. violation of safety goals]]), 0)</f>
        <v>0</v>
      </c>
      <c r="Q207" s="318" t="s">
        <v>36</v>
      </c>
      <c r="R207" s="122"/>
      <c r="S207" s="318"/>
      <c r="T207" s="170"/>
      <c r="U207" s="16"/>
      <c r="V207" s="125">
        <f>IF(Table2[[#This Row],[Failure mode that may lead to the violation of safety goals in combination with an independent failure of another block ?]]="Yes",(1-Table2[[#This Row],[Failure mode coverage with respect to latent failures]])*Table2[[#This Row],[Failure mode rate]], 0)</f>
        <v>0</v>
      </c>
      <c r="W207" s="123"/>
      <c r="X207" s="339"/>
      <c r="Y207" s="125">
        <f>IF(Table2[[#This Row],[SR]]="Yes",Table2[[#This Row],[λ]], 0)</f>
        <v>0</v>
      </c>
    </row>
    <row r="208" spans="1:25" outlineLevel="1">
      <c r="A208" s="128" t="s">
        <v>812</v>
      </c>
      <c r="B208" s="123" t="s">
        <v>499</v>
      </c>
      <c r="C208" s="123"/>
      <c r="D208" s="123"/>
      <c r="E208" s="123"/>
      <c r="F208" s="125">
        <f>VLOOKUP(Table2[Function], Table1[], 5, FALSE)</f>
        <v>1.69208521626856</v>
      </c>
      <c r="G208" s="19" t="s">
        <v>523</v>
      </c>
      <c r="H208" s="318" t="s">
        <v>36</v>
      </c>
      <c r="I208" s="122" t="s">
        <v>63</v>
      </c>
      <c r="J208" s="131">
        <f t="shared" si="14"/>
        <v>8.3333333333333329E-2</v>
      </c>
      <c r="K208" s="70">
        <f>Table2[[#This Row],[λ]]*Table2[[#This Row],[Failure rate distribution]]</f>
        <v>0.14100710135571332</v>
      </c>
      <c r="L208" s="318" t="s">
        <v>63</v>
      </c>
      <c r="M208" s="26" t="str">
        <f>VLOOKUP(Table2[[#This Row],[Applicable Safety mechanism]],Table3[],2,FALSE)</f>
        <v>Not applicable</v>
      </c>
      <c r="N208" s="27" t="str">
        <f>VLOOKUP(Table2[[#This Row],[Applicable Safety mechanism]], Table3[], 3,FALSE)</f>
        <v>-</v>
      </c>
      <c r="O208" s="28">
        <f>VLOOKUP(Table2[[#This Row],[Applicable Safety mechanism]], Table3[], 6,FALSE)</f>
        <v>0</v>
      </c>
      <c r="P208" s="29">
        <f>IF(Table2[[#This Row],[Failure mode that has the potential to violate the safety goal in absence of safety mechanism?]]="Yes", Table2[[#This Row],[Failure mode rate]]*(1-Table2[[#This Row],[Failure mode coverage wrt. violation of safety goals]]), 0)</f>
        <v>0</v>
      </c>
      <c r="Q208" s="318" t="s">
        <v>36</v>
      </c>
      <c r="R208" s="122"/>
      <c r="S208" s="318"/>
      <c r="T208" s="170"/>
      <c r="U208" s="16"/>
      <c r="V208" s="125">
        <f>IF(Table2[[#This Row],[Failure mode that may lead to the violation of safety goals in combination with an independent failure of another block ?]]="Yes",(1-Table2[[#This Row],[Failure mode coverage with respect to latent failures]])*Table2[[#This Row],[Failure mode rate]], 0)</f>
        <v>0</v>
      </c>
      <c r="W208" s="123"/>
      <c r="X208" s="339"/>
      <c r="Y208" s="125">
        <f>IF(Table2[[#This Row],[SR]]="Yes",Table2[[#This Row],[λ]], 0)</f>
        <v>0</v>
      </c>
    </row>
    <row r="209" spans="1:25" outlineLevel="1">
      <c r="A209" s="18" t="s">
        <v>813</v>
      </c>
      <c r="B209" s="123" t="s">
        <v>499</v>
      </c>
      <c r="C209" s="123"/>
      <c r="D209" s="123"/>
      <c r="E209" s="123"/>
      <c r="F209" s="125">
        <f>VLOOKUP(Table2[Function], Table1[], 5, FALSE)</f>
        <v>1.69208521626856</v>
      </c>
      <c r="G209" s="19" t="s">
        <v>524</v>
      </c>
      <c r="H209" s="318" t="s">
        <v>36</v>
      </c>
      <c r="I209" s="122" t="s">
        <v>63</v>
      </c>
      <c r="J209" s="131">
        <f t="shared" si="14"/>
        <v>8.3333333333333329E-2</v>
      </c>
      <c r="K209" s="70">
        <f>Table2[[#This Row],[λ]]*Table2[[#This Row],[Failure rate distribution]]</f>
        <v>0.14100710135571332</v>
      </c>
      <c r="L209" s="318" t="s">
        <v>63</v>
      </c>
      <c r="M209" s="26" t="str">
        <f>VLOOKUP(Table2[[#This Row],[Applicable Safety mechanism]],Table3[],2,FALSE)</f>
        <v>Not applicable</v>
      </c>
      <c r="N209" s="27" t="str">
        <f>VLOOKUP(Table2[[#This Row],[Applicable Safety mechanism]], Table3[], 3,FALSE)</f>
        <v>-</v>
      </c>
      <c r="O209" s="28">
        <f>VLOOKUP(Table2[[#This Row],[Applicable Safety mechanism]], Table3[], 6,FALSE)</f>
        <v>0</v>
      </c>
      <c r="P209" s="29">
        <f>IF(Table2[[#This Row],[Failure mode that has the potential to violate the safety goal in absence of safety mechanism?]]="Yes", Table2[[#This Row],[Failure mode rate]]*(1-Table2[[#This Row],[Failure mode coverage wrt. violation of safety goals]]), 0)</f>
        <v>0</v>
      </c>
      <c r="Q209" s="318" t="s">
        <v>36</v>
      </c>
      <c r="R209" s="122"/>
      <c r="S209" s="318"/>
      <c r="T209" s="170"/>
      <c r="U209" s="16"/>
      <c r="V209" s="125">
        <f>IF(Table2[[#This Row],[Failure mode that may lead to the violation of safety goals in combination with an independent failure of another block ?]]="Yes",(1-Table2[[#This Row],[Failure mode coverage with respect to latent failures]])*Table2[[#This Row],[Failure mode rate]], 0)</f>
        <v>0</v>
      </c>
      <c r="W209" s="123"/>
      <c r="X209" s="339"/>
      <c r="Y209" s="125">
        <f>IF(Table2[[#This Row],[SR]]="Yes",Table2[[#This Row],[λ]], 0)</f>
        <v>0</v>
      </c>
    </row>
    <row r="210" spans="1:25">
      <c r="A210" s="128" t="s">
        <v>814</v>
      </c>
      <c r="B210" s="130" t="s">
        <v>499</v>
      </c>
      <c r="C210" s="130" t="s">
        <v>512</v>
      </c>
      <c r="D210" s="122" t="s">
        <v>63</v>
      </c>
      <c r="E210" s="122"/>
      <c r="F210" s="125">
        <f>VLOOKUP(Table2[Function], Table1[], 5, FALSE)</f>
        <v>1.69208521626856</v>
      </c>
      <c r="G210" s="122" t="s">
        <v>63</v>
      </c>
      <c r="H210" s="318" t="s">
        <v>63</v>
      </c>
      <c r="I210" s="122" t="s">
        <v>63</v>
      </c>
      <c r="J210" s="122" t="s">
        <v>63</v>
      </c>
      <c r="K210" s="125" t="s">
        <v>63</v>
      </c>
      <c r="L210" s="325" t="s">
        <v>63</v>
      </c>
      <c r="M210" s="122" t="s">
        <v>63</v>
      </c>
      <c r="N210" s="125" t="s">
        <v>63</v>
      </c>
      <c r="O210" s="122" t="s">
        <v>63</v>
      </c>
      <c r="P210" s="122" t="s">
        <v>63</v>
      </c>
      <c r="Q210" s="318" t="s">
        <v>63</v>
      </c>
      <c r="R210" s="122"/>
      <c r="S210" s="318"/>
      <c r="T210" s="170"/>
      <c r="U210" s="122"/>
      <c r="V210" s="122"/>
      <c r="W210" s="122"/>
      <c r="X210" s="339"/>
      <c r="Y210" s="125"/>
    </row>
    <row r="211" spans="1:25" ht="86.4" outlineLevel="1">
      <c r="A211" s="18" t="s">
        <v>815</v>
      </c>
      <c r="B211" s="12" t="s">
        <v>403</v>
      </c>
      <c r="C211" s="12" t="s">
        <v>421</v>
      </c>
      <c r="D211" s="12" t="s">
        <v>218</v>
      </c>
      <c r="E211" s="12" t="s">
        <v>219</v>
      </c>
      <c r="F211" s="125">
        <f>VLOOKUP(Table2[Function], Table1[], 5, FALSE)</f>
        <v>8.3220142027114257</v>
      </c>
      <c r="G211" s="19" t="s">
        <v>162</v>
      </c>
      <c r="H211" s="318" t="s">
        <v>36</v>
      </c>
      <c r="I211" s="122" t="s">
        <v>63</v>
      </c>
      <c r="J211" s="13">
        <f>1/16</f>
        <v>6.25E-2</v>
      </c>
      <c r="K211" s="17">
        <f>Table2[[#This Row],[λ]]*Table2[[#This Row],[Failure rate distribution]]</f>
        <v>0.5201258876694641</v>
      </c>
      <c r="L211" s="318" t="s">
        <v>63</v>
      </c>
      <c r="M211" s="20" t="str">
        <f>VLOOKUP(Table2[[#This Row],[Applicable Safety mechanism]],Table3[],2,FALSE)</f>
        <v>Not applicable</v>
      </c>
      <c r="N211" s="21" t="str">
        <f>VLOOKUP(Table2[[#This Row],[Applicable Safety mechanism]], Table3[], 3,FALSE)</f>
        <v>-</v>
      </c>
      <c r="O211" s="16">
        <f>VLOOKUP(Table2[[#This Row],[Applicable Safety mechanism]], Table3[], 6,FALSE)</f>
        <v>0</v>
      </c>
      <c r="P211" s="22">
        <f>IF(Table2[[#This Row],[Failure mode that has the potential to violate the safety goal in absence of safety mechanism?]]="Yes", Table2[[#This Row],[Failure mode rate]]*(1-Table2[[#This Row],[Failure mode coverage wrt. violation of safety goals]]), 0)</f>
        <v>0</v>
      </c>
      <c r="Q211" s="318" t="s">
        <v>36</v>
      </c>
      <c r="R211" s="11"/>
      <c r="S211" s="318"/>
      <c r="T211" s="170"/>
      <c r="U211" s="16"/>
      <c r="V211" s="125">
        <f>IF(Table2[[#This Row],[Failure mode that may lead to the violation of safety goals in combination with an independent failure of another block ?]]="Yes",(1-Table2[[#This Row],[Failure mode coverage with respect to latent failures]])*Table2[[#This Row],[Failure mode rate]], 0)</f>
        <v>0</v>
      </c>
      <c r="W211" s="12"/>
      <c r="X211" s="339" t="s">
        <v>36</v>
      </c>
      <c r="Y211" s="125">
        <f>IF(Table2[[#This Row],[SR]]="Yes",Table2[[#This Row],[λ]], 0)</f>
        <v>0</v>
      </c>
    </row>
    <row r="212" spans="1:25" outlineLevel="1">
      <c r="A212" s="128" t="s">
        <v>816</v>
      </c>
      <c r="B212" s="123" t="s">
        <v>403</v>
      </c>
      <c r="C212" s="123" t="s">
        <v>421</v>
      </c>
      <c r="D212" s="12"/>
      <c r="E212" s="12"/>
      <c r="F212" s="125">
        <f>VLOOKUP(Table2[Function], Table1[], 5, FALSE)</f>
        <v>8.3220142027114257</v>
      </c>
      <c r="G212" s="19" t="s">
        <v>163</v>
      </c>
      <c r="H212" s="318" t="s">
        <v>36</v>
      </c>
      <c r="I212" s="122" t="s">
        <v>63</v>
      </c>
      <c r="J212" s="13">
        <f t="shared" ref="J212:J226" si="15">1/16</f>
        <v>6.25E-2</v>
      </c>
      <c r="K212" s="17">
        <f>Table2[[#This Row],[λ]]*Table2[[#This Row],[Failure rate distribution]]</f>
        <v>0.5201258876694641</v>
      </c>
      <c r="L212" s="318" t="s">
        <v>63</v>
      </c>
      <c r="M212" s="20" t="str">
        <f>VLOOKUP(Table2[[#This Row],[Applicable Safety mechanism]],Table3[],2,FALSE)</f>
        <v>Not applicable</v>
      </c>
      <c r="N212" s="21" t="str">
        <f>VLOOKUP(Table2[[#This Row],[Applicable Safety mechanism]], Table3[], 3,FALSE)</f>
        <v>-</v>
      </c>
      <c r="O212" s="16">
        <f>VLOOKUP(Table2[[#This Row],[Applicable Safety mechanism]], Table3[], 6,FALSE)</f>
        <v>0</v>
      </c>
      <c r="P212" s="22">
        <f>IF(Table2[[#This Row],[Failure mode that has the potential to violate the safety goal in absence of safety mechanism?]]="Yes", Table2[[#This Row],[Failure mode rate]]*(1-Table2[[#This Row],[Failure mode coverage wrt. violation of safety goals]]), 0)</f>
        <v>0</v>
      </c>
      <c r="Q212" s="318" t="s">
        <v>36</v>
      </c>
      <c r="R212" s="11"/>
      <c r="S212" s="318"/>
      <c r="T212" s="170"/>
      <c r="U212" s="16"/>
      <c r="V212" s="125">
        <f>IF(Table2[[#This Row],[Failure mode that may lead to the violation of safety goals in combination with an independent failure of another block ?]]="Yes",(1-Table2[[#This Row],[Failure mode coverage with respect to latent failures]])*Table2[[#This Row],[Failure mode rate]], 0)</f>
        <v>0</v>
      </c>
      <c r="W212" s="12"/>
      <c r="X212" s="339"/>
      <c r="Y212" s="125">
        <f>IF(Table2[[#This Row],[SR]]="Yes",Table2[[#This Row],[λ]], 0)</f>
        <v>0</v>
      </c>
    </row>
    <row r="213" spans="1:25" outlineLevel="1">
      <c r="A213" s="18" t="s">
        <v>817</v>
      </c>
      <c r="B213" s="123" t="s">
        <v>403</v>
      </c>
      <c r="C213" s="123" t="s">
        <v>421</v>
      </c>
      <c r="D213" s="12"/>
      <c r="E213" s="12"/>
      <c r="F213" s="125">
        <f>VLOOKUP(Table2[Function], Table1[], 5, FALSE)</f>
        <v>8.3220142027114257</v>
      </c>
      <c r="G213" s="19" t="s">
        <v>164</v>
      </c>
      <c r="H213" s="318" t="s">
        <v>36</v>
      </c>
      <c r="I213" s="122" t="s">
        <v>63</v>
      </c>
      <c r="J213" s="13">
        <f t="shared" si="15"/>
        <v>6.25E-2</v>
      </c>
      <c r="K213" s="17">
        <f>Table2[[#This Row],[λ]]*Table2[[#This Row],[Failure rate distribution]]</f>
        <v>0.5201258876694641</v>
      </c>
      <c r="L213" s="318" t="s">
        <v>63</v>
      </c>
      <c r="M213" s="20" t="str">
        <f>VLOOKUP(Table2[[#This Row],[Applicable Safety mechanism]],Table3[],2,FALSE)</f>
        <v>Not applicable</v>
      </c>
      <c r="N213" s="21" t="str">
        <f>VLOOKUP(Table2[[#This Row],[Applicable Safety mechanism]], Table3[], 3,FALSE)</f>
        <v>-</v>
      </c>
      <c r="O213" s="16">
        <f>VLOOKUP(Table2[[#This Row],[Applicable Safety mechanism]], Table3[], 6,FALSE)</f>
        <v>0</v>
      </c>
      <c r="P213" s="22">
        <f>IF(Table2[[#This Row],[Failure mode that has the potential to violate the safety goal in absence of safety mechanism?]]="Yes", Table2[[#This Row],[Failure mode rate]]*(1-Table2[[#This Row],[Failure mode coverage wrt. violation of safety goals]]), 0)</f>
        <v>0</v>
      </c>
      <c r="Q213" s="318" t="s">
        <v>36</v>
      </c>
      <c r="R213" s="11"/>
      <c r="S213" s="318"/>
      <c r="T213" s="170"/>
      <c r="U213" s="16"/>
      <c r="V213" s="125">
        <f>IF(Table2[[#This Row],[Failure mode that may lead to the violation of safety goals in combination with an independent failure of another block ?]]="Yes",(1-Table2[[#This Row],[Failure mode coverage with respect to latent failures]])*Table2[[#This Row],[Failure mode rate]], 0)</f>
        <v>0</v>
      </c>
      <c r="W213" s="12"/>
      <c r="X213" s="339"/>
      <c r="Y213" s="125">
        <f>IF(Table2[[#This Row],[SR]]="Yes",Table2[[#This Row],[λ]], 0)</f>
        <v>0</v>
      </c>
    </row>
    <row r="214" spans="1:25" outlineLevel="1">
      <c r="A214" s="128" t="s">
        <v>818</v>
      </c>
      <c r="B214" s="123" t="s">
        <v>403</v>
      </c>
      <c r="C214" s="123" t="s">
        <v>421</v>
      </c>
      <c r="D214" s="12"/>
      <c r="E214" s="12"/>
      <c r="F214" s="125">
        <f>VLOOKUP(Table2[Function], Table1[], 5, FALSE)</f>
        <v>8.3220142027114257</v>
      </c>
      <c r="G214" s="19" t="s">
        <v>165</v>
      </c>
      <c r="H214" s="318" t="s">
        <v>36</v>
      </c>
      <c r="I214" s="122" t="s">
        <v>63</v>
      </c>
      <c r="J214" s="13">
        <f t="shared" si="15"/>
        <v>6.25E-2</v>
      </c>
      <c r="K214" s="17">
        <f>Table2[[#This Row],[λ]]*Table2[[#This Row],[Failure rate distribution]]</f>
        <v>0.5201258876694641</v>
      </c>
      <c r="L214" s="318" t="s">
        <v>63</v>
      </c>
      <c r="M214" s="20" t="str">
        <f>VLOOKUP(Table2[[#This Row],[Applicable Safety mechanism]],Table3[],2,FALSE)</f>
        <v>Not applicable</v>
      </c>
      <c r="N214" s="21" t="str">
        <f>VLOOKUP(Table2[[#This Row],[Applicable Safety mechanism]], Table3[], 3,FALSE)</f>
        <v>-</v>
      </c>
      <c r="O214" s="16">
        <f>VLOOKUP(Table2[[#This Row],[Applicable Safety mechanism]], Table3[], 6,FALSE)</f>
        <v>0</v>
      </c>
      <c r="P214" s="22">
        <f>IF(Table2[[#This Row],[Failure mode that has the potential to violate the safety goal in absence of safety mechanism?]]="Yes", Table2[[#This Row],[Failure mode rate]]*(1-Table2[[#This Row],[Failure mode coverage wrt. violation of safety goals]]), 0)</f>
        <v>0</v>
      </c>
      <c r="Q214" s="318" t="s">
        <v>36</v>
      </c>
      <c r="R214" s="11"/>
      <c r="S214" s="318"/>
      <c r="T214" s="170"/>
      <c r="U214" s="16"/>
      <c r="V214" s="125">
        <f>IF(Table2[[#This Row],[Failure mode that may lead to the violation of safety goals in combination with an independent failure of another block ?]]="Yes",(1-Table2[[#This Row],[Failure mode coverage with respect to latent failures]])*Table2[[#This Row],[Failure mode rate]], 0)</f>
        <v>0</v>
      </c>
      <c r="W214" s="12"/>
      <c r="X214" s="339"/>
      <c r="Y214" s="125">
        <f>IF(Table2[[#This Row],[SR]]="Yes",Table2[[#This Row],[λ]], 0)</f>
        <v>0</v>
      </c>
    </row>
    <row r="215" spans="1:25" outlineLevel="1">
      <c r="A215" s="18" t="s">
        <v>819</v>
      </c>
      <c r="B215" s="123" t="s">
        <v>403</v>
      </c>
      <c r="C215" s="123" t="s">
        <v>421</v>
      </c>
      <c r="D215" s="12"/>
      <c r="E215" s="12"/>
      <c r="F215" s="125">
        <f>VLOOKUP(Table2[Function], Table1[], 5, FALSE)</f>
        <v>8.3220142027114257</v>
      </c>
      <c r="G215" s="19" t="s">
        <v>166</v>
      </c>
      <c r="H215" s="318" t="s">
        <v>36</v>
      </c>
      <c r="I215" s="122" t="s">
        <v>63</v>
      </c>
      <c r="J215" s="13">
        <f t="shared" si="15"/>
        <v>6.25E-2</v>
      </c>
      <c r="K215" s="17">
        <f>Table2[[#This Row],[λ]]*Table2[[#This Row],[Failure rate distribution]]</f>
        <v>0.5201258876694641</v>
      </c>
      <c r="L215" s="318" t="s">
        <v>63</v>
      </c>
      <c r="M215" s="20" t="str">
        <f>VLOOKUP(Table2[[#This Row],[Applicable Safety mechanism]],Table3[],2,FALSE)</f>
        <v>Not applicable</v>
      </c>
      <c r="N215" s="21" t="str">
        <f>VLOOKUP(Table2[[#This Row],[Applicable Safety mechanism]], Table3[], 3,FALSE)</f>
        <v>-</v>
      </c>
      <c r="O215" s="16">
        <f>VLOOKUP(Table2[[#This Row],[Applicable Safety mechanism]], Table3[], 6,FALSE)</f>
        <v>0</v>
      </c>
      <c r="P215" s="22">
        <f>IF(Table2[[#This Row],[Failure mode that has the potential to violate the safety goal in absence of safety mechanism?]]="Yes", Table2[[#This Row],[Failure mode rate]]*(1-Table2[[#This Row],[Failure mode coverage wrt. violation of safety goals]]), 0)</f>
        <v>0</v>
      </c>
      <c r="Q215" s="318" t="s">
        <v>36</v>
      </c>
      <c r="R215" s="11"/>
      <c r="S215" s="318"/>
      <c r="T215" s="170"/>
      <c r="U215" s="16"/>
      <c r="V215" s="125">
        <f>IF(Table2[[#This Row],[Failure mode that may lead to the violation of safety goals in combination with an independent failure of another block ?]]="Yes",(1-Table2[[#This Row],[Failure mode coverage with respect to latent failures]])*Table2[[#This Row],[Failure mode rate]], 0)</f>
        <v>0</v>
      </c>
      <c r="W215" s="12"/>
      <c r="X215" s="339"/>
      <c r="Y215" s="125">
        <f>IF(Table2[[#This Row],[SR]]="Yes",Table2[[#This Row],[λ]], 0)</f>
        <v>0</v>
      </c>
    </row>
    <row r="216" spans="1:25" outlineLevel="1">
      <c r="A216" s="128" t="s">
        <v>820</v>
      </c>
      <c r="B216" s="123" t="s">
        <v>403</v>
      </c>
      <c r="C216" s="123" t="s">
        <v>421</v>
      </c>
      <c r="D216" s="12"/>
      <c r="E216" s="12"/>
      <c r="F216" s="125">
        <f>VLOOKUP(Table2[Function], Table1[], 5, FALSE)</f>
        <v>8.3220142027114257</v>
      </c>
      <c r="G216" s="19" t="s">
        <v>167</v>
      </c>
      <c r="H216" s="318" t="s">
        <v>36</v>
      </c>
      <c r="I216" s="122" t="s">
        <v>63</v>
      </c>
      <c r="J216" s="13">
        <f t="shared" si="15"/>
        <v>6.25E-2</v>
      </c>
      <c r="K216" s="17">
        <f>Table2[[#This Row],[λ]]*Table2[[#This Row],[Failure rate distribution]]</f>
        <v>0.5201258876694641</v>
      </c>
      <c r="L216" s="318" t="s">
        <v>63</v>
      </c>
      <c r="M216" s="20" t="str">
        <f>VLOOKUP(Table2[[#This Row],[Applicable Safety mechanism]],Table3[],2,FALSE)</f>
        <v>Not applicable</v>
      </c>
      <c r="N216" s="21" t="str">
        <f>VLOOKUP(Table2[[#This Row],[Applicable Safety mechanism]], Table3[], 3,FALSE)</f>
        <v>-</v>
      </c>
      <c r="O216" s="16">
        <f>VLOOKUP(Table2[[#This Row],[Applicable Safety mechanism]], Table3[], 6,FALSE)</f>
        <v>0</v>
      </c>
      <c r="P216" s="22">
        <f>IF(Table2[[#This Row],[Failure mode that has the potential to violate the safety goal in absence of safety mechanism?]]="Yes", Table2[[#This Row],[Failure mode rate]]*(1-Table2[[#This Row],[Failure mode coverage wrt. violation of safety goals]]), 0)</f>
        <v>0</v>
      </c>
      <c r="Q216" s="318" t="s">
        <v>36</v>
      </c>
      <c r="R216" s="11"/>
      <c r="S216" s="318"/>
      <c r="T216" s="170"/>
      <c r="U216" s="16"/>
      <c r="V216" s="125">
        <f>IF(Table2[[#This Row],[Failure mode that may lead to the violation of safety goals in combination with an independent failure of another block ?]]="Yes",(1-Table2[[#This Row],[Failure mode coverage with respect to latent failures]])*Table2[[#This Row],[Failure mode rate]], 0)</f>
        <v>0</v>
      </c>
      <c r="W216" s="12"/>
      <c r="X216" s="339"/>
      <c r="Y216" s="125">
        <f>IF(Table2[[#This Row],[SR]]="Yes",Table2[[#This Row],[λ]], 0)</f>
        <v>0</v>
      </c>
    </row>
    <row r="217" spans="1:25" outlineLevel="1">
      <c r="A217" s="18" t="s">
        <v>283</v>
      </c>
      <c r="B217" s="123" t="s">
        <v>403</v>
      </c>
      <c r="C217" s="123" t="s">
        <v>421</v>
      </c>
      <c r="D217" s="12"/>
      <c r="E217" s="12"/>
      <c r="F217" s="125">
        <f>VLOOKUP(Table2[Function], Table1[], 5, FALSE)</f>
        <v>8.3220142027114257</v>
      </c>
      <c r="G217" s="19" t="s">
        <v>168</v>
      </c>
      <c r="H217" s="318" t="s">
        <v>36</v>
      </c>
      <c r="I217" s="122" t="s">
        <v>63</v>
      </c>
      <c r="J217" s="13">
        <f t="shared" si="15"/>
        <v>6.25E-2</v>
      </c>
      <c r="K217" s="17">
        <f>Table2[[#This Row],[λ]]*Table2[[#This Row],[Failure rate distribution]]</f>
        <v>0.5201258876694641</v>
      </c>
      <c r="L217" s="318" t="s">
        <v>63</v>
      </c>
      <c r="M217" s="20" t="str">
        <f>VLOOKUP(Table2[[#This Row],[Applicable Safety mechanism]],Table3[],2,FALSE)</f>
        <v>Not applicable</v>
      </c>
      <c r="N217" s="21" t="str">
        <f>VLOOKUP(Table2[[#This Row],[Applicable Safety mechanism]], Table3[], 3,FALSE)</f>
        <v>-</v>
      </c>
      <c r="O217" s="16">
        <f>VLOOKUP(Table2[[#This Row],[Applicable Safety mechanism]], Table3[], 6,FALSE)</f>
        <v>0</v>
      </c>
      <c r="P217" s="22">
        <f>IF(Table2[[#This Row],[Failure mode that has the potential to violate the safety goal in absence of safety mechanism?]]="Yes", Table2[[#This Row],[Failure mode rate]]*(1-Table2[[#This Row],[Failure mode coverage wrt. violation of safety goals]]), 0)</f>
        <v>0</v>
      </c>
      <c r="Q217" s="318" t="s">
        <v>36</v>
      </c>
      <c r="R217" s="11"/>
      <c r="S217" s="318"/>
      <c r="T217" s="170"/>
      <c r="U217" s="16"/>
      <c r="V217" s="125">
        <f>IF(Table2[[#This Row],[Failure mode that may lead to the violation of safety goals in combination with an independent failure of another block ?]]="Yes",(1-Table2[[#This Row],[Failure mode coverage with respect to latent failures]])*Table2[[#This Row],[Failure mode rate]], 0)</f>
        <v>0</v>
      </c>
      <c r="W217" s="12"/>
      <c r="X217" s="339"/>
      <c r="Y217" s="125">
        <f>IF(Table2[[#This Row],[SR]]="Yes",Table2[[#This Row],[λ]], 0)</f>
        <v>0</v>
      </c>
    </row>
    <row r="218" spans="1:25" outlineLevel="1">
      <c r="A218" s="128" t="s">
        <v>284</v>
      </c>
      <c r="B218" s="123" t="s">
        <v>403</v>
      </c>
      <c r="C218" s="123" t="s">
        <v>421</v>
      </c>
      <c r="D218" s="12"/>
      <c r="E218" s="12"/>
      <c r="F218" s="125">
        <f>VLOOKUP(Table2[Function], Table1[], 5, FALSE)</f>
        <v>8.3220142027114257</v>
      </c>
      <c r="G218" s="19" t="s">
        <v>169</v>
      </c>
      <c r="H218" s="318" t="s">
        <v>36</v>
      </c>
      <c r="I218" s="122" t="s">
        <v>63</v>
      </c>
      <c r="J218" s="13">
        <f t="shared" si="15"/>
        <v>6.25E-2</v>
      </c>
      <c r="K218" s="17">
        <f>Table2[[#This Row],[λ]]*Table2[[#This Row],[Failure rate distribution]]</f>
        <v>0.5201258876694641</v>
      </c>
      <c r="L218" s="318" t="s">
        <v>63</v>
      </c>
      <c r="M218" s="20" t="str">
        <f>VLOOKUP(Table2[[#This Row],[Applicable Safety mechanism]],Table3[],2,FALSE)</f>
        <v>Not applicable</v>
      </c>
      <c r="N218" s="21" t="str">
        <f>VLOOKUP(Table2[[#This Row],[Applicable Safety mechanism]], Table3[], 3,FALSE)</f>
        <v>-</v>
      </c>
      <c r="O218" s="16">
        <f>VLOOKUP(Table2[[#This Row],[Applicable Safety mechanism]], Table3[], 6,FALSE)</f>
        <v>0</v>
      </c>
      <c r="P218" s="22">
        <f>IF(Table2[[#This Row],[Failure mode that has the potential to violate the safety goal in absence of safety mechanism?]]="Yes", Table2[[#This Row],[Failure mode rate]]*(1-Table2[[#This Row],[Failure mode coverage wrt. violation of safety goals]]), 0)</f>
        <v>0</v>
      </c>
      <c r="Q218" s="318" t="s">
        <v>36</v>
      </c>
      <c r="R218" s="11"/>
      <c r="S218" s="318"/>
      <c r="T218" s="170"/>
      <c r="U218" s="16"/>
      <c r="V218" s="125">
        <f>IF(Table2[[#This Row],[Failure mode that may lead to the violation of safety goals in combination with an independent failure of another block ?]]="Yes",(1-Table2[[#This Row],[Failure mode coverage with respect to latent failures]])*Table2[[#This Row],[Failure mode rate]], 0)</f>
        <v>0</v>
      </c>
      <c r="W218" s="12"/>
      <c r="X218" s="339"/>
      <c r="Y218" s="125">
        <f>IF(Table2[[#This Row],[SR]]="Yes",Table2[[#This Row],[λ]], 0)</f>
        <v>0</v>
      </c>
    </row>
    <row r="219" spans="1:25" outlineLevel="1">
      <c r="A219" s="18" t="s">
        <v>285</v>
      </c>
      <c r="B219" s="123" t="s">
        <v>403</v>
      </c>
      <c r="C219" s="123" t="s">
        <v>421</v>
      </c>
      <c r="D219" s="12"/>
      <c r="E219" s="12"/>
      <c r="F219" s="125">
        <f>VLOOKUP(Table2[Function], Table1[], 5, FALSE)</f>
        <v>8.3220142027114257</v>
      </c>
      <c r="G219" s="19" t="s">
        <v>170</v>
      </c>
      <c r="H219" s="318" t="s">
        <v>36</v>
      </c>
      <c r="I219" s="122" t="s">
        <v>63</v>
      </c>
      <c r="J219" s="13">
        <f t="shared" si="15"/>
        <v>6.25E-2</v>
      </c>
      <c r="K219" s="17">
        <f>Table2[[#This Row],[λ]]*Table2[[#This Row],[Failure rate distribution]]</f>
        <v>0.5201258876694641</v>
      </c>
      <c r="L219" s="318" t="s">
        <v>63</v>
      </c>
      <c r="M219" s="20" t="str">
        <f>VLOOKUP(Table2[[#This Row],[Applicable Safety mechanism]],Table3[],2,FALSE)</f>
        <v>Not applicable</v>
      </c>
      <c r="N219" s="21" t="str">
        <f>VLOOKUP(Table2[[#This Row],[Applicable Safety mechanism]], Table3[], 3,FALSE)</f>
        <v>-</v>
      </c>
      <c r="O219" s="16">
        <f>VLOOKUP(Table2[[#This Row],[Applicable Safety mechanism]], Table3[], 6,FALSE)</f>
        <v>0</v>
      </c>
      <c r="P219" s="22">
        <f>IF(Table2[[#This Row],[Failure mode that has the potential to violate the safety goal in absence of safety mechanism?]]="Yes", Table2[[#This Row],[Failure mode rate]]*(1-Table2[[#This Row],[Failure mode coverage wrt. violation of safety goals]]), 0)</f>
        <v>0</v>
      </c>
      <c r="Q219" s="318" t="s">
        <v>36</v>
      </c>
      <c r="R219" s="11"/>
      <c r="S219" s="318"/>
      <c r="T219" s="170"/>
      <c r="U219" s="16"/>
      <c r="V219" s="125">
        <f>IF(Table2[[#This Row],[Failure mode that may lead to the violation of safety goals in combination with an independent failure of another block ?]]="Yes",(1-Table2[[#This Row],[Failure mode coverage with respect to latent failures]])*Table2[[#This Row],[Failure mode rate]], 0)</f>
        <v>0</v>
      </c>
      <c r="W219" s="12"/>
      <c r="X219" s="339"/>
      <c r="Y219" s="125">
        <f>IF(Table2[[#This Row],[SR]]="Yes",Table2[[#This Row],[λ]], 0)</f>
        <v>0</v>
      </c>
    </row>
    <row r="220" spans="1:25" outlineLevel="1">
      <c r="A220" s="128" t="s">
        <v>286</v>
      </c>
      <c r="B220" s="123" t="s">
        <v>403</v>
      </c>
      <c r="C220" s="123" t="s">
        <v>421</v>
      </c>
      <c r="D220" s="123"/>
      <c r="E220" s="123"/>
      <c r="F220" s="125">
        <f>VLOOKUP(Table2[Function], Table1[], 5, FALSE)</f>
        <v>8.3220142027114257</v>
      </c>
      <c r="G220" s="19" t="s">
        <v>171</v>
      </c>
      <c r="H220" s="318" t="s">
        <v>36</v>
      </c>
      <c r="I220" s="122" t="s">
        <v>63</v>
      </c>
      <c r="J220" s="13">
        <f t="shared" si="15"/>
        <v>6.25E-2</v>
      </c>
      <c r="K220" s="17">
        <f>Table2[[#This Row],[λ]]*Table2[[#This Row],[Failure rate distribution]]</f>
        <v>0.5201258876694641</v>
      </c>
      <c r="L220" s="318" t="s">
        <v>63</v>
      </c>
      <c r="M220" s="20" t="str">
        <f>VLOOKUP(Table2[[#This Row],[Applicable Safety mechanism]],Table3[],2,FALSE)</f>
        <v>Not applicable</v>
      </c>
      <c r="N220" s="21" t="str">
        <f>VLOOKUP(Table2[[#This Row],[Applicable Safety mechanism]], Table3[], 3,FALSE)</f>
        <v>-</v>
      </c>
      <c r="O220" s="16">
        <f>VLOOKUP(Table2[[#This Row],[Applicable Safety mechanism]], Table3[], 6,FALSE)</f>
        <v>0</v>
      </c>
      <c r="P220" s="22">
        <f>IF(Table2[[#This Row],[Failure mode that has the potential to violate the safety goal in absence of safety mechanism?]]="Yes", Table2[[#This Row],[Failure mode rate]]*(1-Table2[[#This Row],[Failure mode coverage wrt. violation of safety goals]]), 0)</f>
        <v>0</v>
      </c>
      <c r="Q220" s="318" t="s">
        <v>36</v>
      </c>
      <c r="R220" s="11"/>
      <c r="S220" s="318"/>
      <c r="T220" s="170"/>
      <c r="U220" s="16"/>
      <c r="V220" s="125">
        <f>IF(Table2[[#This Row],[Failure mode that may lead to the violation of safety goals in combination with an independent failure of another block ?]]="Yes",(1-Table2[[#This Row],[Failure mode coverage with respect to latent failures]])*Table2[[#This Row],[Failure mode rate]], 0)</f>
        <v>0</v>
      </c>
      <c r="W220" s="12"/>
      <c r="X220" s="339"/>
      <c r="Y220" s="125">
        <f>IF(Table2[[#This Row],[SR]]="Yes",Table2[[#This Row],[λ]], 0)</f>
        <v>0</v>
      </c>
    </row>
    <row r="221" spans="1:25" outlineLevel="1">
      <c r="A221" s="18" t="s">
        <v>821</v>
      </c>
      <c r="B221" s="123" t="s">
        <v>403</v>
      </c>
      <c r="C221" s="123" t="s">
        <v>421</v>
      </c>
      <c r="D221" s="123"/>
      <c r="E221" s="123"/>
      <c r="F221" s="125">
        <f>VLOOKUP(Table2[Function], Table1[], 5, FALSE)</f>
        <v>8.3220142027114257</v>
      </c>
      <c r="G221" s="19" t="s">
        <v>525</v>
      </c>
      <c r="H221" s="318" t="s">
        <v>36</v>
      </c>
      <c r="I221" s="122" t="s">
        <v>63</v>
      </c>
      <c r="J221" s="124">
        <f t="shared" si="15"/>
        <v>6.25E-2</v>
      </c>
      <c r="K221" s="125">
        <f>Table2[[#This Row],[λ]]*Table2[[#This Row],[Failure rate distribution]]</f>
        <v>0.5201258876694641</v>
      </c>
      <c r="L221" s="318" t="s">
        <v>63</v>
      </c>
      <c r="M221" s="20" t="str">
        <f>VLOOKUP(Table2[[#This Row],[Applicable Safety mechanism]],Table3[],2,FALSE)</f>
        <v>Not applicable</v>
      </c>
      <c r="N221" s="21" t="str">
        <f>VLOOKUP(Table2[[#This Row],[Applicable Safety mechanism]], Table3[], 3,FALSE)</f>
        <v>-</v>
      </c>
      <c r="O221" s="16">
        <f>VLOOKUP(Table2[[#This Row],[Applicable Safety mechanism]], Table3[], 6,FALSE)</f>
        <v>0</v>
      </c>
      <c r="P221" s="126">
        <f>IF(Table2[[#This Row],[Failure mode that has the potential to violate the safety goal in absence of safety mechanism?]]="Yes", Table2[[#This Row],[Failure mode rate]]*(1-Table2[[#This Row],[Failure mode coverage wrt. violation of safety goals]]), 0)</f>
        <v>0</v>
      </c>
      <c r="Q221" s="318" t="s">
        <v>36</v>
      </c>
      <c r="R221" s="122"/>
      <c r="S221" s="318"/>
      <c r="T221" s="170"/>
      <c r="U221" s="16"/>
      <c r="V221" s="125">
        <f>IF(Table2[[#This Row],[Failure mode that may lead to the violation of safety goals in combination with an independent failure of another block ?]]="Yes",(1-Table2[[#This Row],[Failure mode coverage with respect to latent failures]])*Table2[[#This Row],[Failure mode rate]], 0)</f>
        <v>0</v>
      </c>
      <c r="W221" s="123"/>
      <c r="X221" s="339"/>
      <c r="Y221" s="125">
        <f>IF(Table2[[#This Row],[SR]]="Yes",Table2[[#This Row],[λ]], 0)</f>
        <v>0</v>
      </c>
    </row>
    <row r="222" spans="1:25" outlineLevel="1">
      <c r="A222" s="128" t="s">
        <v>822</v>
      </c>
      <c r="B222" s="123" t="s">
        <v>403</v>
      </c>
      <c r="C222" s="123" t="s">
        <v>421</v>
      </c>
      <c r="D222" s="123"/>
      <c r="E222" s="123"/>
      <c r="F222" s="125">
        <f>VLOOKUP(Table2[Function], Table1[], 5, FALSE)</f>
        <v>8.3220142027114257</v>
      </c>
      <c r="G222" s="19" t="s">
        <v>172</v>
      </c>
      <c r="H222" s="318" t="s">
        <v>36</v>
      </c>
      <c r="I222" s="122" t="s">
        <v>63</v>
      </c>
      <c r="J222" s="13">
        <f t="shared" si="15"/>
        <v>6.25E-2</v>
      </c>
      <c r="K222" s="17">
        <f>Table2[[#This Row],[λ]]*Table2[[#This Row],[Failure rate distribution]]</f>
        <v>0.5201258876694641</v>
      </c>
      <c r="L222" s="318" t="s">
        <v>63</v>
      </c>
      <c r="M222" s="20" t="str">
        <f>VLOOKUP(Table2[[#This Row],[Applicable Safety mechanism]],Table3[],2,FALSE)</f>
        <v>Not applicable</v>
      </c>
      <c r="N222" s="21" t="str">
        <f>VLOOKUP(Table2[[#This Row],[Applicable Safety mechanism]], Table3[], 3,FALSE)</f>
        <v>-</v>
      </c>
      <c r="O222" s="16">
        <f>VLOOKUP(Table2[[#This Row],[Applicable Safety mechanism]], Table3[], 6,FALSE)</f>
        <v>0</v>
      </c>
      <c r="P222" s="22">
        <f>IF(Table2[[#This Row],[Failure mode that has the potential to violate the safety goal in absence of safety mechanism?]]="Yes", Table2[[#This Row],[Failure mode rate]]*(1-Table2[[#This Row],[Failure mode coverage wrt. violation of safety goals]]), 0)</f>
        <v>0</v>
      </c>
      <c r="Q222" s="318" t="s">
        <v>36</v>
      </c>
      <c r="R222" s="11"/>
      <c r="S222" s="318"/>
      <c r="T222" s="170"/>
      <c r="U222" s="16"/>
      <c r="V222" s="125">
        <f>IF(Table2[[#This Row],[Failure mode that may lead to the violation of safety goals in combination with an independent failure of another block ?]]="Yes",(1-Table2[[#This Row],[Failure mode coverage with respect to latent failures]])*Table2[[#This Row],[Failure mode rate]], 0)</f>
        <v>0</v>
      </c>
      <c r="W222" s="12"/>
      <c r="X222" s="339"/>
      <c r="Y222" s="125">
        <f>IF(Table2[[#This Row],[SR]]="Yes",Table2[[#This Row],[λ]], 0)</f>
        <v>0</v>
      </c>
    </row>
    <row r="223" spans="1:25" outlineLevel="1">
      <c r="A223" s="18" t="s">
        <v>823</v>
      </c>
      <c r="B223" s="123" t="s">
        <v>403</v>
      </c>
      <c r="C223" s="123" t="s">
        <v>421</v>
      </c>
      <c r="D223" s="123"/>
      <c r="E223" s="123"/>
      <c r="F223" s="125">
        <f>VLOOKUP(Table2[Function], Table1[], 5, FALSE)</f>
        <v>8.3220142027114257</v>
      </c>
      <c r="G223" s="19" t="s">
        <v>173</v>
      </c>
      <c r="H223" s="318" t="s">
        <v>36</v>
      </c>
      <c r="I223" s="122" t="s">
        <v>63</v>
      </c>
      <c r="J223" s="13">
        <f t="shared" si="15"/>
        <v>6.25E-2</v>
      </c>
      <c r="K223" s="17">
        <f>Table2[[#This Row],[λ]]*Table2[[#This Row],[Failure rate distribution]]</f>
        <v>0.5201258876694641</v>
      </c>
      <c r="L223" s="318" t="s">
        <v>63</v>
      </c>
      <c r="M223" s="20" t="str">
        <f>VLOOKUP(Table2[[#This Row],[Applicable Safety mechanism]],Table3[],2,FALSE)</f>
        <v>Not applicable</v>
      </c>
      <c r="N223" s="21" t="str">
        <f>VLOOKUP(Table2[[#This Row],[Applicable Safety mechanism]], Table3[], 3,FALSE)</f>
        <v>-</v>
      </c>
      <c r="O223" s="16">
        <f>VLOOKUP(Table2[[#This Row],[Applicable Safety mechanism]], Table3[], 6,FALSE)</f>
        <v>0</v>
      </c>
      <c r="P223" s="22">
        <f>IF(Table2[[#This Row],[Failure mode that has the potential to violate the safety goal in absence of safety mechanism?]]="Yes", Table2[[#This Row],[Failure mode rate]]*(1-Table2[[#This Row],[Failure mode coverage wrt. violation of safety goals]]), 0)</f>
        <v>0</v>
      </c>
      <c r="Q223" s="318" t="s">
        <v>36</v>
      </c>
      <c r="R223" s="11"/>
      <c r="S223" s="318"/>
      <c r="T223" s="170"/>
      <c r="U223" s="16"/>
      <c r="V223" s="125">
        <f>IF(Table2[[#This Row],[Failure mode that may lead to the violation of safety goals in combination with an independent failure of another block ?]]="Yes",(1-Table2[[#This Row],[Failure mode coverage with respect to latent failures]])*Table2[[#This Row],[Failure mode rate]], 0)</f>
        <v>0</v>
      </c>
      <c r="W223" s="12"/>
      <c r="X223" s="339"/>
      <c r="Y223" s="125">
        <f>IF(Table2[[#This Row],[SR]]="Yes",Table2[[#This Row],[λ]], 0)</f>
        <v>0</v>
      </c>
    </row>
    <row r="224" spans="1:25" outlineLevel="1">
      <c r="A224" s="128" t="s">
        <v>824</v>
      </c>
      <c r="B224" s="123" t="s">
        <v>403</v>
      </c>
      <c r="C224" s="123" t="s">
        <v>421</v>
      </c>
      <c r="D224" s="12"/>
      <c r="E224" s="12"/>
      <c r="F224" s="125">
        <f>VLOOKUP(Table2[Function], Table1[], 5, FALSE)</f>
        <v>8.3220142027114257</v>
      </c>
      <c r="G224" s="19" t="s">
        <v>174</v>
      </c>
      <c r="H224" s="318" t="s">
        <v>36</v>
      </c>
      <c r="I224" s="122" t="s">
        <v>63</v>
      </c>
      <c r="J224" s="13">
        <f t="shared" si="15"/>
        <v>6.25E-2</v>
      </c>
      <c r="K224" s="17">
        <f>Table2[[#This Row],[λ]]*Table2[[#This Row],[Failure rate distribution]]</f>
        <v>0.5201258876694641</v>
      </c>
      <c r="L224" s="318" t="s">
        <v>63</v>
      </c>
      <c r="M224" s="20" t="str">
        <f>VLOOKUP(Table2[[#This Row],[Applicable Safety mechanism]],Table3[],2,FALSE)</f>
        <v>Not applicable</v>
      </c>
      <c r="N224" s="21" t="str">
        <f>VLOOKUP(Table2[[#This Row],[Applicable Safety mechanism]], Table3[], 3,FALSE)</f>
        <v>-</v>
      </c>
      <c r="O224" s="16">
        <f>VLOOKUP(Table2[[#This Row],[Applicable Safety mechanism]], Table3[], 6,FALSE)</f>
        <v>0</v>
      </c>
      <c r="P224" s="22">
        <f>IF(Table2[[#This Row],[Failure mode that has the potential to violate the safety goal in absence of safety mechanism?]]="Yes", Table2[[#This Row],[Failure mode rate]]*(1-Table2[[#This Row],[Failure mode coverage wrt. violation of safety goals]]), 0)</f>
        <v>0</v>
      </c>
      <c r="Q224" s="318" t="s">
        <v>36</v>
      </c>
      <c r="R224" s="11"/>
      <c r="S224" s="318"/>
      <c r="T224" s="170"/>
      <c r="U224" s="16"/>
      <c r="V224" s="125">
        <f>IF(Table2[[#This Row],[Failure mode that may lead to the violation of safety goals in combination with an independent failure of another block ?]]="Yes",(1-Table2[[#This Row],[Failure mode coverage with respect to latent failures]])*Table2[[#This Row],[Failure mode rate]], 0)</f>
        <v>0</v>
      </c>
      <c r="W224" s="12"/>
      <c r="X224" s="339"/>
      <c r="Y224" s="125">
        <f>IF(Table2[[#This Row],[SR]]="Yes",Table2[[#This Row],[λ]], 0)</f>
        <v>0</v>
      </c>
    </row>
    <row r="225" spans="1:25" outlineLevel="1">
      <c r="A225" s="18" t="s">
        <v>825</v>
      </c>
      <c r="B225" s="123" t="s">
        <v>403</v>
      </c>
      <c r="C225" s="123" t="s">
        <v>421</v>
      </c>
      <c r="D225" s="12"/>
      <c r="E225" s="12"/>
      <c r="F225" s="125">
        <f>VLOOKUP(Table2[Function], Table1[], 5, FALSE)</f>
        <v>8.3220142027114257</v>
      </c>
      <c r="G225" s="19" t="s">
        <v>175</v>
      </c>
      <c r="H225" s="318" t="s">
        <v>36</v>
      </c>
      <c r="I225" s="122" t="s">
        <v>63</v>
      </c>
      <c r="J225" s="13">
        <f t="shared" si="15"/>
        <v>6.25E-2</v>
      </c>
      <c r="K225" s="17">
        <f>Table2[[#This Row],[λ]]*Table2[[#This Row],[Failure rate distribution]]</f>
        <v>0.5201258876694641</v>
      </c>
      <c r="L225" s="318" t="s">
        <v>63</v>
      </c>
      <c r="M225" s="20" t="str">
        <f>VLOOKUP(Table2[[#This Row],[Applicable Safety mechanism]],Table3[],2,FALSE)</f>
        <v>Not applicable</v>
      </c>
      <c r="N225" s="21" t="str">
        <f>VLOOKUP(Table2[[#This Row],[Applicable Safety mechanism]], Table3[], 3,FALSE)</f>
        <v>-</v>
      </c>
      <c r="O225" s="16">
        <f>VLOOKUP(Table2[[#This Row],[Applicable Safety mechanism]], Table3[], 6,FALSE)</f>
        <v>0</v>
      </c>
      <c r="P225" s="22">
        <f>IF(Table2[[#This Row],[Failure mode that has the potential to violate the safety goal in absence of safety mechanism?]]="Yes", Table2[[#This Row],[Failure mode rate]]*(1-Table2[[#This Row],[Failure mode coverage wrt. violation of safety goals]]), 0)</f>
        <v>0</v>
      </c>
      <c r="Q225" s="318" t="s">
        <v>36</v>
      </c>
      <c r="R225" s="11"/>
      <c r="S225" s="318"/>
      <c r="T225" s="170"/>
      <c r="U225" s="16"/>
      <c r="V225" s="125">
        <f>IF(Table2[[#This Row],[Failure mode that may lead to the violation of safety goals in combination with an independent failure of another block ?]]="Yes",(1-Table2[[#This Row],[Failure mode coverage with respect to latent failures]])*Table2[[#This Row],[Failure mode rate]], 0)</f>
        <v>0</v>
      </c>
      <c r="W225" s="12"/>
      <c r="X225" s="339"/>
      <c r="Y225" s="125">
        <f>IF(Table2[[#This Row],[SR]]="Yes",Table2[[#This Row],[λ]], 0)</f>
        <v>0</v>
      </c>
    </row>
    <row r="226" spans="1:25" outlineLevel="1">
      <c r="A226" s="128" t="s">
        <v>826</v>
      </c>
      <c r="B226" s="123" t="s">
        <v>403</v>
      </c>
      <c r="C226" s="123" t="s">
        <v>421</v>
      </c>
      <c r="D226" s="12"/>
      <c r="E226" s="12"/>
      <c r="F226" s="125">
        <f>VLOOKUP(Table2[Function], Table1[], 5, FALSE)</f>
        <v>8.3220142027114257</v>
      </c>
      <c r="G226" s="19" t="s">
        <v>176</v>
      </c>
      <c r="H226" s="318" t="s">
        <v>36</v>
      </c>
      <c r="I226" s="122" t="s">
        <v>63</v>
      </c>
      <c r="J226" s="13">
        <f t="shared" si="15"/>
        <v>6.25E-2</v>
      </c>
      <c r="K226" s="17">
        <f>Table2[[#This Row],[λ]]*Table2[[#This Row],[Failure rate distribution]]</f>
        <v>0.5201258876694641</v>
      </c>
      <c r="L226" s="318" t="s">
        <v>63</v>
      </c>
      <c r="M226" s="20" t="str">
        <f>VLOOKUP(Table2[[#This Row],[Applicable Safety mechanism]],Table3[],2,FALSE)</f>
        <v>Not applicable</v>
      </c>
      <c r="N226" s="21" t="str">
        <f>VLOOKUP(Table2[[#This Row],[Applicable Safety mechanism]], Table3[], 3,FALSE)</f>
        <v>-</v>
      </c>
      <c r="O226" s="16">
        <f>VLOOKUP(Table2[[#This Row],[Applicable Safety mechanism]], Table3[], 6,FALSE)</f>
        <v>0</v>
      </c>
      <c r="P226" s="22">
        <f>IF(Table2[[#This Row],[Failure mode that has the potential to violate the safety goal in absence of safety mechanism?]]="Yes", Table2[[#This Row],[Failure mode rate]]*(1-Table2[[#This Row],[Failure mode coverage wrt. violation of safety goals]]), 0)</f>
        <v>0</v>
      </c>
      <c r="Q226" s="318" t="s">
        <v>36</v>
      </c>
      <c r="R226" s="11"/>
      <c r="S226" s="318"/>
      <c r="T226" s="170"/>
      <c r="U226" s="16"/>
      <c r="V226" s="125">
        <f>IF(Table2[[#This Row],[Failure mode that may lead to the violation of safety goals in combination with an independent failure of another block ?]]="Yes",(1-Table2[[#This Row],[Failure mode coverage with respect to latent failures]])*Table2[[#This Row],[Failure mode rate]], 0)</f>
        <v>0</v>
      </c>
      <c r="W226" s="12"/>
      <c r="X226" s="339"/>
      <c r="Y226" s="125">
        <f>IF(Table2[[#This Row],[SR]]="Yes",Table2[[#This Row],[λ]], 0)</f>
        <v>0</v>
      </c>
    </row>
    <row r="227" spans="1:25">
      <c r="A227" s="18" t="s">
        <v>827</v>
      </c>
      <c r="B227" s="130" t="s">
        <v>403</v>
      </c>
      <c r="C227" s="130" t="s">
        <v>421</v>
      </c>
      <c r="D227" s="11" t="s">
        <v>63</v>
      </c>
      <c r="E227" s="11"/>
      <c r="F227" s="125">
        <f>VLOOKUP(Table2[Function], Table1[], 5, FALSE)</f>
        <v>8.3220142027114257</v>
      </c>
      <c r="G227" s="122" t="s">
        <v>63</v>
      </c>
      <c r="H227" s="318" t="s">
        <v>63</v>
      </c>
      <c r="I227" s="122" t="s">
        <v>63</v>
      </c>
      <c r="J227" s="122" t="s">
        <v>63</v>
      </c>
      <c r="K227" s="125" t="s">
        <v>63</v>
      </c>
      <c r="L227" s="318" t="s">
        <v>63</v>
      </c>
      <c r="M227" s="122" t="s">
        <v>63</v>
      </c>
      <c r="N227" s="122" t="s">
        <v>63</v>
      </c>
      <c r="O227" s="122" t="s">
        <v>63</v>
      </c>
      <c r="P227" s="122" t="s">
        <v>63</v>
      </c>
      <c r="Q227" s="318" t="s">
        <v>63</v>
      </c>
      <c r="R227" s="11"/>
      <c r="S227" s="318"/>
      <c r="T227" s="170"/>
      <c r="U227" s="122"/>
      <c r="V227" s="122"/>
      <c r="W227" s="122"/>
      <c r="X227" s="339"/>
      <c r="Y227" s="125"/>
    </row>
    <row r="228" spans="1:25" outlineLevel="1">
      <c r="A228" s="128" t="s">
        <v>828</v>
      </c>
      <c r="B228" s="34" t="s">
        <v>228</v>
      </c>
      <c r="C228" s="34" t="s">
        <v>220</v>
      </c>
      <c r="D228" s="12" t="s">
        <v>496</v>
      </c>
      <c r="E228" s="12"/>
      <c r="F228" s="125">
        <f>VLOOKUP(Table2[Function], Table1[], 5, FALSE)</f>
        <v>0.21453841187863137</v>
      </c>
      <c r="G228" s="35" t="s">
        <v>225</v>
      </c>
      <c r="H228" s="318" t="s">
        <v>36</v>
      </c>
      <c r="I228" s="68" t="s">
        <v>63</v>
      </c>
      <c r="J228" s="13">
        <f>1/6</f>
        <v>0.16666666666666666</v>
      </c>
      <c r="K228" s="17">
        <f>Table2[[#This Row],[λ]]*Table2[[#This Row],[Failure rate distribution]]</f>
        <v>3.5756401979771896E-2</v>
      </c>
      <c r="L228" s="318" t="s">
        <v>63</v>
      </c>
      <c r="M228" s="20" t="str">
        <f>VLOOKUP(Table2[[#This Row],[Applicable Safety mechanism]],Table3[],2,FALSE)</f>
        <v>Not applicable</v>
      </c>
      <c r="N228" s="21" t="str">
        <f>VLOOKUP(Table2[[#This Row],[Applicable Safety mechanism]], Table3[], 3,FALSE)</f>
        <v>-</v>
      </c>
      <c r="O228" s="16">
        <f>VLOOKUP(Table2[[#This Row],[Applicable Safety mechanism]], Table3[], 6,FALSE)</f>
        <v>0</v>
      </c>
      <c r="P228" s="22">
        <f>IF(Table2[[#This Row],[Failure mode that has the potential to violate the safety goal in absence of safety mechanism?]]="Yes", Table2[[#This Row],[Failure mode rate]]*(1-Table2[[#This Row],[Failure mode coverage wrt. violation of safety goals]]), 0)</f>
        <v>0</v>
      </c>
      <c r="Q228" s="318" t="s">
        <v>36</v>
      </c>
      <c r="R228" s="11"/>
      <c r="S228" s="332"/>
      <c r="T228" s="171"/>
      <c r="U228" s="16"/>
      <c r="V228" s="125">
        <f>IF(Table2[[#This Row],[Failure mode that may lead to the violation of safety goals in combination with an independent failure of another block ?]]="Yes",(1-Table2[[#This Row],[Failure mode coverage with respect to latent failures]])*Table2[[#This Row],[Failure mode rate]], 0)</f>
        <v>0</v>
      </c>
      <c r="W228" s="12"/>
      <c r="X228" s="339" t="s">
        <v>35</v>
      </c>
      <c r="Y228" s="125">
        <f>IF(Table2[[#This Row],[SR]]="Yes",Table2[[#This Row],[λ]], 0)</f>
        <v>0.21453841187863137</v>
      </c>
    </row>
    <row r="229" spans="1:25" outlineLevel="1">
      <c r="A229" s="18" t="s">
        <v>829</v>
      </c>
      <c r="B229" s="12" t="s">
        <v>228</v>
      </c>
      <c r="C229" s="12" t="s">
        <v>220</v>
      </c>
      <c r="D229" s="12"/>
      <c r="E229" s="12"/>
      <c r="F229" s="125">
        <f>VLOOKUP(Table2[Function], Table1[], 5, FALSE)</f>
        <v>0.21453841187863137</v>
      </c>
      <c r="G229" s="35" t="s">
        <v>226</v>
      </c>
      <c r="H229" s="318" t="s">
        <v>36</v>
      </c>
      <c r="I229" s="68" t="s">
        <v>63</v>
      </c>
      <c r="J229" s="124">
        <f t="shared" ref="J229:J233" si="16">1/6</f>
        <v>0.16666666666666666</v>
      </c>
      <c r="K229" s="17">
        <f>Table2[[#This Row],[λ]]*Table2[[#This Row],[Failure rate distribution]]</f>
        <v>3.5756401979771896E-2</v>
      </c>
      <c r="L229" s="318" t="s">
        <v>63</v>
      </c>
      <c r="M229" s="20" t="str">
        <f>VLOOKUP(Table2[[#This Row],[Applicable Safety mechanism]],Table3[],2,FALSE)</f>
        <v>Not applicable</v>
      </c>
      <c r="N229" s="21" t="str">
        <f>VLOOKUP(Table2[[#This Row],[Applicable Safety mechanism]], Table3[], 3,FALSE)</f>
        <v>-</v>
      </c>
      <c r="O229" s="16">
        <f>VLOOKUP(Table2[[#This Row],[Applicable Safety mechanism]], Table3[], 6,FALSE)</f>
        <v>0</v>
      </c>
      <c r="P229" s="22">
        <f>IF(Table2[[#This Row],[Failure mode that has the potential to violate the safety goal in absence of safety mechanism?]]="Yes", Table2[[#This Row],[Failure mode rate]]*(1-Table2[[#This Row],[Failure mode coverage wrt. violation of safety goals]]), 0)</f>
        <v>0</v>
      </c>
      <c r="Q229" s="318" t="s">
        <v>36</v>
      </c>
      <c r="R229" s="11"/>
      <c r="S229" s="332"/>
      <c r="T229" s="171"/>
      <c r="U229" s="16"/>
      <c r="V229" s="125">
        <f>IF(Table2[[#This Row],[Failure mode that may lead to the violation of safety goals in combination with an independent failure of another block ?]]="Yes",(1-Table2[[#This Row],[Failure mode coverage with respect to latent failures]])*Table2[[#This Row],[Failure mode rate]], 0)</f>
        <v>0</v>
      </c>
      <c r="W229" s="12"/>
      <c r="X229" s="339"/>
      <c r="Y229" s="125">
        <f>IF(Table2[[#This Row],[SR]]="Yes",Table2[[#This Row],[λ]], 0)</f>
        <v>0</v>
      </c>
    </row>
    <row r="230" spans="1:25" outlineLevel="1">
      <c r="A230" s="128" t="s">
        <v>830</v>
      </c>
      <c r="B230" s="12" t="s">
        <v>228</v>
      </c>
      <c r="C230" s="12" t="s">
        <v>220</v>
      </c>
      <c r="D230" s="12"/>
      <c r="E230" s="12"/>
      <c r="F230" s="125">
        <f>VLOOKUP(Table2[Function], Table1[], 5, FALSE)</f>
        <v>0.21453841187863137</v>
      </c>
      <c r="G230" s="35" t="s">
        <v>227</v>
      </c>
      <c r="H230" s="318" t="s">
        <v>36</v>
      </c>
      <c r="I230" s="68" t="s">
        <v>63</v>
      </c>
      <c r="J230" s="124">
        <f t="shared" si="16"/>
        <v>0.16666666666666666</v>
      </c>
      <c r="K230" s="17">
        <f>Table2[[#This Row],[λ]]*Table2[[#This Row],[Failure rate distribution]]</f>
        <v>3.5756401979771896E-2</v>
      </c>
      <c r="L230" s="318" t="s">
        <v>63</v>
      </c>
      <c r="M230" s="20" t="str">
        <f>VLOOKUP(Table2[[#This Row],[Applicable Safety mechanism]],Table3[],2,FALSE)</f>
        <v>Not applicable</v>
      </c>
      <c r="N230" s="21" t="str">
        <f>VLOOKUP(Table2[[#This Row],[Applicable Safety mechanism]], Table3[], 3,FALSE)</f>
        <v>-</v>
      </c>
      <c r="O230" s="16">
        <f>VLOOKUP(Table2[[#This Row],[Applicable Safety mechanism]], Table3[], 6,FALSE)</f>
        <v>0</v>
      </c>
      <c r="P230" s="22">
        <f>IF(Table2[[#This Row],[Failure mode that has the potential to violate the safety goal in absence of safety mechanism?]]="Yes", Table2[[#This Row],[Failure mode rate]]*(1-Table2[[#This Row],[Failure mode coverage wrt. violation of safety goals]]), 0)</f>
        <v>0</v>
      </c>
      <c r="Q230" s="318" t="s">
        <v>36</v>
      </c>
      <c r="R230" s="11"/>
      <c r="S230" s="332"/>
      <c r="T230" s="171"/>
      <c r="U230" s="16"/>
      <c r="V230" s="125">
        <f>IF(Table2[[#This Row],[Failure mode that may lead to the violation of safety goals in combination with an independent failure of another block ?]]="Yes",(1-Table2[[#This Row],[Failure mode coverage with respect to latent failures]])*Table2[[#This Row],[Failure mode rate]], 0)</f>
        <v>0</v>
      </c>
      <c r="W230" s="12"/>
      <c r="X230" s="339"/>
      <c r="Y230" s="125">
        <f>IF(Table2[[#This Row],[SR]]="Yes",Table2[[#This Row],[λ]], 0)</f>
        <v>0</v>
      </c>
    </row>
    <row r="231" spans="1:25" ht="28.8" outlineLevel="1">
      <c r="A231" s="18" t="s">
        <v>831</v>
      </c>
      <c r="B231" s="123" t="s">
        <v>228</v>
      </c>
      <c r="C231" s="123" t="s">
        <v>220</v>
      </c>
      <c r="D231" s="123"/>
      <c r="E231" s="123"/>
      <c r="F231" s="125">
        <f>VLOOKUP(Table2[Function], Table1[], 5, FALSE)</f>
        <v>0.21453841187863137</v>
      </c>
      <c r="G231" s="129" t="s">
        <v>357</v>
      </c>
      <c r="H231" s="318" t="s">
        <v>36</v>
      </c>
      <c r="I231" s="68" t="s">
        <v>63</v>
      </c>
      <c r="J231" s="124">
        <f t="shared" si="16"/>
        <v>0.16666666666666666</v>
      </c>
      <c r="K231" s="125">
        <f>Table2[[#This Row],[λ]]*Table2[[#This Row],[Failure rate distribution]]</f>
        <v>3.5756401979771896E-2</v>
      </c>
      <c r="L231" s="318" t="s">
        <v>63</v>
      </c>
      <c r="M231" s="20" t="str">
        <f>VLOOKUP(Table2[[#This Row],[Applicable Safety mechanism]],Table3[],2,FALSE)</f>
        <v>Not applicable</v>
      </c>
      <c r="N231" s="21" t="str">
        <f>VLOOKUP(Table2[[#This Row],[Applicable Safety mechanism]], Table3[], 3,FALSE)</f>
        <v>-</v>
      </c>
      <c r="O231" s="16">
        <f>VLOOKUP(Table2[[#This Row],[Applicable Safety mechanism]], Table3[], 6,FALSE)</f>
        <v>0</v>
      </c>
      <c r="P231" s="126">
        <f>IF(Table2[[#This Row],[Failure mode that has the potential to violate the safety goal in absence of safety mechanism?]]="Yes", Table2[[#This Row],[Failure mode rate]]*(1-Table2[[#This Row],[Failure mode coverage wrt. violation of safety goals]]), 0)</f>
        <v>0</v>
      </c>
      <c r="Q231" s="318" t="s">
        <v>36</v>
      </c>
      <c r="R231" s="122"/>
      <c r="S231" s="332"/>
      <c r="T231" s="171"/>
      <c r="U231" s="16"/>
      <c r="V231" s="125">
        <f>IF(Table2[[#This Row],[Failure mode that may lead to the violation of safety goals in combination with an independent failure of another block ?]]="Yes",(1-Table2[[#This Row],[Failure mode coverage with respect to latent failures]])*Table2[[#This Row],[Failure mode rate]], 0)</f>
        <v>0</v>
      </c>
      <c r="W231" s="123"/>
      <c r="X231" s="339"/>
      <c r="Y231" s="125">
        <f>IF(Table2[[#This Row],[SR]]="Yes",Table2[[#This Row],[λ]], 0)</f>
        <v>0</v>
      </c>
    </row>
    <row r="232" spans="1:25" ht="28.8" outlineLevel="1">
      <c r="A232" s="128" t="s">
        <v>832</v>
      </c>
      <c r="B232" s="123" t="s">
        <v>228</v>
      </c>
      <c r="C232" s="123" t="s">
        <v>220</v>
      </c>
      <c r="D232" s="123"/>
      <c r="E232" s="123"/>
      <c r="F232" s="125">
        <f>VLOOKUP(Table2[Function], Table1[], 5, FALSE)</f>
        <v>0.21453841187863137</v>
      </c>
      <c r="G232" s="129" t="s">
        <v>348</v>
      </c>
      <c r="H232" s="318" t="s">
        <v>36</v>
      </c>
      <c r="I232" s="68" t="s">
        <v>63</v>
      </c>
      <c r="J232" s="124">
        <f t="shared" si="16"/>
        <v>0.16666666666666666</v>
      </c>
      <c r="K232" s="125">
        <f>Table2[[#This Row],[λ]]*Table2[[#This Row],[Failure rate distribution]]</f>
        <v>3.5756401979771896E-2</v>
      </c>
      <c r="L232" s="318" t="s">
        <v>63</v>
      </c>
      <c r="M232" s="20" t="str">
        <f>VLOOKUP(Table2[[#This Row],[Applicable Safety mechanism]],Table3[],2,FALSE)</f>
        <v>Not applicable</v>
      </c>
      <c r="N232" s="21" t="str">
        <f>VLOOKUP(Table2[[#This Row],[Applicable Safety mechanism]], Table3[], 3,FALSE)</f>
        <v>-</v>
      </c>
      <c r="O232" s="16">
        <f>VLOOKUP(Table2[[#This Row],[Applicable Safety mechanism]], Table3[], 6,FALSE)</f>
        <v>0</v>
      </c>
      <c r="P232" s="126">
        <f>IF(Table2[[#This Row],[Failure mode that has the potential to violate the safety goal in absence of safety mechanism?]]="Yes", Table2[[#This Row],[Failure mode rate]]*(1-Table2[[#This Row],[Failure mode coverage wrt. violation of safety goals]]), 0)</f>
        <v>0</v>
      </c>
      <c r="Q232" s="318" t="s">
        <v>35</v>
      </c>
      <c r="R232" s="68" t="s">
        <v>63</v>
      </c>
      <c r="S232" s="318" t="s">
        <v>126</v>
      </c>
      <c r="T232" s="171" t="str">
        <f>VLOOKUP(Table2[[#This Row],[Detection means ? Safety mechanism(s) allowing to prevent the failure mode from being latent ?]],Table3[],2,FALSE)</f>
        <v>Analog and Logical BuitIn Self Test</v>
      </c>
      <c r="U232" s="16">
        <f>VLOOKUP(Table2[[#This Row],[Detection means ? Safety mechanism(s) allowing to prevent the failure mode from being latent ?]], Table3[], 6,FALSE)</f>
        <v>0.6</v>
      </c>
      <c r="V232" s="167">
        <f>IF(Table2[[#This Row],[Failure mode that may lead to the violation of safety goals in combination with an independent failure of another block ?]]="Yes",(1-Table2[[#This Row],[Failure mode coverage with respect to latent failures]])*Table2[[#This Row],[Failure mode rate]], 0)</f>
        <v>1.430256079190876E-2</v>
      </c>
      <c r="W232" s="123"/>
      <c r="X232" s="339"/>
      <c r="Y232" s="125">
        <f>IF(Table2[[#This Row],[SR]]="Yes",Table2[[#This Row],[λ]], 0)</f>
        <v>0</v>
      </c>
    </row>
    <row r="233" spans="1:25" ht="86.4" outlineLevel="1">
      <c r="A233" s="18" t="s">
        <v>833</v>
      </c>
      <c r="B233" s="123" t="s">
        <v>228</v>
      </c>
      <c r="C233" s="123" t="s">
        <v>220</v>
      </c>
      <c r="D233" s="123"/>
      <c r="E233" s="123"/>
      <c r="F233" s="125">
        <f>VLOOKUP(Table2[Function], Table1[], 5, FALSE)</f>
        <v>0.21453841187863137</v>
      </c>
      <c r="G233" s="129" t="s">
        <v>347</v>
      </c>
      <c r="H233" s="318" t="s">
        <v>36</v>
      </c>
      <c r="I233" s="68" t="s">
        <v>63</v>
      </c>
      <c r="J233" s="124">
        <f t="shared" si="16"/>
        <v>0.16666666666666666</v>
      </c>
      <c r="K233" s="125">
        <f>Table2[[#This Row],[λ]]*Table2[[#This Row],[Failure rate distribution]]</f>
        <v>3.5756401979771896E-2</v>
      </c>
      <c r="L233" s="318" t="s">
        <v>63</v>
      </c>
      <c r="M233" s="20" t="str">
        <f>VLOOKUP(Table2[[#This Row],[Applicable Safety mechanism]],Table3[],2,FALSE)</f>
        <v>Not applicable</v>
      </c>
      <c r="N233" s="21" t="str">
        <f>VLOOKUP(Table2[[#This Row],[Applicable Safety mechanism]], Table3[], 3,FALSE)</f>
        <v>-</v>
      </c>
      <c r="O233" s="16">
        <f>VLOOKUP(Table2[[#This Row],[Applicable Safety mechanism]], Table3[], 6,FALSE)</f>
        <v>0</v>
      </c>
      <c r="P233" s="126">
        <f>IF(Table2[[#This Row],[Failure mode that has the potential to violate the safety goal in absence of safety mechanism?]]="Yes", Table2[[#This Row],[Failure mode rate]]*(1-Table2[[#This Row],[Failure mode coverage wrt. violation of safety goals]]), 0)</f>
        <v>0</v>
      </c>
      <c r="Q233" s="318" t="s">
        <v>35</v>
      </c>
      <c r="R233" s="68" t="s">
        <v>63</v>
      </c>
      <c r="S233" s="318" t="s">
        <v>407</v>
      </c>
      <c r="T233" s="171" t="str">
        <f>VLOOKUP(Table2[[#This Row],[Detection means ? Safety mechanism(s) allowing to prevent the failure mode from being latent ?]],Table3[],2,FALSE)</f>
        <v>Read HW_Config SPI register and extract Vcca_HW, Vaux_HW, LS_detect, DBG_HW and DFS_HW1/2 configuration bits to compare with expected values before releasing Fail Safe path</v>
      </c>
      <c r="U233" s="16">
        <f>VLOOKUP(Table2[[#This Row],[Detection means ? Safety mechanism(s) allowing to prevent the failure mode from being latent ?]], Table3[], 6,FALSE)</f>
        <v>0.99</v>
      </c>
      <c r="V233" s="167">
        <f>IF(Table2[[#This Row],[Failure mode that may lead to the violation of safety goals in combination with an independent failure of another block ?]]="Yes",(1-Table2[[#This Row],[Failure mode coverage with respect to latent failures]])*Table2[[#This Row],[Failure mode rate]], 0)</f>
        <v>3.5756401979771928E-4</v>
      </c>
      <c r="W233" s="123"/>
      <c r="X233" s="339"/>
      <c r="Y233" s="125">
        <f>IF(Table2[[#This Row],[SR]]="Yes",Table2[[#This Row],[λ]], 0)</f>
        <v>0</v>
      </c>
    </row>
    <row r="234" spans="1:25" ht="15" thickBot="1">
      <c r="A234" s="128" t="s">
        <v>834</v>
      </c>
      <c r="B234" s="31" t="s">
        <v>228</v>
      </c>
      <c r="C234" s="31" t="s">
        <v>220</v>
      </c>
      <c r="D234" s="11" t="s">
        <v>63</v>
      </c>
      <c r="E234" s="11"/>
      <c r="F234" s="125">
        <f>VLOOKUP(Table2[Function], Table1[], 5, FALSE)</f>
        <v>0.21453841187863137</v>
      </c>
      <c r="G234" s="122" t="s">
        <v>63</v>
      </c>
      <c r="H234" s="318" t="s">
        <v>63</v>
      </c>
      <c r="I234" s="122" t="s">
        <v>63</v>
      </c>
      <c r="J234" s="122" t="s">
        <v>63</v>
      </c>
      <c r="K234" s="125" t="s">
        <v>63</v>
      </c>
      <c r="L234" s="318" t="s">
        <v>63</v>
      </c>
      <c r="M234" s="122" t="s">
        <v>63</v>
      </c>
      <c r="N234" s="122" t="s">
        <v>63</v>
      </c>
      <c r="O234" s="122" t="s">
        <v>63</v>
      </c>
      <c r="P234" s="122" t="s">
        <v>63</v>
      </c>
      <c r="Q234" s="318" t="s">
        <v>63</v>
      </c>
      <c r="R234" s="68"/>
      <c r="S234" s="324"/>
      <c r="T234" s="174"/>
      <c r="U234" s="68"/>
      <c r="V234" s="68"/>
      <c r="W234" s="68"/>
      <c r="X234" s="339"/>
      <c r="Y234" s="125"/>
    </row>
    <row r="235" spans="1:25" ht="15" thickTop="1">
      <c r="A235" s="69"/>
      <c r="B235" s="123" t="s">
        <v>11</v>
      </c>
      <c r="C235" s="123"/>
      <c r="D235" s="123"/>
      <c r="E235" s="123"/>
      <c r="F235" s="125"/>
      <c r="G235" s="129"/>
      <c r="H235" s="318"/>
      <c r="I235" s="122"/>
      <c r="J235" s="122"/>
      <c r="K235" s="250">
        <f>SUBTOTAL(109,Table2[Failure mode rate])</f>
        <v>53.600000000000023</v>
      </c>
      <c r="L235" s="318"/>
      <c r="M235" s="123"/>
      <c r="N235" s="122"/>
      <c r="O235" s="122"/>
      <c r="P235" s="213">
        <f>SUBTOTAL(109,Table2[Residual of single point fault failure rate/FIT])</f>
        <v>0.25049937655945692</v>
      </c>
      <c r="Q235" s="318"/>
      <c r="R235" s="122"/>
      <c r="S235" s="318"/>
      <c r="T235" s="170"/>
      <c r="U235" s="122"/>
      <c r="V235" s="217">
        <f>SUBTOTAL(109,Table2[Latent multiple point fault failure rate/FIT])</f>
        <v>1.1468412800885361</v>
      </c>
      <c r="W235" s="123"/>
      <c r="X235" s="318"/>
      <c r="Y235" s="125">
        <f>SUBTOTAL(109,Table2[λSR])</f>
        <v>37.02517753389283</v>
      </c>
    </row>
  </sheetData>
  <sheetProtection selectLockedCells="1"/>
  <phoneticPr fontId="69" type="noConversion"/>
  <conditionalFormatting sqref="D3 B101:C104 B107:C110 B194:C196 B3:C6 B18:F24 B27:F34 B37:F44 D194:F197 E3:F6 D101:F105 D107:F111 B47:F48 B62:F65 D13 B10:C13 E10:F13 C61 B52:F59 B68:F79 B82:F98 B149:F156 D25:G25 D35:G35 D45:G45 G105 G111 G192 G197 D227:G227 G234 B233:C233 F229:F231 F233 B230:C231 B170:F171 B178:C191 D178:F192 C212:F219 C224:F226 B175:F175 B126:F131 B121:F124 B114:F116 B159:E166">
    <cfRule type="cellIs" dxfId="1009" priority="1920" operator="equal">
      <formula>B2</formula>
    </cfRule>
  </conditionalFormatting>
  <conditionalFormatting sqref="D3 B106:C110 B36:B44 B100:C104 B51:B59 B193:C196 B211:F211 F229:F233 C52:C59 D13 E3:F13 C37:C44 B59:C59 B61:C65 B67:C79 B81:C98 R117:W117 R111:W111 R192:W192 R197:W197 R227:W227 B17:C24 B26:C34 B46:C48 D60:M60 D105:H105 D111:H111 D117:H117 G157:H157 G172:H172 G192:H192 G197:H197 D227:H227 D234:H234 G16:W16 D25:X25 D35:X35 D45:X45 D66:X66 D80:X80 O50:X50 O60:X60 O105:W105 O157:W157 O234:W234 F37:F48 B229:C233 A3:C4 D50:H50 F16:F35 D16:E48 B5:C13 B148:C156 M99:W99 B168:C171 C212:F219 B214:B219 B224:F226 D178:F197 B178:C191 B173:C173 B175:F175 D99:H99 J99:K99 B118:C118 B126:F131 B121:F124 B112:C112 D52:E112 F50:F112 M50 M105 M111 J111:K111 M117 J117:K117 M172 O172:W172 M192 J192:K192 M197 J197:K197 M227 J227:K227 J234:K234 D133:F133 B139:F146 D137:F137 D147:F157 B134:D134 B138:D138 F138 F134:F136 B135:F136 F114:F117 D114:E118 B114:C116 D168:F173 A5:A234">
    <cfRule type="cellIs" dxfId="1008" priority="1919" operator="equal">
      <formula>$C$2</formula>
    </cfRule>
  </conditionalFormatting>
  <conditionalFormatting sqref="L3 S63:W63 S51:W58 S17:W24 S26:W34 S36:W44 L47 S47:V47 U46:W46 S120:T121 S106:W110 V81:W98 S193:W196 V114:W114 U48:W48 U61:W61 U100:W104 U115:W116 U118:W118 U112:W112 U228:W230 S3:W13 M99:P99 U233:W233 W232 V231:W231 S67:W79 V62:W62 V64:W65 W59 S61:T65 U156:W156 V153:W155 V148:W149 S113:V113 U120:V120 V151:W151 V150 U168:W171 S173:W191 U121:W124 U129:W131 V128:W128 U126:W127 U134:W136 U138:W146 S211:W220 S222:W226 W221">
    <cfRule type="containsBlanks" dxfId="1007" priority="1921">
      <formula>LEN(TRIM(L3))=0</formula>
    </cfRule>
  </conditionalFormatting>
  <conditionalFormatting sqref="B47:B48">
    <cfRule type="cellIs" dxfId="1006" priority="1909" operator="equal">
      <formula>B46</formula>
    </cfRule>
  </conditionalFormatting>
  <conditionalFormatting sqref="S47:U47 V3:V13 U48:V48 V46:V48 V51:V58 V61:V65 V67:V79 W74:W75 V17:V24 V26:V34 V36:V44 V100:V104 V106:V110 V81:V98 V193:V196 V228:V231 V233 V153:V156 V168:V171 V173:V191 V118 V120:V124 V112:V116 V126:V131 V134:V136 V138:V146 V148:V151 V211:V220 V222:V226">
    <cfRule type="cellIs" dxfId="1005" priority="1905" operator="equal">
      <formula>0</formula>
    </cfRule>
  </conditionalFormatting>
  <conditionalFormatting sqref="B6:C9 B106:F106 B112:F112 B193:F193 B26:F26 E6:F9 B46:F48 B36 D36:E36 B58:B59 D99:G99 D80:F80 D66:F66 D60:F60 D172:F172 D117:F117 B232:C232 F232 G50 B171 B178:B191 B214:B219 C216:C219 B224:C226 B126:B128 B131 B139:B146 D157:F157 R157:W157 D133:F133 B135:B136">
    <cfRule type="cellIs" dxfId="1004" priority="1838" operator="equal">
      <formula>B4</formula>
    </cfRule>
  </conditionalFormatting>
  <conditionalFormatting sqref="B168:E168 B169:C171">
    <cfRule type="cellIs" dxfId="1003" priority="1934" operator="equal">
      <formula>#REF!</formula>
    </cfRule>
  </conditionalFormatting>
  <conditionalFormatting sqref="B100:F100 B67:F67 B61:F61 B173:F173 D50:F50 D16:G16 D137:F137 B134">
    <cfRule type="cellIs" dxfId="1002" priority="1936" operator="equal">
      <formula>B13</formula>
    </cfRule>
  </conditionalFormatting>
  <conditionalFormatting sqref="H16">
    <cfRule type="cellIs" dxfId="1001" priority="1809" operator="equal">
      <formula>H13</formula>
    </cfRule>
  </conditionalFormatting>
  <conditionalFormatting sqref="I16">
    <cfRule type="cellIs" dxfId="1000" priority="1807" operator="equal">
      <formula>I13</formula>
    </cfRule>
  </conditionalFormatting>
  <conditionalFormatting sqref="J16">
    <cfRule type="cellIs" dxfId="999" priority="1805" operator="equal">
      <formula>J13</formula>
    </cfRule>
  </conditionalFormatting>
  <conditionalFormatting sqref="K16">
    <cfRule type="cellIs" dxfId="998" priority="1803" operator="equal">
      <formula>K13</formula>
    </cfRule>
  </conditionalFormatting>
  <conditionalFormatting sqref="L16">
    <cfRule type="cellIs" dxfId="997" priority="1799" operator="equal">
      <formula>L13</formula>
    </cfRule>
  </conditionalFormatting>
  <conditionalFormatting sqref="M16">
    <cfRule type="cellIs" dxfId="996" priority="1797" operator="equal">
      <formula>M13</formula>
    </cfRule>
  </conditionalFormatting>
  <conditionalFormatting sqref="N16">
    <cfRule type="cellIs" dxfId="995" priority="1795" operator="equal">
      <formula>N13</formula>
    </cfRule>
  </conditionalFormatting>
  <conditionalFormatting sqref="O16">
    <cfRule type="cellIs" dxfId="994" priority="1791" operator="equal">
      <formula>O13</formula>
    </cfRule>
  </conditionalFormatting>
  <conditionalFormatting sqref="P16">
    <cfRule type="cellIs" dxfId="993" priority="1789" operator="equal">
      <formula>P13</formula>
    </cfRule>
  </conditionalFormatting>
  <conditionalFormatting sqref="Q16:W16">
    <cfRule type="cellIs" dxfId="992" priority="1787" operator="equal">
      <formula>Q13</formula>
    </cfRule>
  </conditionalFormatting>
  <conditionalFormatting sqref="H25">
    <cfRule type="cellIs" dxfId="991" priority="1781" operator="equal">
      <formula>H24</formula>
    </cfRule>
  </conditionalFormatting>
  <conditionalFormatting sqref="I25">
    <cfRule type="cellIs" dxfId="990" priority="1779" operator="equal">
      <formula>I24</formula>
    </cfRule>
  </conditionalFormatting>
  <conditionalFormatting sqref="J25">
    <cfRule type="cellIs" dxfId="989" priority="1777" operator="equal">
      <formula>J24</formula>
    </cfRule>
  </conditionalFormatting>
  <conditionalFormatting sqref="K25">
    <cfRule type="cellIs" dxfId="988" priority="1775" operator="equal">
      <formula>K24</formula>
    </cfRule>
  </conditionalFormatting>
  <conditionalFormatting sqref="L25">
    <cfRule type="cellIs" dxfId="987" priority="1771" operator="equal">
      <formula>L24</formula>
    </cfRule>
  </conditionalFormatting>
  <conditionalFormatting sqref="M25">
    <cfRule type="cellIs" dxfId="986" priority="1769" operator="equal">
      <formula>M24</formula>
    </cfRule>
  </conditionalFormatting>
  <conditionalFormatting sqref="N25">
    <cfRule type="cellIs" dxfId="985" priority="1767" operator="equal">
      <formula>N24</formula>
    </cfRule>
  </conditionalFormatting>
  <conditionalFormatting sqref="O25">
    <cfRule type="cellIs" dxfId="984" priority="1763" operator="equal">
      <formula>O24</formula>
    </cfRule>
  </conditionalFormatting>
  <conditionalFormatting sqref="P25">
    <cfRule type="cellIs" dxfId="983" priority="1761" operator="equal">
      <formula>P24</formula>
    </cfRule>
  </conditionalFormatting>
  <conditionalFormatting sqref="Q25:X25">
    <cfRule type="cellIs" dxfId="982" priority="1759" operator="equal">
      <formula>Q24</formula>
    </cfRule>
  </conditionalFormatting>
  <conditionalFormatting sqref="H35">
    <cfRule type="cellIs" dxfId="981" priority="1753" operator="equal">
      <formula>H34</formula>
    </cfRule>
  </conditionalFormatting>
  <conditionalFormatting sqref="I35">
    <cfRule type="cellIs" dxfId="980" priority="1751" operator="equal">
      <formula>I34</formula>
    </cfRule>
  </conditionalFormatting>
  <conditionalFormatting sqref="J35">
    <cfRule type="cellIs" dxfId="979" priority="1749" operator="equal">
      <formula>J34</formula>
    </cfRule>
  </conditionalFormatting>
  <conditionalFormatting sqref="K35">
    <cfRule type="cellIs" dxfId="978" priority="1747" operator="equal">
      <formula>K34</formula>
    </cfRule>
  </conditionalFormatting>
  <conditionalFormatting sqref="L35">
    <cfRule type="cellIs" dxfId="977" priority="1743" operator="equal">
      <formula>L34</formula>
    </cfRule>
  </conditionalFormatting>
  <conditionalFormatting sqref="M35">
    <cfRule type="cellIs" dxfId="976" priority="1741" operator="equal">
      <formula>M34</formula>
    </cfRule>
  </conditionalFormatting>
  <conditionalFormatting sqref="N35">
    <cfRule type="cellIs" dxfId="975" priority="1739" operator="equal">
      <formula>N34</formula>
    </cfRule>
  </conditionalFormatting>
  <conditionalFormatting sqref="O35">
    <cfRule type="cellIs" dxfId="974" priority="1735" operator="equal">
      <formula>O34</formula>
    </cfRule>
  </conditionalFormatting>
  <conditionalFormatting sqref="P35">
    <cfRule type="cellIs" dxfId="973" priority="1733" operator="equal">
      <formula>P34</formula>
    </cfRule>
  </conditionalFormatting>
  <conditionalFormatting sqref="Q35:X35">
    <cfRule type="cellIs" dxfId="972" priority="1731" operator="equal">
      <formula>Q34</formula>
    </cfRule>
  </conditionalFormatting>
  <conditionalFormatting sqref="B44">
    <cfRule type="cellIs" dxfId="971" priority="1726" operator="equal">
      <formula>B42</formula>
    </cfRule>
  </conditionalFormatting>
  <conditionalFormatting sqref="H45">
    <cfRule type="cellIs" dxfId="970" priority="1723" operator="equal">
      <formula>H44</formula>
    </cfRule>
  </conditionalFormatting>
  <conditionalFormatting sqref="I45">
    <cfRule type="cellIs" dxfId="969" priority="1721" operator="equal">
      <formula>I44</formula>
    </cfRule>
  </conditionalFormatting>
  <conditionalFormatting sqref="J45">
    <cfRule type="cellIs" dxfId="968" priority="1719" operator="equal">
      <formula>J44</formula>
    </cfRule>
  </conditionalFormatting>
  <conditionalFormatting sqref="K45">
    <cfRule type="cellIs" dxfId="967" priority="1717" operator="equal">
      <formula>K44</formula>
    </cfRule>
  </conditionalFormatting>
  <conditionalFormatting sqref="L45">
    <cfRule type="cellIs" dxfId="966" priority="1713" operator="equal">
      <formula>L44</formula>
    </cfRule>
  </conditionalFormatting>
  <conditionalFormatting sqref="M45">
    <cfRule type="cellIs" dxfId="965" priority="1711" operator="equal">
      <formula>M44</formula>
    </cfRule>
  </conditionalFormatting>
  <conditionalFormatting sqref="N45">
    <cfRule type="cellIs" dxfId="964" priority="1709" operator="equal">
      <formula>N44</formula>
    </cfRule>
  </conditionalFormatting>
  <conditionalFormatting sqref="O45">
    <cfRule type="cellIs" dxfId="963" priority="1705" operator="equal">
      <formula>O44</formula>
    </cfRule>
  </conditionalFormatting>
  <conditionalFormatting sqref="P45">
    <cfRule type="cellIs" dxfId="962" priority="1703" operator="equal">
      <formula>P44</formula>
    </cfRule>
  </conditionalFormatting>
  <conditionalFormatting sqref="Q45:X45">
    <cfRule type="cellIs" dxfId="961" priority="1701" operator="equal">
      <formula>Q44</formula>
    </cfRule>
  </conditionalFormatting>
  <conditionalFormatting sqref="R50:X50">
    <cfRule type="cellIs" dxfId="960" priority="1673" operator="equal">
      <formula>R47</formula>
    </cfRule>
  </conditionalFormatting>
  <conditionalFormatting sqref="R60:X60">
    <cfRule type="cellIs" dxfId="959" priority="1642" operator="equal">
      <formula>R58</formula>
    </cfRule>
  </conditionalFormatting>
  <conditionalFormatting sqref="R66:X66">
    <cfRule type="cellIs" dxfId="958" priority="1611" operator="equal">
      <formula>R64</formula>
    </cfRule>
  </conditionalFormatting>
  <conditionalFormatting sqref="R80:X80">
    <cfRule type="cellIs" dxfId="957" priority="1580" operator="equal">
      <formula>R78</formula>
    </cfRule>
  </conditionalFormatting>
  <conditionalFormatting sqref="H99">
    <cfRule type="cellIs" dxfId="956" priority="1537" operator="equal">
      <formula>H97</formula>
    </cfRule>
  </conditionalFormatting>
  <conditionalFormatting sqref="J99">
    <cfRule type="cellIs" dxfId="955" priority="1533" operator="equal">
      <formula>J97</formula>
    </cfRule>
  </conditionalFormatting>
  <conditionalFormatting sqref="K99">
    <cfRule type="cellIs" dxfId="954" priority="1531" operator="equal">
      <formula>K97</formula>
    </cfRule>
  </conditionalFormatting>
  <conditionalFormatting sqref="M99">
    <cfRule type="cellIs" dxfId="953" priority="1525" operator="equal">
      <formula>M97</formula>
    </cfRule>
  </conditionalFormatting>
  <conditionalFormatting sqref="N99">
    <cfRule type="cellIs" dxfId="952" priority="1523" operator="equal">
      <formula>N97</formula>
    </cfRule>
  </conditionalFormatting>
  <conditionalFormatting sqref="O99">
    <cfRule type="cellIs" dxfId="951" priority="1519" operator="equal">
      <formula>O97</formula>
    </cfRule>
  </conditionalFormatting>
  <conditionalFormatting sqref="P99">
    <cfRule type="cellIs" dxfId="950" priority="1517" operator="equal">
      <formula>P97</formula>
    </cfRule>
  </conditionalFormatting>
  <conditionalFormatting sqref="Q99:W99">
    <cfRule type="cellIs" dxfId="949" priority="1515" operator="equal">
      <formula>Q97</formula>
    </cfRule>
  </conditionalFormatting>
  <conditionalFormatting sqref="R105:W105">
    <cfRule type="cellIs" dxfId="948" priority="1483" operator="equal">
      <formula>R104</formula>
    </cfRule>
  </conditionalFormatting>
  <conditionalFormatting sqref="R111:W111">
    <cfRule type="cellIs" dxfId="947" priority="1451" operator="equal">
      <formula>R110</formula>
    </cfRule>
  </conditionalFormatting>
  <conditionalFormatting sqref="R227:W227">
    <cfRule type="cellIs" dxfId="946" priority="1417" operator="equal">
      <formula>R226</formula>
    </cfRule>
  </conditionalFormatting>
  <conditionalFormatting sqref="R197:W197">
    <cfRule type="cellIs" dxfId="945" priority="1382" operator="equal">
      <formula>R196</formula>
    </cfRule>
  </conditionalFormatting>
  <conditionalFormatting sqref="R192:W192">
    <cfRule type="cellIs" dxfId="944" priority="1349" operator="equal">
      <formula>R191</formula>
    </cfRule>
  </conditionalFormatting>
  <conditionalFormatting sqref="R172:W172">
    <cfRule type="cellIs" dxfId="943" priority="1282" operator="equal">
      <formula>R170</formula>
    </cfRule>
  </conditionalFormatting>
  <conditionalFormatting sqref="R117:W117">
    <cfRule type="cellIs" dxfId="942" priority="1147" operator="equal">
      <formula>R115</formula>
    </cfRule>
  </conditionalFormatting>
  <conditionalFormatting sqref="F227">
    <cfRule type="cellIs" dxfId="941" priority="1138" operator="equal">
      <formula>F226</formula>
    </cfRule>
  </conditionalFormatting>
  <conditionalFormatting sqref="E168:F168 B168">
    <cfRule type="cellIs" dxfId="940" priority="1136" operator="equal">
      <formula>#REF!</formula>
    </cfRule>
  </conditionalFormatting>
  <conditionalFormatting sqref="B52">
    <cfRule type="cellIs" dxfId="939" priority="1135" operator="equal">
      <formula>B50</formula>
    </cfRule>
  </conditionalFormatting>
  <conditionalFormatting sqref="B53">
    <cfRule type="cellIs" dxfId="938" priority="1134" operator="equal">
      <formula>B51</formula>
    </cfRule>
  </conditionalFormatting>
  <conditionalFormatting sqref="B54">
    <cfRule type="cellIs" dxfId="937" priority="1133" operator="equal">
      <formula>B52</formula>
    </cfRule>
  </conditionalFormatting>
  <conditionalFormatting sqref="B55">
    <cfRule type="cellIs" dxfId="936" priority="1132" operator="equal">
      <formula>B53</formula>
    </cfRule>
  </conditionalFormatting>
  <conditionalFormatting sqref="B56">
    <cfRule type="cellIs" dxfId="935" priority="1131" operator="equal">
      <formula>B54</formula>
    </cfRule>
  </conditionalFormatting>
  <conditionalFormatting sqref="B57">
    <cfRule type="cellIs" dxfId="934" priority="1130" operator="equal">
      <formula>B55</formula>
    </cfRule>
  </conditionalFormatting>
  <conditionalFormatting sqref="B62">
    <cfRule type="cellIs" dxfId="933" priority="1126" operator="equal">
      <formula>B60</formula>
    </cfRule>
  </conditionalFormatting>
  <conditionalFormatting sqref="B63">
    <cfRule type="cellIs" dxfId="932" priority="1125" operator="equal">
      <formula>B61</formula>
    </cfRule>
  </conditionalFormatting>
  <conditionalFormatting sqref="B64:B65">
    <cfRule type="cellIs" dxfId="931" priority="1124" operator="equal">
      <formula>B62</formula>
    </cfRule>
  </conditionalFormatting>
  <conditionalFormatting sqref="R234:W234 D234:F234 F51 B51 B17:F17">
    <cfRule type="cellIs" dxfId="930" priority="1106" operator="equal">
      <formula>B13</formula>
    </cfRule>
  </conditionalFormatting>
  <conditionalFormatting sqref="F234">
    <cfRule type="cellIs" dxfId="929" priority="1103" operator="equal">
      <formula>F230</formula>
    </cfRule>
  </conditionalFormatting>
  <conditionalFormatting sqref="B229">
    <cfRule type="cellIs" dxfId="928" priority="1102" operator="equal">
      <formula>B228</formula>
    </cfRule>
  </conditionalFormatting>
  <conditionalFormatting sqref="C229">
    <cfRule type="cellIs" dxfId="927" priority="1098" operator="equal">
      <formula>C228</formula>
    </cfRule>
  </conditionalFormatting>
  <conditionalFormatting sqref="B121">
    <cfRule type="cellIs" dxfId="926" priority="1093" operator="equal">
      <formula>B118</formula>
    </cfRule>
  </conditionalFormatting>
  <conditionalFormatting sqref="B122">
    <cfRule type="cellIs" dxfId="925" priority="1092" operator="equal">
      <formula>B120</formula>
    </cfRule>
  </conditionalFormatting>
  <conditionalFormatting sqref="B123:B124">
    <cfRule type="cellIs" dxfId="924" priority="1091" operator="equal">
      <formula>B121</formula>
    </cfRule>
  </conditionalFormatting>
  <conditionalFormatting sqref="B148:F148 B149">
    <cfRule type="cellIs" dxfId="923" priority="1089" operator="equal">
      <formula>#REF!</formula>
    </cfRule>
  </conditionalFormatting>
  <conditionalFormatting sqref="B150">
    <cfRule type="cellIs" dxfId="922" priority="1088" operator="equal">
      <formula>B148</formula>
    </cfRule>
  </conditionalFormatting>
  <conditionalFormatting sqref="B151">
    <cfRule type="cellIs" dxfId="921" priority="1087" operator="equal">
      <formula>B149</formula>
    </cfRule>
  </conditionalFormatting>
  <conditionalFormatting sqref="B152">
    <cfRule type="cellIs" dxfId="920" priority="1086" operator="equal">
      <formula>B150</formula>
    </cfRule>
  </conditionalFormatting>
  <conditionalFormatting sqref="B153">
    <cfRule type="cellIs" dxfId="919" priority="1085" operator="equal">
      <formula>B151</formula>
    </cfRule>
  </conditionalFormatting>
  <conditionalFormatting sqref="B154">
    <cfRule type="cellIs" dxfId="918" priority="1084" operator="equal">
      <formula>B152</formula>
    </cfRule>
  </conditionalFormatting>
  <conditionalFormatting sqref="B155:B156">
    <cfRule type="cellIs" dxfId="917" priority="1083" operator="equal">
      <formula>B153</formula>
    </cfRule>
  </conditionalFormatting>
  <conditionalFormatting sqref="B169">
    <cfRule type="cellIs" dxfId="916" priority="1063" operator="equal">
      <formula>B168</formula>
    </cfRule>
  </conditionalFormatting>
  <conditionalFormatting sqref="A3:A234">
    <cfRule type="cellIs" dxfId="915" priority="1046" operator="equal">
      <formula>A2</formula>
    </cfRule>
  </conditionalFormatting>
  <conditionalFormatting sqref="A3:A234">
    <cfRule type="cellIs" dxfId="914" priority="995" operator="equal">
      <formula>A2</formula>
    </cfRule>
  </conditionalFormatting>
  <conditionalFormatting sqref="S228:T228">
    <cfRule type="containsBlanks" dxfId="913" priority="916">
      <formula>LEN(TRIM(S228))=0</formula>
    </cfRule>
  </conditionalFormatting>
  <conditionalFormatting sqref="S229:T229">
    <cfRule type="containsBlanks" dxfId="912" priority="915">
      <formula>LEN(TRIM(S229))=0</formula>
    </cfRule>
  </conditionalFormatting>
  <conditionalFormatting sqref="S230:T230">
    <cfRule type="containsBlanks" dxfId="911" priority="914">
      <formula>LEN(TRIM(S230))=0</formula>
    </cfRule>
  </conditionalFormatting>
  <conditionalFormatting sqref="B169">
    <cfRule type="cellIs" dxfId="910" priority="825" operator="equal">
      <formula>B168</formula>
    </cfRule>
  </conditionalFormatting>
  <conditionalFormatting sqref="B169">
    <cfRule type="cellIs" dxfId="909" priority="819" operator="equal">
      <formula>B168</formula>
    </cfRule>
  </conditionalFormatting>
  <conditionalFormatting sqref="B118:E118">
    <cfRule type="cellIs" dxfId="908" priority="1939" operator="equal">
      <formula>B115</formula>
    </cfRule>
  </conditionalFormatting>
  <conditionalFormatting sqref="B63">
    <cfRule type="cellIs" dxfId="907" priority="806" operator="equal">
      <formula>B61</formula>
    </cfRule>
  </conditionalFormatting>
  <conditionalFormatting sqref="B64">
    <cfRule type="cellIs" dxfId="906" priority="805" operator="equal">
      <formula>B62</formula>
    </cfRule>
  </conditionalFormatting>
  <conditionalFormatting sqref="B65">
    <cfRule type="cellIs" dxfId="905" priority="804" operator="equal">
      <formula>B63</formula>
    </cfRule>
  </conditionalFormatting>
  <conditionalFormatting sqref="C64">
    <cfRule type="cellIs" dxfId="904" priority="802" operator="equal">
      <formula>C62</formula>
    </cfRule>
  </conditionalFormatting>
  <conditionalFormatting sqref="L77">
    <cfRule type="containsBlanks" dxfId="903" priority="752">
      <formula>LEN(TRIM(L77))=0</formula>
    </cfRule>
  </conditionalFormatting>
  <conditionalFormatting sqref="H25">
    <cfRule type="cellIs" dxfId="902" priority="738" operator="equal">
      <formula>H24</formula>
    </cfRule>
  </conditionalFormatting>
  <conditionalFormatting sqref="I25">
    <cfRule type="cellIs" dxfId="901" priority="737" operator="equal">
      <formula>I24</formula>
    </cfRule>
  </conditionalFormatting>
  <conditionalFormatting sqref="J25">
    <cfRule type="cellIs" dxfId="900" priority="736" operator="equal">
      <formula>J24</formula>
    </cfRule>
  </conditionalFormatting>
  <conditionalFormatting sqref="K25">
    <cfRule type="cellIs" dxfId="899" priority="735" operator="equal">
      <formula>K24</formula>
    </cfRule>
  </conditionalFormatting>
  <conditionalFormatting sqref="L25">
    <cfRule type="cellIs" dxfId="898" priority="734" operator="equal">
      <formula>L24</formula>
    </cfRule>
  </conditionalFormatting>
  <conditionalFormatting sqref="M25">
    <cfRule type="cellIs" dxfId="897" priority="733" operator="equal">
      <formula>M24</formula>
    </cfRule>
  </conditionalFormatting>
  <conditionalFormatting sqref="N25">
    <cfRule type="cellIs" dxfId="896" priority="732" operator="equal">
      <formula>N24</formula>
    </cfRule>
  </conditionalFormatting>
  <conditionalFormatting sqref="O25">
    <cfRule type="cellIs" dxfId="895" priority="730" operator="equal">
      <formula>O24</formula>
    </cfRule>
  </conditionalFormatting>
  <conditionalFormatting sqref="P25">
    <cfRule type="cellIs" dxfId="894" priority="729" operator="equal">
      <formula>P24</formula>
    </cfRule>
  </conditionalFormatting>
  <conditionalFormatting sqref="Q25">
    <cfRule type="cellIs" dxfId="893" priority="728" operator="equal">
      <formula>Q24</formula>
    </cfRule>
  </conditionalFormatting>
  <conditionalFormatting sqref="H35">
    <cfRule type="cellIs" dxfId="892" priority="726" operator="equal">
      <formula>H34</formula>
    </cfRule>
  </conditionalFormatting>
  <conditionalFormatting sqref="I35">
    <cfRule type="cellIs" dxfId="891" priority="725" operator="equal">
      <formula>I34</formula>
    </cfRule>
  </conditionalFormatting>
  <conditionalFormatting sqref="J35">
    <cfRule type="cellIs" dxfId="890" priority="724" operator="equal">
      <formula>J34</formula>
    </cfRule>
  </conditionalFormatting>
  <conditionalFormatting sqref="K35">
    <cfRule type="cellIs" dxfId="889" priority="723" operator="equal">
      <formula>K34</formula>
    </cfRule>
  </conditionalFormatting>
  <conditionalFormatting sqref="L35">
    <cfRule type="cellIs" dxfId="888" priority="722" operator="equal">
      <formula>L34</formula>
    </cfRule>
  </conditionalFormatting>
  <conditionalFormatting sqref="M35">
    <cfRule type="cellIs" dxfId="887" priority="721" operator="equal">
      <formula>M34</formula>
    </cfRule>
  </conditionalFormatting>
  <conditionalFormatting sqref="N35">
    <cfRule type="cellIs" dxfId="886" priority="720" operator="equal">
      <formula>N34</formula>
    </cfRule>
  </conditionalFormatting>
  <conditionalFormatting sqref="O35">
    <cfRule type="cellIs" dxfId="885" priority="718" operator="equal">
      <formula>O34</formula>
    </cfRule>
  </conditionalFormatting>
  <conditionalFormatting sqref="P35">
    <cfRule type="cellIs" dxfId="884" priority="717" operator="equal">
      <formula>P34</formula>
    </cfRule>
  </conditionalFormatting>
  <conditionalFormatting sqref="Q35">
    <cfRule type="cellIs" dxfId="883" priority="716" operator="equal">
      <formula>Q34</formula>
    </cfRule>
  </conditionalFormatting>
  <conditionalFormatting sqref="H45">
    <cfRule type="cellIs" dxfId="882" priority="714" operator="equal">
      <formula>H44</formula>
    </cfRule>
  </conditionalFormatting>
  <conditionalFormatting sqref="I45">
    <cfRule type="cellIs" dxfId="881" priority="713" operator="equal">
      <formula>I44</formula>
    </cfRule>
  </conditionalFormatting>
  <conditionalFormatting sqref="J45">
    <cfRule type="cellIs" dxfId="880" priority="712" operator="equal">
      <formula>J44</formula>
    </cfRule>
  </conditionalFormatting>
  <conditionalFormatting sqref="K45">
    <cfRule type="cellIs" dxfId="879" priority="711" operator="equal">
      <formula>K44</formula>
    </cfRule>
  </conditionalFormatting>
  <conditionalFormatting sqref="L45">
    <cfRule type="cellIs" dxfId="878" priority="710" operator="equal">
      <formula>L44</formula>
    </cfRule>
  </conditionalFormatting>
  <conditionalFormatting sqref="M45">
    <cfRule type="cellIs" dxfId="877" priority="709" operator="equal">
      <formula>M44</formula>
    </cfRule>
  </conditionalFormatting>
  <conditionalFormatting sqref="N45">
    <cfRule type="cellIs" dxfId="876" priority="708" operator="equal">
      <formula>N44</formula>
    </cfRule>
  </conditionalFormatting>
  <conditionalFormatting sqref="O45">
    <cfRule type="cellIs" dxfId="875" priority="706" operator="equal">
      <formula>O44</formula>
    </cfRule>
  </conditionalFormatting>
  <conditionalFormatting sqref="P45">
    <cfRule type="cellIs" dxfId="874" priority="705" operator="equal">
      <formula>P44</formula>
    </cfRule>
  </conditionalFormatting>
  <conditionalFormatting sqref="Q45">
    <cfRule type="cellIs" dxfId="873" priority="704" operator="equal">
      <formula>Q44</formula>
    </cfRule>
  </conditionalFormatting>
  <conditionalFormatting sqref="J50:K50">
    <cfRule type="cellIs" dxfId="872" priority="703" operator="equal">
      <formula>$C$2</formula>
    </cfRule>
  </conditionalFormatting>
  <conditionalFormatting sqref="H50">
    <cfRule type="cellIs" dxfId="871" priority="701" operator="equal">
      <formula>H48</formula>
    </cfRule>
  </conditionalFormatting>
  <conditionalFormatting sqref="J50">
    <cfRule type="cellIs" dxfId="870" priority="699" operator="equal">
      <formula>J48</formula>
    </cfRule>
  </conditionalFormatting>
  <conditionalFormatting sqref="K50">
    <cfRule type="cellIs" dxfId="869" priority="698" operator="equal">
      <formula>K48</formula>
    </cfRule>
  </conditionalFormatting>
  <conditionalFormatting sqref="M50">
    <cfRule type="cellIs" dxfId="868" priority="696" operator="equal">
      <formula>M48</formula>
    </cfRule>
  </conditionalFormatting>
  <conditionalFormatting sqref="O50">
    <cfRule type="cellIs" dxfId="867" priority="693" operator="equal">
      <formula>O48</formula>
    </cfRule>
  </conditionalFormatting>
  <conditionalFormatting sqref="P50">
    <cfRule type="cellIs" dxfId="866" priority="692" operator="equal">
      <formula>P48</formula>
    </cfRule>
  </conditionalFormatting>
  <conditionalFormatting sqref="Q50">
    <cfRule type="cellIs" dxfId="865" priority="691" operator="equal">
      <formula>Q48</formula>
    </cfRule>
  </conditionalFormatting>
  <conditionalFormatting sqref="G60:H60 G172 G117">
    <cfRule type="cellIs" dxfId="864" priority="688" operator="equal">
      <formula>#REF!</formula>
    </cfRule>
  </conditionalFormatting>
  <conditionalFormatting sqref="I60">
    <cfRule type="cellIs" dxfId="863" priority="687" operator="equal">
      <formula>#REF!</formula>
    </cfRule>
  </conditionalFormatting>
  <conditionalFormatting sqref="J60">
    <cfRule type="cellIs" dxfId="862" priority="686" operator="equal">
      <formula>#REF!</formula>
    </cfRule>
  </conditionalFormatting>
  <conditionalFormatting sqref="K60">
    <cfRule type="cellIs" dxfId="861" priority="685" operator="equal">
      <formula>#REF!</formula>
    </cfRule>
  </conditionalFormatting>
  <conditionalFormatting sqref="L60">
    <cfRule type="cellIs" dxfId="860" priority="684" operator="equal">
      <formula>#REF!</formula>
    </cfRule>
  </conditionalFormatting>
  <conditionalFormatting sqref="M60">
    <cfRule type="cellIs" dxfId="859" priority="683" operator="equal">
      <formula>#REF!</formula>
    </cfRule>
  </conditionalFormatting>
  <conditionalFormatting sqref="O60">
    <cfRule type="cellIs" dxfId="858" priority="680" operator="equal">
      <formula>#REF!</formula>
    </cfRule>
  </conditionalFormatting>
  <conditionalFormatting sqref="P60">
    <cfRule type="cellIs" dxfId="857" priority="679" operator="equal">
      <formula>#REF!</formula>
    </cfRule>
  </conditionalFormatting>
  <conditionalFormatting sqref="Q60">
    <cfRule type="cellIs" dxfId="856" priority="678" operator="equal">
      <formula>#REF!</formula>
    </cfRule>
  </conditionalFormatting>
  <conditionalFormatting sqref="G66:H66">
    <cfRule type="cellIs" dxfId="855" priority="675" operator="equal">
      <formula>#REF!</formula>
    </cfRule>
  </conditionalFormatting>
  <conditionalFormatting sqref="I66">
    <cfRule type="cellIs" dxfId="854" priority="674" operator="equal">
      <formula>#REF!</formula>
    </cfRule>
  </conditionalFormatting>
  <conditionalFormatting sqref="J66">
    <cfRule type="cellIs" dxfId="853" priority="673" operator="equal">
      <formula>#REF!</formula>
    </cfRule>
  </conditionalFormatting>
  <conditionalFormatting sqref="K66">
    <cfRule type="cellIs" dxfId="852" priority="672" operator="equal">
      <formula>#REF!</formula>
    </cfRule>
  </conditionalFormatting>
  <conditionalFormatting sqref="L66">
    <cfRule type="cellIs" dxfId="851" priority="671" operator="equal">
      <formula>#REF!</formula>
    </cfRule>
  </conditionalFormatting>
  <conditionalFormatting sqref="M66">
    <cfRule type="cellIs" dxfId="850" priority="670" operator="equal">
      <formula>#REF!</formula>
    </cfRule>
  </conditionalFormatting>
  <conditionalFormatting sqref="N66">
    <cfRule type="cellIs" dxfId="849" priority="669" operator="equal">
      <formula>#REF!</formula>
    </cfRule>
  </conditionalFormatting>
  <conditionalFormatting sqref="O66">
    <cfRule type="cellIs" dxfId="848" priority="667" operator="equal">
      <formula>#REF!</formula>
    </cfRule>
  </conditionalFormatting>
  <conditionalFormatting sqref="P66">
    <cfRule type="cellIs" dxfId="847" priority="666" operator="equal">
      <formula>#REF!</formula>
    </cfRule>
  </conditionalFormatting>
  <conditionalFormatting sqref="Q66">
    <cfRule type="cellIs" dxfId="846" priority="665" operator="equal">
      <formula>#REF!</formula>
    </cfRule>
  </conditionalFormatting>
  <conditionalFormatting sqref="G80:H80">
    <cfRule type="cellIs" dxfId="845" priority="662" operator="equal">
      <formula>#REF!</formula>
    </cfRule>
  </conditionalFormatting>
  <conditionalFormatting sqref="I80">
    <cfRule type="cellIs" dxfId="844" priority="661" operator="equal">
      <formula>#REF!</formula>
    </cfRule>
  </conditionalFormatting>
  <conditionalFormatting sqref="J80">
    <cfRule type="cellIs" dxfId="843" priority="660" operator="equal">
      <formula>#REF!</formula>
    </cfRule>
  </conditionalFormatting>
  <conditionalFormatting sqref="K80">
    <cfRule type="cellIs" dxfId="842" priority="659" operator="equal">
      <formula>#REF!</formula>
    </cfRule>
  </conditionalFormatting>
  <conditionalFormatting sqref="L80">
    <cfRule type="cellIs" dxfId="841" priority="658" operator="equal">
      <formula>#REF!</formula>
    </cfRule>
  </conditionalFormatting>
  <conditionalFormatting sqref="M80">
    <cfRule type="cellIs" dxfId="840" priority="657" operator="equal">
      <formula>#REF!</formula>
    </cfRule>
  </conditionalFormatting>
  <conditionalFormatting sqref="N80">
    <cfRule type="cellIs" dxfId="839" priority="656" operator="equal">
      <formula>#REF!</formula>
    </cfRule>
  </conditionalFormatting>
  <conditionalFormatting sqref="O80">
    <cfRule type="cellIs" dxfId="838" priority="654" operator="equal">
      <formula>#REF!</formula>
    </cfRule>
  </conditionalFormatting>
  <conditionalFormatting sqref="P80">
    <cfRule type="cellIs" dxfId="837" priority="653" operator="equal">
      <formula>#REF!</formula>
    </cfRule>
  </conditionalFormatting>
  <conditionalFormatting sqref="Q80">
    <cfRule type="cellIs" dxfId="836" priority="652" operator="equal">
      <formula>#REF!</formula>
    </cfRule>
  </conditionalFormatting>
  <conditionalFormatting sqref="G99:H99">
    <cfRule type="cellIs" dxfId="835" priority="637" operator="equal">
      <formula>#REF!</formula>
    </cfRule>
  </conditionalFormatting>
  <conditionalFormatting sqref="J99">
    <cfRule type="cellIs" dxfId="834" priority="635" operator="equal">
      <formula>#REF!</formula>
    </cfRule>
  </conditionalFormatting>
  <conditionalFormatting sqref="K99">
    <cfRule type="cellIs" dxfId="833" priority="634" operator="equal">
      <formula>#REF!</formula>
    </cfRule>
  </conditionalFormatting>
  <conditionalFormatting sqref="M99">
    <cfRule type="cellIs" dxfId="832" priority="632" operator="equal">
      <formula>#REF!</formula>
    </cfRule>
  </conditionalFormatting>
  <conditionalFormatting sqref="N99">
    <cfRule type="cellIs" dxfId="831" priority="631" operator="equal">
      <formula>#REF!</formula>
    </cfRule>
  </conditionalFormatting>
  <conditionalFormatting sqref="O99">
    <cfRule type="cellIs" dxfId="830" priority="629" operator="equal">
      <formula>#REF!</formula>
    </cfRule>
  </conditionalFormatting>
  <conditionalFormatting sqref="P99">
    <cfRule type="cellIs" dxfId="829" priority="628" operator="equal">
      <formula>#REF!</formula>
    </cfRule>
  </conditionalFormatting>
  <conditionalFormatting sqref="Q99">
    <cfRule type="cellIs" dxfId="828" priority="627" operator="equal">
      <formula>#REF!</formula>
    </cfRule>
  </conditionalFormatting>
  <conditionalFormatting sqref="J105:K105">
    <cfRule type="cellIs" dxfId="827" priority="626" operator="equal">
      <formula>$C$2</formula>
    </cfRule>
  </conditionalFormatting>
  <conditionalFormatting sqref="H105">
    <cfRule type="cellIs" dxfId="826" priority="624" operator="equal">
      <formula>H104</formula>
    </cfRule>
  </conditionalFormatting>
  <conditionalFormatting sqref="J105">
    <cfRule type="cellIs" dxfId="825" priority="622" operator="equal">
      <formula>J104</formula>
    </cfRule>
  </conditionalFormatting>
  <conditionalFormatting sqref="K105">
    <cfRule type="cellIs" dxfId="824" priority="621" operator="equal">
      <formula>K104</formula>
    </cfRule>
  </conditionalFormatting>
  <conditionalFormatting sqref="H111">
    <cfRule type="cellIs" dxfId="823" priority="611" operator="equal">
      <formula>H110</formula>
    </cfRule>
  </conditionalFormatting>
  <conditionalFormatting sqref="M105">
    <cfRule type="cellIs" dxfId="822" priority="619" operator="equal">
      <formula>M104</formula>
    </cfRule>
  </conditionalFormatting>
  <conditionalFormatting sqref="O105">
    <cfRule type="cellIs" dxfId="821" priority="616" operator="equal">
      <formula>O104</formula>
    </cfRule>
  </conditionalFormatting>
  <conditionalFormatting sqref="P105">
    <cfRule type="cellIs" dxfId="820" priority="615" operator="equal">
      <formula>P104</formula>
    </cfRule>
  </conditionalFormatting>
  <conditionalFormatting sqref="Q105">
    <cfRule type="cellIs" dxfId="819" priority="614" operator="equal">
      <formula>Q104</formula>
    </cfRule>
  </conditionalFormatting>
  <conditionalFormatting sqref="O111:Q111">
    <cfRule type="cellIs" dxfId="818" priority="613" operator="equal">
      <formula>$C$2</formula>
    </cfRule>
  </conditionalFormatting>
  <conditionalFormatting sqref="J111">
    <cfRule type="cellIs" dxfId="817" priority="609" operator="equal">
      <formula>J110</formula>
    </cfRule>
  </conditionalFormatting>
  <conditionalFormatting sqref="K111">
    <cfRule type="cellIs" dxfId="816" priority="608" operator="equal">
      <formula>K110</formula>
    </cfRule>
  </conditionalFormatting>
  <conditionalFormatting sqref="M111">
    <cfRule type="cellIs" dxfId="815" priority="606" operator="equal">
      <formula>M110</formula>
    </cfRule>
  </conditionalFormatting>
  <conditionalFormatting sqref="O111">
    <cfRule type="cellIs" dxfId="814" priority="603" operator="equal">
      <formula>O110</formula>
    </cfRule>
  </conditionalFormatting>
  <conditionalFormatting sqref="P111">
    <cfRule type="cellIs" dxfId="813" priority="602" operator="equal">
      <formula>P110</formula>
    </cfRule>
  </conditionalFormatting>
  <conditionalFormatting sqref="Q111">
    <cfRule type="cellIs" dxfId="812" priority="601" operator="equal">
      <formula>Q110</formula>
    </cfRule>
  </conditionalFormatting>
  <conditionalFormatting sqref="O117:Q117">
    <cfRule type="cellIs" dxfId="811" priority="600" operator="equal">
      <formula>$C$2</formula>
    </cfRule>
  </conditionalFormatting>
  <conditionalFormatting sqref="H117">
    <cfRule type="cellIs" dxfId="810" priority="598" operator="equal">
      <formula>#REF!</formula>
    </cfRule>
  </conditionalFormatting>
  <conditionalFormatting sqref="J117">
    <cfRule type="cellIs" dxfId="809" priority="596" operator="equal">
      <formula>#REF!</formula>
    </cfRule>
  </conditionalFormatting>
  <conditionalFormatting sqref="K117">
    <cfRule type="cellIs" dxfId="808" priority="595" operator="equal">
      <formula>#REF!</formula>
    </cfRule>
  </conditionalFormatting>
  <conditionalFormatting sqref="M117">
    <cfRule type="cellIs" dxfId="807" priority="593" operator="equal">
      <formula>#REF!</formula>
    </cfRule>
  </conditionalFormatting>
  <conditionalFormatting sqref="O117">
    <cfRule type="cellIs" dxfId="806" priority="590" operator="equal">
      <formula>#REF!</formula>
    </cfRule>
  </conditionalFormatting>
  <conditionalFormatting sqref="P117">
    <cfRule type="cellIs" dxfId="805" priority="589" operator="equal">
      <formula>#REF!</formula>
    </cfRule>
  </conditionalFormatting>
  <conditionalFormatting sqref="Q117">
    <cfRule type="cellIs" dxfId="804" priority="588" operator="equal">
      <formula>#REF!</formula>
    </cfRule>
  </conditionalFormatting>
  <conditionalFormatting sqref="P157">
    <cfRule type="cellIs" dxfId="803" priority="563" operator="equal">
      <formula>#REF!</formula>
    </cfRule>
  </conditionalFormatting>
  <conditionalFormatting sqref="J157:M157">
    <cfRule type="cellIs" dxfId="802" priority="574" operator="equal">
      <formula>$C$2</formula>
    </cfRule>
  </conditionalFormatting>
  <conditionalFormatting sqref="G157:H157">
    <cfRule type="cellIs" dxfId="801" priority="572" operator="equal">
      <formula>#REF!</formula>
    </cfRule>
  </conditionalFormatting>
  <conditionalFormatting sqref="J157">
    <cfRule type="cellIs" dxfId="800" priority="570" operator="equal">
      <formula>#REF!</formula>
    </cfRule>
  </conditionalFormatting>
  <conditionalFormatting sqref="K157">
    <cfRule type="cellIs" dxfId="799" priority="569" operator="equal">
      <formula>#REF!</formula>
    </cfRule>
  </conditionalFormatting>
  <conditionalFormatting sqref="L157">
    <cfRule type="cellIs" dxfId="798" priority="568" operator="equal">
      <formula>#REF!</formula>
    </cfRule>
  </conditionalFormatting>
  <conditionalFormatting sqref="M157">
    <cfRule type="cellIs" dxfId="797" priority="567" operator="equal">
      <formula>#REF!</formula>
    </cfRule>
  </conditionalFormatting>
  <conditionalFormatting sqref="O157">
    <cfRule type="cellIs" dxfId="796" priority="564" operator="equal">
      <formula>#REF!</formula>
    </cfRule>
  </conditionalFormatting>
  <conditionalFormatting sqref="Q157">
    <cfRule type="cellIs" dxfId="795" priority="562" operator="equal">
      <formula>#REF!</formula>
    </cfRule>
  </conditionalFormatting>
  <conditionalFormatting sqref="J172:K172">
    <cfRule type="cellIs" dxfId="794" priority="548" operator="equal">
      <formula>$C$2</formula>
    </cfRule>
  </conditionalFormatting>
  <conditionalFormatting sqref="H172">
    <cfRule type="cellIs" dxfId="793" priority="546" operator="equal">
      <formula>#REF!</formula>
    </cfRule>
  </conditionalFormatting>
  <conditionalFormatting sqref="J172">
    <cfRule type="cellIs" dxfId="792" priority="544" operator="equal">
      <formula>#REF!</formula>
    </cfRule>
  </conditionalFormatting>
  <conditionalFormatting sqref="K172">
    <cfRule type="cellIs" dxfId="791" priority="543" operator="equal">
      <formula>#REF!</formula>
    </cfRule>
  </conditionalFormatting>
  <conditionalFormatting sqref="M172">
    <cfRule type="cellIs" dxfId="790" priority="541" operator="equal">
      <formula>#REF!</formula>
    </cfRule>
  </conditionalFormatting>
  <conditionalFormatting sqref="O172">
    <cfRule type="cellIs" dxfId="789" priority="538" operator="equal">
      <formula>#REF!</formula>
    </cfRule>
  </conditionalFormatting>
  <conditionalFormatting sqref="P172">
    <cfRule type="cellIs" dxfId="788" priority="537" operator="equal">
      <formula>#REF!</formula>
    </cfRule>
  </conditionalFormatting>
  <conditionalFormatting sqref="Q172">
    <cfRule type="cellIs" dxfId="787" priority="536" operator="equal">
      <formula>#REF!</formula>
    </cfRule>
  </conditionalFormatting>
  <conditionalFormatting sqref="O192:Q192">
    <cfRule type="cellIs" dxfId="786" priority="535" operator="equal">
      <formula>$C$2</formula>
    </cfRule>
  </conditionalFormatting>
  <conditionalFormatting sqref="H192">
    <cfRule type="cellIs" dxfId="785" priority="533" operator="equal">
      <formula>H191</formula>
    </cfRule>
  </conditionalFormatting>
  <conditionalFormatting sqref="J192">
    <cfRule type="cellIs" dxfId="784" priority="531" operator="equal">
      <formula>J191</formula>
    </cfRule>
  </conditionalFormatting>
  <conditionalFormatting sqref="K192">
    <cfRule type="cellIs" dxfId="783" priority="530" operator="equal">
      <formula>K191</formula>
    </cfRule>
  </conditionalFormatting>
  <conditionalFormatting sqref="M192">
    <cfRule type="cellIs" dxfId="782" priority="528" operator="equal">
      <formula>M191</formula>
    </cfRule>
  </conditionalFormatting>
  <conditionalFormatting sqref="O192">
    <cfRule type="cellIs" dxfId="781" priority="525" operator="equal">
      <formula>O191</formula>
    </cfRule>
  </conditionalFormatting>
  <conditionalFormatting sqref="P192">
    <cfRule type="cellIs" dxfId="780" priority="524" operator="equal">
      <formula>P191</formula>
    </cfRule>
  </conditionalFormatting>
  <conditionalFormatting sqref="Q192">
    <cfRule type="cellIs" dxfId="779" priority="523" operator="equal">
      <formula>Q191</formula>
    </cfRule>
  </conditionalFormatting>
  <conditionalFormatting sqref="O197:Q197">
    <cfRule type="cellIs" dxfId="778" priority="522" operator="equal">
      <formula>$C$2</formula>
    </cfRule>
  </conditionalFormatting>
  <conditionalFormatting sqref="H197">
    <cfRule type="cellIs" dxfId="777" priority="520" operator="equal">
      <formula>H196</formula>
    </cfRule>
  </conditionalFormatting>
  <conditionalFormatting sqref="J197">
    <cfRule type="cellIs" dxfId="776" priority="518" operator="equal">
      <formula>J196</formula>
    </cfRule>
  </conditionalFormatting>
  <conditionalFormatting sqref="K197">
    <cfRule type="cellIs" dxfId="775" priority="517" operator="equal">
      <formula>K196</formula>
    </cfRule>
  </conditionalFormatting>
  <conditionalFormatting sqref="M197">
    <cfRule type="cellIs" dxfId="774" priority="515" operator="equal">
      <formula>M196</formula>
    </cfRule>
  </conditionalFormatting>
  <conditionalFormatting sqref="O197">
    <cfRule type="cellIs" dxfId="773" priority="512" operator="equal">
      <formula>O196</formula>
    </cfRule>
  </conditionalFormatting>
  <conditionalFormatting sqref="P197">
    <cfRule type="cellIs" dxfId="772" priority="511" operator="equal">
      <formula>P196</formula>
    </cfRule>
  </conditionalFormatting>
  <conditionalFormatting sqref="Q197">
    <cfRule type="cellIs" dxfId="771" priority="510" operator="equal">
      <formula>Q196</formula>
    </cfRule>
  </conditionalFormatting>
  <conditionalFormatting sqref="O227:Q227">
    <cfRule type="cellIs" dxfId="770" priority="509" operator="equal">
      <formula>$C$2</formula>
    </cfRule>
  </conditionalFormatting>
  <conditionalFormatting sqref="H227">
    <cfRule type="cellIs" dxfId="769" priority="507" operator="equal">
      <formula>H226</formula>
    </cfRule>
  </conditionalFormatting>
  <conditionalFormatting sqref="J227">
    <cfRule type="cellIs" dxfId="768" priority="505" operator="equal">
      <formula>J226</formula>
    </cfRule>
  </conditionalFormatting>
  <conditionalFormatting sqref="K227">
    <cfRule type="cellIs" dxfId="767" priority="504" operator="equal">
      <formula>K226</formula>
    </cfRule>
  </conditionalFormatting>
  <conditionalFormatting sqref="M227">
    <cfRule type="cellIs" dxfId="766" priority="502" operator="equal">
      <formula>M226</formula>
    </cfRule>
  </conditionalFormatting>
  <conditionalFormatting sqref="O227">
    <cfRule type="cellIs" dxfId="765" priority="499" operator="equal">
      <formula>O226</formula>
    </cfRule>
  </conditionalFormatting>
  <conditionalFormatting sqref="P227">
    <cfRule type="cellIs" dxfId="764" priority="498" operator="equal">
      <formula>P226</formula>
    </cfRule>
  </conditionalFormatting>
  <conditionalFormatting sqref="Q227">
    <cfRule type="cellIs" dxfId="763" priority="497" operator="equal">
      <formula>Q226</formula>
    </cfRule>
  </conditionalFormatting>
  <conditionalFormatting sqref="M234">
    <cfRule type="cellIs" dxfId="762" priority="496" operator="equal">
      <formula>$C$2</formula>
    </cfRule>
  </conditionalFormatting>
  <conditionalFormatting sqref="H234">
    <cfRule type="cellIs" dxfId="761" priority="494" operator="equal">
      <formula>H233</formula>
    </cfRule>
  </conditionalFormatting>
  <conditionalFormatting sqref="J234">
    <cfRule type="cellIs" dxfId="760" priority="492" operator="equal">
      <formula>J233</formula>
    </cfRule>
  </conditionalFormatting>
  <conditionalFormatting sqref="K234">
    <cfRule type="cellIs" dxfId="759" priority="491" operator="equal">
      <formula>K233</formula>
    </cfRule>
  </conditionalFormatting>
  <conditionalFormatting sqref="M234">
    <cfRule type="cellIs" dxfId="758" priority="489" operator="equal">
      <formula>M233</formula>
    </cfRule>
  </conditionalFormatting>
  <conditionalFormatting sqref="O234">
    <cfRule type="cellIs" dxfId="757" priority="486" operator="equal">
      <formula>O233</formula>
    </cfRule>
  </conditionalFormatting>
  <conditionalFormatting sqref="P234">
    <cfRule type="cellIs" dxfId="756" priority="485" operator="equal">
      <formula>P233</formula>
    </cfRule>
  </conditionalFormatting>
  <conditionalFormatting sqref="Q234">
    <cfRule type="cellIs" dxfId="755" priority="484" operator="equal">
      <formula>Q233</formula>
    </cfRule>
  </conditionalFormatting>
  <conditionalFormatting sqref="S114:U114">
    <cfRule type="containsBlanks" dxfId="754" priority="443">
      <formula>LEN(TRIM(S114))=0</formula>
    </cfRule>
  </conditionalFormatting>
  <conditionalFormatting sqref="U62">
    <cfRule type="containsBlanks" dxfId="753" priority="442">
      <formula>LEN(TRIM(U62))=0</formula>
    </cfRule>
  </conditionalFormatting>
  <conditionalFormatting sqref="U64">
    <cfRule type="containsBlanks" dxfId="752" priority="441">
      <formula>LEN(TRIM(U64))=0</formula>
    </cfRule>
  </conditionalFormatting>
  <conditionalFormatting sqref="U65">
    <cfRule type="containsBlanks" dxfId="751" priority="440">
      <formula>LEN(TRIM(U65))=0</formula>
    </cfRule>
  </conditionalFormatting>
  <conditionalFormatting sqref="U232:V232">
    <cfRule type="containsBlanks" dxfId="750" priority="439">
      <formula>LEN(TRIM(U232))=0</formula>
    </cfRule>
  </conditionalFormatting>
  <conditionalFormatting sqref="V232">
    <cfRule type="cellIs" dxfId="749" priority="438" operator="equal">
      <formula>0</formula>
    </cfRule>
  </conditionalFormatting>
  <conditionalFormatting sqref="U231">
    <cfRule type="containsBlanks" dxfId="748" priority="437">
      <formula>LEN(TRIM(U231))=0</formula>
    </cfRule>
  </conditionalFormatting>
  <conditionalFormatting sqref="S231:T231">
    <cfRule type="containsBlanks" dxfId="747" priority="436">
      <formula>LEN(TRIM(S231))=0</formula>
    </cfRule>
  </conditionalFormatting>
  <conditionalFormatting sqref="U150">
    <cfRule type="containsBlanks" dxfId="746" priority="405">
      <formula>LEN(TRIM(U150))=0</formula>
    </cfRule>
  </conditionalFormatting>
  <conditionalFormatting sqref="T150">
    <cfRule type="containsBlanks" dxfId="745" priority="404">
      <formula>LEN(TRIM(T150))=0</formula>
    </cfRule>
  </conditionalFormatting>
  <conditionalFormatting sqref="S150">
    <cfRule type="containsBlanks" dxfId="744" priority="403">
      <formula>LEN(TRIM(S150))=0</formula>
    </cfRule>
  </conditionalFormatting>
  <conditionalFormatting sqref="V152">
    <cfRule type="containsBlanks" dxfId="743" priority="402">
      <formula>LEN(TRIM(V152))=0</formula>
    </cfRule>
  </conditionalFormatting>
  <conditionalFormatting sqref="V152">
    <cfRule type="cellIs" dxfId="742" priority="401" operator="equal">
      <formula>0</formula>
    </cfRule>
  </conditionalFormatting>
  <conditionalFormatting sqref="U152">
    <cfRule type="containsBlanks" dxfId="741" priority="400">
      <formula>LEN(TRIM(U152))=0</formula>
    </cfRule>
  </conditionalFormatting>
  <conditionalFormatting sqref="T152">
    <cfRule type="containsBlanks" dxfId="740" priority="399">
      <formula>LEN(TRIM(T152))=0</formula>
    </cfRule>
  </conditionalFormatting>
  <conditionalFormatting sqref="S152">
    <cfRule type="containsBlanks" dxfId="739" priority="398">
      <formula>LEN(TRIM(S152))=0</formula>
    </cfRule>
  </conditionalFormatting>
  <conditionalFormatting sqref="B49:F49">
    <cfRule type="cellIs" dxfId="738" priority="394" operator="equal">
      <formula>B48</formula>
    </cfRule>
  </conditionalFormatting>
  <conditionalFormatting sqref="B49:F49">
    <cfRule type="cellIs" dxfId="737" priority="393" operator="equal">
      <formula>$C$2</formula>
    </cfRule>
  </conditionalFormatting>
  <conditionalFormatting sqref="U49:W49">
    <cfRule type="containsBlanks" dxfId="736" priority="395">
      <formula>LEN(TRIM(U49))=0</formula>
    </cfRule>
  </conditionalFormatting>
  <conditionalFormatting sqref="B49">
    <cfRule type="cellIs" dxfId="735" priority="392" operator="equal">
      <formula>B48</formula>
    </cfRule>
  </conditionalFormatting>
  <conditionalFormatting sqref="U49:V49">
    <cfRule type="cellIs" dxfId="734" priority="391" operator="equal">
      <formula>0</formula>
    </cfRule>
  </conditionalFormatting>
  <conditionalFormatting sqref="B49:F49">
    <cfRule type="cellIs" dxfId="733" priority="390" operator="equal">
      <formula>B47</formula>
    </cfRule>
  </conditionalFormatting>
  <conditionalFormatting sqref="B14:F14">
    <cfRule type="cellIs" dxfId="732" priority="388" operator="equal">
      <formula>B13</formula>
    </cfRule>
  </conditionalFormatting>
  <conditionalFormatting sqref="B14:F14">
    <cfRule type="cellIs" dxfId="731" priority="387" operator="equal">
      <formula>$C$2</formula>
    </cfRule>
  </conditionalFormatting>
  <conditionalFormatting sqref="S14:W14">
    <cfRule type="containsBlanks" dxfId="730" priority="389">
      <formula>LEN(TRIM(S14))=0</formula>
    </cfRule>
  </conditionalFormatting>
  <conditionalFormatting sqref="V14">
    <cfRule type="cellIs" dxfId="729" priority="386" operator="equal">
      <formula>0</formula>
    </cfRule>
  </conditionalFormatting>
  <conditionalFormatting sqref="B15:F15">
    <cfRule type="cellIs" dxfId="728" priority="384" operator="equal">
      <formula>B14</formula>
    </cfRule>
  </conditionalFormatting>
  <conditionalFormatting sqref="B15:F15">
    <cfRule type="cellIs" dxfId="727" priority="383" operator="equal">
      <formula>$C$2</formula>
    </cfRule>
  </conditionalFormatting>
  <conditionalFormatting sqref="S15:W15">
    <cfRule type="containsBlanks" dxfId="726" priority="385">
      <formula>LEN(TRIM(S15))=0</formula>
    </cfRule>
  </conditionalFormatting>
  <conditionalFormatting sqref="V15">
    <cfRule type="cellIs" dxfId="725" priority="382" operator="equal">
      <formula>0</formula>
    </cfRule>
  </conditionalFormatting>
  <conditionalFormatting sqref="U82">
    <cfRule type="containsBlanks" dxfId="724" priority="376">
      <formula>LEN(TRIM(U82))=0</formula>
    </cfRule>
  </conditionalFormatting>
  <conditionalFormatting sqref="U83">
    <cfRule type="containsBlanks" dxfId="723" priority="375">
      <formula>LEN(TRIM(U83))=0</formula>
    </cfRule>
  </conditionalFormatting>
  <conditionalFormatting sqref="U84:U96">
    <cfRule type="containsBlanks" dxfId="722" priority="374">
      <formula>LEN(TRIM(U84))=0</formula>
    </cfRule>
  </conditionalFormatting>
  <conditionalFormatting sqref="U97:U98">
    <cfRule type="containsBlanks" dxfId="721" priority="373">
      <formula>LEN(TRIM(U97))=0</formula>
    </cfRule>
  </conditionalFormatting>
  <conditionalFormatting sqref="S59:V59">
    <cfRule type="containsBlanks" dxfId="720" priority="372">
      <formula>LEN(TRIM(S59))=0</formula>
    </cfRule>
  </conditionalFormatting>
  <conditionalFormatting sqref="V59">
    <cfRule type="cellIs" dxfId="719" priority="371" operator="equal">
      <formula>0</formula>
    </cfRule>
  </conditionalFormatting>
  <conditionalFormatting sqref="S48:T48">
    <cfRule type="containsBlanks" dxfId="718" priority="370">
      <formula>LEN(TRIM(S48))=0</formula>
    </cfRule>
  </conditionalFormatting>
  <conditionalFormatting sqref="S48:T48">
    <cfRule type="cellIs" dxfId="717" priority="369" operator="equal">
      <formula>0</formula>
    </cfRule>
  </conditionalFormatting>
  <conditionalFormatting sqref="S49:T49">
    <cfRule type="containsBlanks" dxfId="716" priority="368">
      <formula>LEN(TRIM(S49))=0</formula>
    </cfRule>
  </conditionalFormatting>
  <conditionalFormatting sqref="S49:T49">
    <cfRule type="cellIs" dxfId="715" priority="367" operator="equal">
      <formula>0</formula>
    </cfRule>
  </conditionalFormatting>
  <conditionalFormatting sqref="U155">
    <cfRule type="containsBlanks" dxfId="714" priority="366">
      <formula>LEN(TRIM(U155))=0</formula>
    </cfRule>
  </conditionalFormatting>
  <conditionalFormatting sqref="U154">
    <cfRule type="containsBlanks" dxfId="713" priority="365">
      <formula>LEN(TRIM(U154))=0</formula>
    </cfRule>
  </conditionalFormatting>
  <conditionalFormatting sqref="U153">
    <cfRule type="containsBlanks" dxfId="712" priority="364">
      <formula>LEN(TRIM(U153))=0</formula>
    </cfRule>
  </conditionalFormatting>
  <conditionalFormatting sqref="U151">
    <cfRule type="containsBlanks" dxfId="711" priority="363">
      <formula>LEN(TRIM(U151))=0</formula>
    </cfRule>
  </conditionalFormatting>
  <conditionalFormatting sqref="U149">
    <cfRule type="containsBlanks" dxfId="710" priority="362">
      <formula>LEN(TRIM(U149))=0</formula>
    </cfRule>
  </conditionalFormatting>
  <conditionalFormatting sqref="U148">
    <cfRule type="containsBlanks" dxfId="709" priority="361">
      <formula>LEN(TRIM(U148))=0</formula>
    </cfRule>
  </conditionalFormatting>
  <conditionalFormatting sqref="S168:T168">
    <cfRule type="containsBlanks" dxfId="708" priority="357">
      <formula>LEN(TRIM(S168))=0</formula>
    </cfRule>
  </conditionalFormatting>
  <conditionalFormatting sqref="S169:T169">
    <cfRule type="containsBlanks" dxfId="707" priority="355">
      <formula>LEN(TRIM(S169))=0</formula>
    </cfRule>
  </conditionalFormatting>
  <conditionalFormatting sqref="S170:T170">
    <cfRule type="containsBlanks" dxfId="706" priority="354">
      <formula>LEN(TRIM(S170))=0</formula>
    </cfRule>
  </conditionalFormatting>
  <conditionalFormatting sqref="C213">
    <cfRule type="cellIs" dxfId="705" priority="304" operator="equal">
      <formula>C211</formula>
    </cfRule>
  </conditionalFormatting>
  <conditionalFormatting sqref="B156">
    <cfRule type="cellIs" dxfId="704" priority="314" operator="equal">
      <formula>#REF!</formula>
    </cfRule>
  </conditionalFormatting>
  <conditionalFormatting sqref="B150">
    <cfRule type="cellIs" dxfId="703" priority="320" operator="equal">
      <formula>#REF!</formula>
    </cfRule>
  </conditionalFormatting>
  <conditionalFormatting sqref="B151">
    <cfRule type="cellIs" dxfId="702" priority="319" operator="equal">
      <formula>#REF!</formula>
    </cfRule>
  </conditionalFormatting>
  <conditionalFormatting sqref="B152">
    <cfRule type="cellIs" dxfId="701" priority="318" operator="equal">
      <formula>#REF!</formula>
    </cfRule>
  </conditionalFormatting>
  <conditionalFormatting sqref="B153">
    <cfRule type="cellIs" dxfId="700" priority="317" operator="equal">
      <formula>#REF!</formula>
    </cfRule>
  </conditionalFormatting>
  <conditionalFormatting sqref="B154">
    <cfRule type="cellIs" dxfId="699" priority="316" operator="equal">
      <formula>#REF!</formula>
    </cfRule>
  </conditionalFormatting>
  <conditionalFormatting sqref="B155">
    <cfRule type="cellIs" dxfId="698" priority="315" operator="equal">
      <formula>#REF!</formula>
    </cfRule>
  </conditionalFormatting>
  <conditionalFormatting sqref="B212">
    <cfRule type="cellIs" dxfId="697" priority="309" operator="equal">
      <formula>$C$2</formula>
    </cfRule>
  </conditionalFormatting>
  <conditionalFormatting sqref="B212">
    <cfRule type="cellIs" dxfId="696" priority="308" operator="equal">
      <formula>B211</formula>
    </cfRule>
  </conditionalFormatting>
  <conditionalFormatting sqref="B213">
    <cfRule type="cellIs" dxfId="695" priority="307" operator="equal">
      <formula>$C$2</formula>
    </cfRule>
  </conditionalFormatting>
  <conditionalFormatting sqref="B213">
    <cfRule type="cellIs" dxfId="694" priority="306" operator="equal">
      <formula>B211</formula>
    </cfRule>
  </conditionalFormatting>
  <conditionalFormatting sqref="C212 B211:F211">
    <cfRule type="cellIs" dxfId="693" priority="305" operator="equal">
      <formula>B196</formula>
    </cfRule>
  </conditionalFormatting>
  <conditionalFormatting sqref="C214">
    <cfRule type="cellIs" dxfId="692" priority="303" operator="equal">
      <formula>C212</formula>
    </cfRule>
  </conditionalFormatting>
  <conditionalFormatting sqref="C215">
    <cfRule type="cellIs" dxfId="691" priority="302" operator="equal">
      <formula>C213</formula>
    </cfRule>
  </conditionalFormatting>
  <conditionalFormatting sqref="D125:F125 B139:F146 D147:F147 B134:D134 B138:D138 F138 F134:F136 B135:F136">
    <cfRule type="cellIs" dxfId="690" priority="234" operator="equal">
      <formula>B124</formula>
    </cfRule>
  </conditionalFormatting>
  <conditionalFormatting sqref="D125:F125">
    <cfRule type="cellIs" dxfId="689" priority="233" operator="equal">
      <formula>$C$2</formula>
    </cfRule>
  </conditionalFormatting>
  <conditionalFormatting sqref="B81:F81 B170 B130 B175">
    <cfRule type="cellIs" dxfId="688" priority="1944" operator="equal">
      <formula>#REF!</formula>
    </cfRule>
  </conditionalFormatting>
  <conditionalFormatting sqref="B169:F169 B129:F129">
    <cfRule type="cellIs" dxfId="687" priority="1948" operator="equal">
      <formula>#REF!</formula>
    </cfRule>
  </conditionalFormatting>
  <conditionalFormatting sqref="S127:T127">
    <cfRule type="containsBlanks" dxfId="686" priority="228">
      <formula>LEN(TRIM(S127))=0</formula>
    </cfRule>
  </conditionalFormatting>
  <conditionalFormatting sqref="L50">
    <cfRule type="cellIs" dxfId="685" priority="227" operator="equal">
      <formula>$C$2</formula>
    </cfRule>
  </conditionalFormatting>
  <conditionalFormatting sqref="L50">
    <cfRule type="cellIs" dxfId="684" priority="226" operator="equal">
      <formula>#REF!</formula>
    </cfRule>
  </conditionalFormatting>
  <conditionalFormatting sqref="B169">
    <cfRule type="cellIs" dxfId="683" priority="224" operator="equal">
      <formula>#REF!</formula>
    </cfRule>
  </conditionalFormatting>
  <conditionalFormatting sqref="B170">
    <cfRule type="cellIs" dxfId="682" priority="223" operator="equal">
      <formula>#REF!</formula>
    </cfRule>
  </conditionalFormatting>
  <conditionalFormatting sqref="B171">
    <cfRule type="cellIs" dxfId="681" priority="222" operator="equal">
      <formula>#REF!</formula>
    </cfRule>
  </conditionalFormatting>
  <conditionalFormatting sqref="B169">
    <cfRule type="cellIs" dxfId="680" priority="218" operator="equal">
      <formula>#REF!</formula>
    </cfRule>
  </conditionalFormatting>
  <conditionalFormatting sqref="B170">
    <cfRule type="cellIs" dxfId="679" priority="217" operator="equal">
      <formula>#REF!</formula>
    </cfRule>
  </conditionalFormatting>
  <conditionalFormatting sqref="B171">
    <cfRule type="cellIs" dxfId="678" priority="216" operator="equal">
      <formula>#REF!</formula>
    </cfRule>
  </conditionalFormatting>
  <conditionalFormatting sqref="C169">
    <cfRule type="cellIs" dxfId="677" priority="215" operator="equal">
      <formula>C168</formula>
    </cfRule>
  </conditionalFormatting>
  <conditionalFormatting sqref="F169">
    <cfRule type="cellIs" dxfId="676" priority="214" operator="equal">
      <formula>#REF!</formula>
    </cfRule>
  </conditionalFormatting>
  <conditionalFormatting sqref="F170">
    <cfRule type="cellIs" dxfId="675" priority="213" operator="equal">
      <formula>#REF!</formula>
    </cfRule>
  </conditionalFormatting>
  <conditionalFormatting sqref="F171">
    <cfRule type="cellIs" dxfId="674" priority="212" operator="equal">
      <formula>#REF!</formula>
    </cfRule>
  </conditionalFormatting>
  <conditionalFormatting sqref="F169">
    <cfRule type="cellIs" dxfId="673" priority="211" operator="equal">
      <formula>F168</formula>
    </cfRule>
  </conditionalFormatting>
  <conditionalFormatting sqref="F169">
    <cfRule type="cellIs" dxfId="672" priority="210" operator="equal">
      <formula>#REF!</formula>
    </cfRule>
  </conditionalFormatting>
  <conditionalFormatting sqref="C222:F222">
    <cfRule type="cellIs" dxfId="671" priority="209" operator="equal">
      <formula>C220</formula>
    </cfRule>
  </conditionalFormatting>
  <conditionalFormatting sqref="B222:F222">
    <cfRule type="cellIs" dxfId="670" priority="208" operator="equal">
      <formula>$C$2</formula>
    </cfRule>
  </conditionalFormatting>
  <conditionalFormatting sqref="B222:C222">
    <cfRule type="cellIs" dxfId="669" priority="207" operator="equal">
      <formula>B219</formula>
    </cfRule>
  </conditionalFormatting>
  <conditionalFormatting sqref="C223:F223">
    <cfRule type="cellIs" dxfId="668" priority="206" operator="equal">
      <formula>C222</formula>
    </cfRule>
  </conditionalFormatting>
  <conditionalFormatting sqref="B223:F223">
    <cfRule type="cellIs" dxfId="667" priority="205" operator="equal">
      <formula>$C$2</formula>
    </cfRule>
  </conditionalFormatting>
  <conditionalFormatting sqref="B223:C223">
    <cfRule type="cellIs" dxfId="666" priority="204" operator="equal">
      <formula>B220</formula>
    </cfRule>
  </conditionalFormatting>
  <conditionalFormatting sqref="B176:F176">
    <cfRule type="cellIs" dxfId="665" priority="203" operator="equal">
      <formula>B175</formula>
    </cfRule>
  </conditionalFormatting>
  <conditionalFormatting sqref="B176:F176">
    <cfRule type="cellIs" dxfId="664" priority="202" operator="equal">
      <formula>$C$2</formula>
    </cfRule>
  </conditionalFormatting>
  <conditionalFormatting sqref="B176">
    <cfRule type="cellIs" dxfId="663" priority="201" operator="equal">
      <formula>B174</formula>
    </cfRule>
  </conditionalFormatting>
  <conditionalFormatting sqref="B177:F177">
    <cfRule type="cellIs" dxfId="662" priority="200" operator="equal">
      <formula>B176</formula>
    </cfRule>
  </conditionalFormatting>
  <conditionalFormatting sqref="B177:F177">
    <cfRule type="cellIs" dxfId="661" priority="199" operator="equal">
      <formula>$C$2</formula>
    </cfRule>
  </conditionalFormatting>
  <conditionalFormatting sqref="B177">
    <cfRule type="cellIs" dxfId="660" priority="198" operator="equal">
      <formula>B175</formula>
    </cfRule>
  </conditionalFormatting>
  <conditionalFormatting sqref="B129">
    <cfRule type="cellIs" dxfId="659" priority="194" operator="equal">
      <formula>B127</formula>
    </cfRule>
  </conditionalFormatting>
  <conditionalFormatting sqref="B174:F174">
    <cfRule type="cellIs" dxfId="658" priority="192" operator="equal">
      <formula>B173</formula>
    </cfRule>
  </conditionalFormatting>
  <conditionalFormatting sqref="B174:F174">
    <cfRule type="cellIs" dxfId="657" priority="191" operator="equal">
      <formula>$C$2</formula>
    </cfRule>
  </conditionalFormatting>
  <conditionalFormatting sqref="B174">
    <cfRule type="cellIs" dxfId="656" priority="193" operator="equal">
      <formula>#REF!</formula>
    </cfRule>
  </conditionalFormatting>
  <conditionalFormatting sqref="B138">
    <cfRule type="cellIs" dxfId="655" priority="1953" operator="equal">
      <formula>B134</formula>
    </cfRule>
  </conditionalFormatting>
  <conditionalFormatting sqref="E134">
    <cfRule type="cellIs" dxfId="654" priority="186" operator="equal">
      <formula>$C$2</formula>
    </cfRule>
  </conditionalFormatting>
  <conditionalFormatting sqref="E134">
    <cfRule type="cellIs" dxfId="653" priority="185" operator="equal">
      <formula>E131</formula>
    </cfRule>
  </conditionalFormatting>
  <conditionalFormatting sqref="E138">
    <cfRule type="cellIs" dxfId="652" priority="184" operator="equal">
      <formula>$C$2</formula>
    </cfRule>
  </conditionalFormatting>
  <conditionalFormatting sqref="E138">
    <cfRule type="cellIs" dxfId="651" priority="183" operator="equal">
      <formula>E136</formula>
    </cfRule>
  </conditionalFormatting>
  <conditionalFormatting sqref="B121">
    <cfRule type="cellIs" dxfId="650" priority="177" operator="equal">
      <formula>B117</formula>
    </cfRule>
  </conditionalFormatting>
  <conditionalFormatting sqref="B122">
    <cfRule type="cellIs" dxfId="649" priority="176" operator="equal">
      <formula>B118</formula>
    </cfRule>
  </conditionalFormatting>
  <conditionalFormatting sqref="B123">
    <cfRule type="cellIs" dxfId="648" priority="175" operator="equal">
      <formula>B120</formula>
    </cfRule>
  </conditionalFormatting>
  <conditionalFormatting sqref="B124">
    <cfRule type="cellIs" dxfId="647" priority="174" operator="equal">
      <formula>B121</formula>
    </cfRule>
  </conditionalFormatting>
  <conditionalFormatting sqref="C121">
    <cfRule type="cellIs" dxfId="646" priority="170" operator="equal">
      <formula>C117</formula>
    </cfRule>
  </conditionalFormatting>
  <conditionalFormatting sqref="C122">
    <cfRule type="cellIs" dxfId="645" priority="169" operator="equal">
      <formula>C118</formula>
    </cfRule>
  </conditionalFormatting>
  <conditionalFormatting sqref="C123">
    <cfRule type="cellIs" dxfId="644" priority="168" operator="equal">
      <formula>C120</formula>
    </cfRule>
  </conditionalFormatting>
  <conditionalFormatting sqref="C124">
    <cfRule type="cellIs" dxfId="643" priority="167" operator="equal">
      <formula>C121</formula>
    </cfRule>
  </conditionalFormatting>
  <conditionalFormatting sqref="F129">
    <cfRule type="cellIs" dxfId="642" priority="164" operator="equal">
      <formula>#REF!</formula>
    </cfRule>
  </conditionalFormatting>
  <conditionalFormatting sqref="S112:T112">
    <cfRule type="containsBlanks" dxfId="641" priority="158">
      <formula>LEN(TRIM(S112))=0</formula>
    </cfRule>
  </conditionalFormatting>
  <conditionalFormatting sqref="S115:T115">
    <cfRule type="containsBlanks" dxfId="640" priority="156">
      <formula>LEN(TRIM(S115))=0</formula>
    </cfRule>
  </conditionalFormatting>
  <conditionalFormatting sqref="S116:T116">
    <cfRule type="containsBlanks" dxfId="639" priority="155">
      <formula>LEN(TRIM(S116))=0</formula>
    </cfRule>
  </conditionalFormatting>
  <conditionalFormatting sqref="V119:W119">
    <cfRule type="containsBlanks" dxfId="638" priority="154">
      <formula>LEN(TRIM(V119))=0</formula>
    </cfRule>
  </conditionalFormatting>
  <conditionalFormatting sqref="V119">
    <cfRule type="cellIs" dxfId="637" priority="151" operator="equal">
      <formula>0</formula>
    </cfRule>
  </conditionalFormatting>
  <conditionalFormatting sqref="B120:F120">
    <cfRule type="cellIs" dxfId="636" priority="145" operator="equal">
      <formula>B119</formula>
    </cfRule>
  </conditionalFormatting>
  <conditionalFormatting sqref="B120:F120">
    <cfRule type="cellIs" dxfId="635" priority="144" operator="equal">
      <formula>$C$2</formula>
    </cfRule>
  </conditionalFormatting>
  <conditionalFormatting sqref="B120">
    <cfRule type="cellIs" dxfId="634" priority="143" operator="equal">
      <formula>B117</formula>
    </cfRule>
  </conditionalFormatting>
  <conditionalFormatting sqref="B120">
    <cfRule type="cellIs" dxfId="633" priority="142" operator="equal">
      <formula>B116</formula>
    </cfRule>
  </conditionalFormatting>
  <conditionalFormatting sqref="C120">
    <cfRule type="cellIs" dxfId="632" priority="141" operator="equal">
      <formula>C116</formula>
    </cfRule>
  </conditionalFormatting>
  <conditionalFormatting sqref="B119:F119">
    <cfRule type="cellIs" dxfId="631" priority="140" operator="equal">
      <formula>B118</formula>
    </cfRule>
  </conditionalFormatting>
  <conditionalFormatting sqref="B119:F119">
    <cfRule type="cellIs" dxfId="630" priority="139" operator="equal">
      <formula>$C$2</formula>
    </cfRule>
  </conditionalFormatting>
  <conditionalFormatting sqref="B119">
    <cfRule type="cellIs" dxfId="629" priority="138" operator="equal">
      <formula>B116</formula>
    </cfRule>
  </conditionalFormatting>
  <conditionalFormatting sqref="B119">
    <cfRule type="cellIs" dxfId="628" priority="137" operator="equal">
      <formula>B115</formula>
    </cfRule>
  </conditionalFormatting>
  <conditionalFormatting sqref="C119">
    <cfRule type="cellIs" dxfId="627" priority="136" operator="equal">
      <formula>C115</formula>
    </cfRule>
  </conditionalFormatting>
  <conditionalFormatting sqref="U119">
    <cfRule type="containsBlanks" dxfId="626" priority="135">
      <formula>LEN(TRIM(U119))=0</formula>
    </cfRule>
  </conditionalFormatting>
  <conditionalFormatting sqref="U128">
    <cfRule type="containsBlanks" dxfId="625" priority="134">
      <formula>LEN(TRIM(U128))=0</formula>
    </cfRule>
  </conditionalFormatting>
  <conditionalFormatting sqref="U125:W125">
    <cfRule type="cellIs" dxfId="624" priority="133" operator="equal">
      <formula>$C$2</formula>
    </cfRule>
  </conditionalFormatting>
  <conditionalFormatting sqref="U125:W125">
    <cfRule type="cellIs" dxfId="623" priority="132" operator="equal">
      <formula>U123</formula>
    </cfRule>
  </conditionalFormatting>
  <conditionalFormatting sqref="U133:W133">
    <cfRule type="cellIs" dxfId="622" priority="131" operator="equal">
      <formula>$C$2</formula>
    </cfRule>
  </conditionalFormatting>
  <conditionalFormatting sqref="U133:W133">
    <cfRule type="cellIs" dxfId="621" priority="130" operator="equal">
      <formula>U130</formula>
    </cfRule>
  </conditionalFormatting>
  <conditionalFormatting sqref="U137:W137">
    <cfRule type="cellIs" dxfId="620" priority="129" operator="equal">
      <formula>$C$2</formula>
    </cfRule>
  </conditionalFormatting>
  <conditionalFormatting sqref="U137:W137">
    <cfRule type="cellIs" dxfId="619" priority="128" operator="equal">
      <formula>U135</formula>
    </cfRule>
  </conditionalFormatting>
  <conditionalFormatting sqref="U147:W147">
    <cfRule type="cellIs" dxfId="618" priority="127" operator="equal">
      <formula>$C$2</formula>
    </cfRule>
  </conditionalFormatting>
  <conditionalFormatting sqref="U147:W147">
    <cfRule type="cellIs" dxfId="617" priority="126" operator="equal">
      <formula>U145</formula>
    </cfRule>
  </conditionalFormatting>
  <conditionalFormatting sqref="C220:F220">
    <cfRule type="cellIs" dxfId="616" priority="125" operator="equal">
      <formula>C219</formula>
    </cfRule>
  </conditionalFormatting>
  <conditionalFormatting sqref="B220:F220">
    <cfRule type="cellIs" dxfId="615" priority="124" operator="equal">
      <formula>$C$2</formula>
    </cfRule>
  </conditionalFormatting>
  <conditionalFormatting sqref="B220:C220">
    <cfRule type="cellIs" dxfId="614" priority="123" operator="equal">
      <formula>B218</formula>
    </cfRule>
  </conditionalFormatting>
  <conditionalFormatting sqref="C221:F221">
    <cfRule type="cellIs" dxfId="613" priority="122" operator="equal">
      <formula>C220</formula>
    </cfRule>
  </conditionalFormatting>
  <conditionalFormatting sqref="B221:F221">
    <cfRule type="cellIs" dxfId="612" priority="121" operator="equal">
      <formula>$C$2</formula>
    </cfRule>
  </conditionalFormatting>
  <conditionalFormatting sqref="B221:C221">
    <cfRule type="cellIs" dxfId="611" priority="120" operator="equal">
      <formula>B219</formula>
    </cfRule>
  </conditionalFormatting>
  <conditionalFormatting sqref="B199:C209 D199:E210 G210">
    <cfRule type="cellIs" dxfId="610" priority="117" operator="equal">
      <formula>B198</formula>
    </cfRule>
  </conditionalFormatting>
  <conditionalFormatting sqref="R210:W210 D210:E210 B198:E209 G210:H210 D158:E167">
    <cfRule type="cellIs" dxfId="609" priority="116" operator="equal">
      <formula>$C$3</formula>
    </cfRule>
  </conditionalFormatting>
  <conditionalFormatting sqref="B198:E198">
    <cfRule type="cellIs" dxfId="608" priority="119" operator="equal">
      <formula>B195</formula>
    </cfRule>
  </conditionalFormatting>
  <conditionalFormatting sqref="R210:W210">
    <cfRule type="cellIs" dxfId="607" priority="114" operator="equal">
      <formula>R209</formula>
    </cfRule>
  </conditionalFormatting>
  <conditionalFormatting sqref="O210:Q210 J210:K210">
    <cfRule type="cellIs" dxfId="606" priority="113" operator="equal">
      <formula>$C$3</formula>
    </cfRule>
  </conditionalFormatting>
  <conditionalFormatting sqref="H210">
    <cfRule type="cellIs" dxfId="605" priority="112" operator="equal">
      <formula>H209</formula>
    </cfRule>
  </conditionalFormatting>
  <conditionalFormatting sqref="J210">
    <cfRule type="cellIs" dxfId="604" priority="111" operator="equal">
      <formula>J209</formula>
    </cfRule>
  </conditionalFormatting>
  <conditionalFormatting sqref="K210">
    <cfRule type="cellIs" dxfId="603" priority="110" operator="equal">
      <formula>K209</formula>
    </cfRule>
  </conditionalFormatting>
  <conditionalFormatting sqref="O210">
    <cfRule type="cellIs" dxfId="602" priority="109" operator="equal">
      <formula>O209</formula>
    </cfRule>
  </conditionalFormatting>
  <conditionalFormatting sqref="P210">
    <cfRule type="cellIs" dxfId="601" priority="108" operator="equal">
      <formula>P209</formula>
    </cfRule>
  </conditionalFormatting>
  <conditionalFormatting sqref="Q210">
    <cfRule type="cellIs" dxfId="600" priority="107" operator="equal">
      <formula>Q209</formula>
    </cfRule>
  </conditionalFormatting>
  <conditionalFormatting sqref="F198:F210">
    <cfRule type="cellIs" dxfId="599" priority="103" operator="equal">
      <formula>F197</formula>
    </cfRule>
  </conditionalFormatting>
  <conditionalFormatting sqref="F198:F210">
    <cfRule type="cellIs" dxfId="598" priority="102" operator="equal">
      <formula>$C$2</formula>
    </cfRule>
  </conditionalFormatting>
  <conditionalFormatting sqref="S198:W209">
    <cfRule type="containsBlanks" dxfId="597" priority="101">
      <formula>LEN(TRIM(S198))=0</formula>
    </cfRule>
  </conditionalFormatting>
  <conditionalFormatting sqref="V198:V209">
    <cfRule type="cellIs" dxfId="596" priority="100" operator="equal">
      <formula>0</formula>
    </cfRule>
  </conditionalFormatting>
  <conditionalFormatting sqref="B113:F113">
    <cfRule type="cellIs" dxfId="595" priority="98" operator="equal">
      <formula>B112</formula>
    </cfRule>
  </conditionalFormatting>
  <conditionalFormatting sqref="B113:F113">
    <cfRule type="cellIs" dxfId="594" priority="97" operator="equal">
      <formula>$C$2</formula>
    </cfRule>
  </conditionalFormatting>
  <conditionalFormatting sqref="S221:V221">
    <cfRule type="containsBlanks" dxfId="593" priority="93">
      <formula>LEN(TRIM(S221))=0</formula>
    </cfRule>
  </conditionalFormatting>
  <conditionalFormatting sqref="V221">
    <cfRule type="cellIs" dxfId="592" priority="92" operator="equal">
      <formula>0</formula>
    </cfRule>
  </conditionalFormatting>
  <conditionalFormatting sqref="G167:H167 R167:W167 B158:C166">
    <cfRule type="cellIs" dxfId="591" priority="88" operator="equal">
      <formula>$C$3</formula>
    </cfRule>
  </conditionalFormatting>
  <conditionalFormatting sqref="W159:W166">
    <cfRule type="containsBlanks" dxfId="590" priority="90">
      <formula>LEN(TRIM(W159))=0</formula>
    </cfRule>
  </conditionalFormatting>
  <conditionalFormatting sqref="B158:E158">
    <cfRule type="cellIs" dxfId="589" priority="91" operator="equal">
      <formula>B155</formula>
    </cfRule>
  </conditionalFormatting>
  <conditionalFormatting sqref="D167:E167">
    <cfRule type="cellIs" dxfId="588" priority="86" operator="equal">
      <formula>#REF!</formula>
    </cfRule>
  </conditionalFormatting>
  <conditionalFormatting sqref="R167:W167">
    <cfRule type="cellIs" dxfId="587" priority="85" operator="equal">
      <formula>#REF!</formula>
    </cfRule>
  </conditionalFormatting>
  <conditionalFormatting sqref="B159:C159">
    <cfRule type="cellIs" dxfId="586" priority="84" operator="equal">
      <formula>B157</formula>
    </cfRule>
  </conditionalFormatting>
  <conditionalFormatting sqref="B160:C160">
    <cfRule type="cellIs" dxfId="585" priority="83" operator="equal">
      <formula>B158</formula>
    </cfRule>
  </conditionalFormatting>
  <conditionalFormatting sqref="B161:C161">
    <cfRule type="cellIs" dxfId="584" priority="82" operator="equal">
      <formula>B159</formula>
    </cfRule>
  </conditionalFormatting>
  <conditionalFormatting sqref="B162:C162">
    <cfRule type="cellIs" dxfId="583" priority="81" operator="equal">
      <formula>B160</formula>
    </cfRule>
  </conditionalFormatting>
  <conditionalFormatting sqref="B163:C163">
    <cfRule type="cellIs" dxfId="582" priority="80" operator="equal">
      <formula>B161</formula>
    </cfRule>
  </conditionalFormatting>
  <conditionalFormatting sqref="B164:C164">
    <cfRule type="cellIs" dxfId="581" priority="79" operator="equal">
      <formula>B162</formula>
    </cfRule>
  </conditionalFormatting>
  <conditionalFormatting sqref="B165:C165">
    <cfRule type="cellIs" dxfId="580" priority="78" operator="equal">
      <formula>B163</formula>
    </cfRule>
  </conditionalFormatting>
  <conditionalFormatting sqref="B166:C166">
    <cfRule type="cellIs" dxfId="579" priority="77" operator="equal">
      <formula>B164</formula>
    </cfRule>
  </conditionalFormatting>
  <conditionalFormatting sqref="B159">
    <cfRule type="cellIs" dxfId="578" priority="69" operator="equal">
      <formula>B157</formula>
    </cfRule>
  </conditionalFormatting>
  <conditionalFormatting sqref="B160">
    <cfRule type="cellIs" dxfId="577" priority="68" operator="equal">
      <formula>B158</formula>
    </cfRule>
  </conditionalFormatting>
  <conditionalFormatting sqref="B161">
    <cfRule type="cellIs" dxfId="576" priority="67" operator="equal">
      <formula>B159</formula>
    </cfRule>
  </conditionalFormatting>
  <conditionalFormatting sqref="B162">
    <cfRule type="cellIs" dxfId="575" priority="66" operator="equal">
      <formula>B160</formula>
    </cfRule>
  </conditionalFormatting>
  <conditionalFormatting sqref="B163">
    <cfRule type="cellIs" dxfId="574" priority="65" operator="equal">
      <formula>B161</formula>
    </cfRule>
  </conditionalFormatting>
  <conditionalFormatting sqref="B164">
    <cfRule type="cellIs" dxfId="573" priority="64" operator="equal">
      <formula>B162</formula>
    </cfRule>
  </conditionalFormatting>
  <conditionalFormatting sqref="B165">
    <cfRule type="cellIs" dxfId="572" priority="63" operator="equal">
      <formula>B163</formula>
    </cfRule>
  </conditionalFormatting>
  <conditionalFormatting sqref="B166">
    <cfRule type="cellIs" dxfId="571" priority="62" operator="equal">
      <formula>B164</formula>
    </cfRule>
  </conditionalFormatting>
  <conditionalFormatting sqref="G167">
    <cfRule type="cellIs" dxfId="570" priority="53" operator="equal">
      <formula>#REF!</formula>
    </cfRule>
  </conditionalFormatting>
  <conditionalFormatting sqref="H167">
    <cfRule type="cellIs" dxfId="569" priority="52" operator="equal">
      <formula>#REF!</formula>
    </cfRule>
  </conditionalFormatting>
  <conditionalFormatting sqref="W158">
    <cfRule type="containsBlanks" dxfId="568" priority="44">
      <formula>LEN(TRIM(W158))=0</formula>
    </cfRule>
  </conditionalFormatting>
  <conditionalFormatting sqref="W159:W164">
    <cfRule type="containsBlanks" dxfId="567" priority="43">
      <formula>LEN(TRIM(W159))=0</formula>
    </cfRule>
  </conditionalFormatting>
  <conditionalFormatting sqref="U158:V158">
    <cfRule type="containsBlanks" dxfId="566" priority="39">
      <formula>LEN(TRIM(U158))=0</formula>
    </cfRule>
  </conditionalFormatting>
  <conditionalFormatting sqref="V158">
    <cfRule type="cellIs" dxfId="565" priority="38" operator="equal">
      <formula>0</formula>
    </cfRule>
  </conditionalFormatting>
  <conditionalFormatting sqref="S158:T158">
    <cfRule type="containsBlanks" dxfId="564" priority="37">
      <formula>LEN(TRIM(S158))=0</formula>
    </cfRule>
  </conditionalFormatting>
  <conditionalFormatting sqref="U158:V158">
    <cfRule type="containsBlanks" dxfId="563" priority="36">
      <formula>LEN(TRIM(U158))=0</formula>
    </cfRule>
  </conditionalFormatting>
  <conditionalFormatting sqref="V158">
    <cfRule type="cellIs" dxfId="562" priority="35" operator="equal">
      <formula>0</formula>
    </cfRule>
  </conditionalFormatting>
  <conditionalFormatting sqref="S158:T158 S160:S165">
    <cfRule type="containsBlanks" dxfId="561" priority="34">
      <formula>LEN(TRIM(S158))=0</formula>
    </cfRule>
  </conditionalFormatting>
  <conditionalFormatting sqref="F158">
    <cfRule type="cellIs" dxfId="560" priority="32" operator="equal">
      <formula>$C$2</formula>
    </cfRule>
  </conditionalFormatting>
  <conditionalFormatting sqref="F158">
    <cfRule type="cellIs" dxfId="559" priority="31" operator="equal">
      <formula>#REF!</formula>
    </cfRule>
  </conditionalFormatting>
  <conditionalFormatting sqref="B159:C159">
    <cfRule type="cellIs" dxfId="558" priority="30" operator="equal">
      <formula>B156</formula>
    </cfRule>
  </conditionalFormatting>
  <conditionalFormatting sqref="B160:C160">
    <cfRule type="cellIs" dxfId="557" priority="29" operator="equal">
      <formula>B157</formula>
    </cfRule>
  </conditionalFormatting>
  <conditionalFormatting sqref="B161:C161">
    <cfRule type="cellIs" dxfId="556" priority="28" operator="equal">
      <formula>B158</formula>
    </cfRule>
  </conditionalFormatting>
  <conditionalFormatting sqref="B162:C162">
    <cfRule type="cellIs" dxfId="555" priority="27" operator="equal">
      <formula>B159</formula>
    </cfRule>
  </conditionalFormatting>
  <conditionalFormatting sqref="B163:C163">
    <cfRule type="cellIs" dxfId="554" priority="26" operator="equal">
      <formula>B160</formula>
    </cfRule>
  </conditionalFormatting>
  <conditionalFormatting sqref="B164:C164">
    <cfRule type="cellIs" dxfId="553" priority="25" operator="equal">
      <formula>B161</formula>
    </cfRule>
  </conditionalFormatting>
  <conditionalFormatting sqref="B165:C165">
    <cfRule type="cellIs" dxfId="552" priority="24" operator="equal">
      <formula>B162</formula>
    </cfRule>
  </conditionalFormatting>
  <conditionalFormatting sqref="B166:C166">
    <cfRule type="cellIs" dxfId="551" priority="23" operator="equal">
      <formula>B163</formula>
    </cfRule>
  </conditionalFormatting>
  <conditionalFormatting sqref="F165:F167">
    <cfRule type="cellIs" dxfId="550" priority="15" operator="equal">
      <formula>$C$2</formula>
    </cfRule>
  </conditionalFormatting>
  <conditionalFormatting sqref="F159:F164">
    <cfRule type="cellIs" dxfId="549" priority="18" operator="equal">
      <formula>F158</formula>
    </cfRule>
  </conditionalFormatting>
  <conditionalFormatting sqref="F159:F164">
    <cfRule type="cellIs" dxfId="548" priority="17" operator="equal">
      <formula>$C$2</formula>
    </cfRule>
  </conditionalFormatting>
  <conditionalFormatting sqref="F165:F167">
    <cfRule type="cellIs" dxfId="547" priority="16" operator="equal">
      <formula>F164</formula>
    </cfRule>
  </conditionalFormatting>
  <conditionalFormatting sqref="S159:V159">
    <cfRule type="containsBlanks" dxfId="546" priority="14">
      <formula>LEN(TRIM(S159))=0</formula>
    </cfRule>
  </conditionalFormatting>
  <conditionalFormatting sqref="S159:V159">
    <cfRule type="containsBlanks" dxfId="545" priority="13">
      <formula>LEN(TRIM(S159))=0</formula>
    </cfRule>
  </conditionalFormatting>
  <conditionalFormatting sqref="V160:V166">
    <cfRule type="containsBlanks" dxfId="544" priority="10">
      <formula>LEN(TRIM(V160))=0</formula>
    </cfRule>
  </conditionalFormatting>
  <conditionalFormatting sqref="U160:U166">
    <cfRule type="containsBlanks" dxfId="543" priority="11">
      <formula>LEN(TRIM(U160))=0</formula>
    </cfRule>
  </conditionalFormatting>
  <conditionalFormatting sqref="V160:V166">
    <cfRule type="cellIs" dxfId="542" priority="9" operator="equal">
      <formula>0</formula>
    </cfRule>
  </conditionalFormatting>
  <conditionalFormatting sqref="S81:U81">
    <cfRule type="containsBlanks" dxfId="541" priority="8">
      <formula>LEN(TRIM(S81))=0</formula>
    </cfRule>
  </conditionalFormatting>
  <conditionalFormatting sqref="B132:F132">
    <cfRule type="cellIs" dxfId="540" priority="6" operator="equal">
      <formula>B131</formula>
    </cfRule>
  </conditionalFormatting>
  <conditionalFormatting sqref="B132:F132">
    <cfRule type="cellIs" dxfId="539" priority="5" operator="equal">
      <formula>$C$2</formula>
    </cfRule>
  </conditionalFormatting>
  <conditionalFormatting sqref="U132:W132">
    <cfRule type="containsBlanks" dxfId="538" priority="7">
      <formula>LEN(TRIM(U132))=0</formula>
    </cfRule>
  </conditionalFormatting>
  <conditionalFormatting sqref="V132">
    <cfRule type="cellIs" dxfId="537" priority="4" operator="equal">
      <formula>0</formula>
    </cfRule>
  </conditionalFormatting>
  <conditionalFormatting sqref="B132">
    <cfRule type="cellIs" dxfId="536" priority="3" operator="equal">
      <formula>B130</formula>
    </cfRule>
  </conditionalFormatting>
  <dataValidations count="2">
    <dataValidation type="list" allowBlank="1" showInputMessage="1" showErrorMessage="1" sqref="Q193:Q196 Q228:Q231 H3:H15 Q3:R15 Q106:Q110 Q100:Q104 Q148:Q156 Q67:Q79 Q61:Q65 H51:H59 H81:H98 Q46:Q49 Q36:Q44 Q26:Q34 Q17:Q24 Q81:Q98 H17:H24 H26:H34 H36:H44 Q51:Q59 H67:H79 H61:H65 H100:H104 H106:H110 Q126:Q132 H46:H49 H148:H156 H193:H196 H138:H146 Q168:Q171 H168:H171 H158:H166 H173:H191 Q173:Q191 Q118:Q124 H118:H124 Q112:Q116 H112:H116 Q198:Q209 H211:H226 H198:H209 Q211:Q226 H126:H132 Q158:Q166" xr:uid="{00000000-0002-0000-0800-000000000000}">
      <formula1>"Yes, No"</formula1>
    </dataValidation>
    <dataValidation type="list" allowBlank="1" showInputMessage="1" showErrorMessage="1" sqref="L126:L132 S232:S233 L81:L98 L228:L233 L67:L76 L61:L65 L36:L44 S160:S166 L17:L24 L48:L49 L26:L34 L100:L104 L46 L148:L156 L3:L15 S151 S148:S149 L78:L79 S118:S119 S100:S104 L173:L191 S126 L51:L59 S46 L106:L110 L193:L196 S82:S98 S153:S156 S122:S124 S171 L168:L171 L112:L116 L134:L136 L118:L124 L211:L226 L198:L209 L158:L166 S128:S132" xr:uid="{00000000-0002-0000-0800-000001000000}">
      <formula1>SMX</formula1>
    </dataValidation>
  </dataValidations>
  <pageMargins left="0.7" right="0.7" top="0.75" bottom="0.75" header="0.3" footer="0.3"/>
  <pageSetup paperSize="9" orientation="portrait" r:id="rId1"/>
  <ignoredErrors>
    <ignoredError sqref="K25:N25 K173:N173 J234:N234 K232:N232 K27:N31 K47:N47 K60:N60 K63:N63 K80:N80 K66:N73 K106:N111 K117:N117 K113:N113 K125:N125 K120:N121 K157:N157 K26:L26 N26 K48 M48:N48 K112 M112:N112 K118 M118:N118 K148:K156 M148:N156 K122:K124 M122:N124 K114:K116 K233 K46 M46:N46 K61:K62 K64:K65 M64:N65 M114:N116 M61:N62 M233:N233 K16:P16 O232:P234 K33:N45 K32 M32:N32 K75:N78 K74 M74:N74 K79 M79:N79 N81 O25:P48 K59 O120:P125 M133:P133 K58:P58 K50:K57 M137:P137 M139:P147 J147:K147 K81:K105 M82:N105 M50:P57 K168:K172 M168:N172 O168:P173 J148:J157 K222:P230 J221:J233 X224:X228 X120:X125 X3:X118 O60:P118 J133:J137 X211:X219 K174:P191 J168:J191 X168:X198 J192:P220 X134:X138 X148:X157 O148:P157 J167:P167 J3:J125 J126:J132" calculatedColumn="1"/>
    <ignoredError sqref="U47" formula="1"/>
    <ignoredError sqref="K137:K146 K133:K134 K126:K131" evalError="1" calculatedColumn="1"/>
    <ignoredError sqref="X126 X158" unlockedFormula="1" calculatedColumn="1"/>
    <ignoredError sqref="Q127:X128 Q126:W126 Q160:Q161 Q164:Q166 Q130:X132 R129:X129" unlockedFormula="1"/>
    <ignoredError sqref="Q162:Q163 Q129" formula="1" unlockedFormula="1"/>
  </ignoredErrors>
  <legacyDrawing r:id="rId2"/>
  <tableParts count="1">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235"/>
  <sheetViews>
    <sheetView zoomScale="70" zoomScaleNormal="70" workbookViewId="0">
      <pane xSplit="7" ySplit="2" topLeftCell="N123" activePane="bottomRight" state="frozen"/>
      <selection pane="topRight" activeCell="H1" sqref="H1"/>
      <selection pane="bottomLeft" activeCell="A4" sqref="A4"/>
      <selection pane="bottomRight" activeCell="S124" sqref="S124"/>
    </sheetView>
  </sheetViews>
  <sheetFormatPr defaultColWidth="9.109375" defaultRowHeight="14.4" outlineLevelRow="2" outlineLevelCol="1"/>
  <cols>
    <col min="1" max="1" width="9" style="202" customWidth="1"/>
    <col min="2" max="2" width="16.5546875" style="201" customWidth="1"/>
    <col min="3" max="3" width="20.33203125" style="201" customWidth="1"/>
    <col min="4" max="4" width="20.33203125" style="201" hidden="1" customWidth="1" outlineLevel="1"/>
    <col min="5" max="5" width="21.109375" style="201" hidden="1" customWidth="1" outlineLevel="1"/>
    <col min="6" max="6" width="14.33203125" style="207" bestFit="1" customWidth="1" collapsed="1"/>
    <col min="7" max="7" width="43.88671875" style="201" customWidth="1"/>
    <col min="8" max="8" width="22.5546875" style="322" customWidth="1"/>
    <col min="9" max="9" width="15.6640625" style="202" customWidth="1"/>
    <col min="10" max="10" width="12" style="206" customWidth="1"/>
    <col min="11" max="11" width="14.88671875" style="207" customWidth="1"/>
    <col min="12" max="12" width="17.5546875" style="322" customWidth="1"/>
    <col min="13" max="13" width="30.6640625" style="201" customWidth="1"/>
    <col min="14" max="14" width="12.5546875" style="202" customWidth="1"/>
    <col min="15" max="15" width="17.5546875" style="208" customWidth="1"/>
    <col min="16" max="16" width="13" style="205" customWidth="1"/>
    <col min="17" max="17" width="22.44140625" style="328" customWidth="1"/>
    <col min="18" max="18" width="17.5546875" style="201" customWidth="1"/>
    <col min="19" max="19" width="22.6640625" style="322" customWidth="1"/>
    <col min="20" max="20" width="30.6640625" style="209" customWidth="1"/>
    <col min="21" max="21" width="15.6640625" style="202" customWidth="1"/>
    <col min="22" max="22" width="15.6640625" style="210" customWidth="1"/>
    <col min="23" max="23" width="30.5546875" style="201" customWidth="1"/>
    <col min="24" max="24" width="12.6640625" style="322" customWidth="1"/>
    <col min="25" max="25" width="12.109375" style="202" bestFit="1" customWidth="1"/>
    <col min="26" max="16384" width="9.109375" style="201"/>
  </cols>
  <sheetData>
    <row r="1" spans="1:25" ht="21">
      <c r="A1" s="122"/>
      <c r="B1" s="123"/>
      <c r="C1" s="123"/>
      <c r="D1" s="123"/>
      <c r="E1" s="123"/>
      <c r="F1" s="125"/>
      <c r="G1" s="123"/>
      <c r="H1" s="333"/>
      <c r="I1" s="223"/>
      <c r="J1" s="224"/>
      <c r="K1" s="225"/>
      <c r="L1" s="334"/>
      <c r="M1" s="226"/>
      <c r="N1" s="223"/>
      <c r="O1" s="227" t="s">
        <v>104</v>
      </c>
      <c r="P1" s="219">
        <f>1-Table26[[#Totals],[Residual of single point fault failure rate/FIT]]/Table26[[#Totals],[λSR]]</f>
        <v>0.99661514018691588</v>
      </c>
      <c r="Q1" s="326"/>
      <c r="R1" s="220"/>
      <c r="S1" s="329"/>
      <c r="T1" s="221"/>
      <c r="U1" s="222" t="s">
        <v>105</v>
      </c>
      <c r="V1" s="218">
        <f>1-(Table26[[#Totals],[Latent multiple point fault failure rate/FIT]]/((Table26[[#Totals],[λSR]])-Table26[[#Totals],[Residual of single point fault failure rate/FIT]]))</f>
        <v>0.98085620672897866</v>
      </c>
      <c r="W1" s="336"/>
      <c r="X1" s="338"/>
      <c r="Y1" s="337"/>
    </row>
    <row r="2" spans="1:25" s="202" customFormat="1" ht="149.25" customHeight="1" thickBot="1">
      <c r="A2" s="14" t="s">
        <v>57</v>
      </c>
      <c r="B2" s="122" t="s">
        <v>257</v>
      </c>
      <c r="C2" s="122" t="s">
        <v>12</v>
      </c>
      <c r="D2" s="15" t="s">
        <v>191</v>
      </c>
      <c r="E2" s="15" t="s">
        <v>192</v>
      </c>
      <c r="F2" s="125" t="s">
        <v>195</v>
      </c>
      <c r="G2" s="122" t="s">
        <v>13</v>
      </c>
      <c r="H2" s="317" t="s">
        <v>14</v>
      </c>
      <c r="I2" s="211" t="s">
        <v>183</v>
      </c>
      <c r="J2" s="212" t="s">
        <v>37</v>
      </c>
      <c r="K2" s="213" t="s">
        <v>15</v>
      </c>
      <c r="L2" s="317" t="s">
        <v>274</v>
      </c>
      <c r="M2" s="211" t="s">
        <v>17</v>
      </c>
      <c r="N2" s="211" t="s">
        <v>18</v>
      </c>
      <c r="O2" s="214" t="s">
        <v>19</v>
      </c>
      <c r="P2" s="215" t="s">
        <v>20</v>
      </c>
      <c r="Q2" s="327" t="s">
        <v>21</v>
      </c>
      <c r="R2" s="216" t="s">
        <v>273</v>
      </c>
      <c r="S2" s="327" t="s">
        <v>22</v>
      </c>
      <c r="T2" s="216" t="s">
        <v>346</v>
      </c>
      <c r="U2" s="216" t="s">
        <v>23</v>
      </c>
      <c r="V2" s="217" t="s">
        <v>24</v>
      </c>
      <c r="W2" s="122" t="s">
        <v>25</v>
      </c>
      <c r="X2" s="318" t="s">
        <v>194</v>
      </c>
      <c r="Y2" s="122" t="s">
        <v>196</v>
      </c>
    </row>
    <row r="3" spans="1:25" ht="101.4" outlineLevel="1" thickTop="1">
      <c r="A3" s="18" t="s">
        <v>835</v>
      </c>
      <c r="B3" s="123" t="s">
        <v>3</v>
      </c>
      <c r="C3" s="123" t="s">
        <v>26</v>
      </c>
      <c r="D3" s="123" t="s">
        <v>198</v>
      </c>
      <c r="E3" s="123" t="s">
        <v>193</v>
      </c>
      <c r="F3" s="125">
        <f>VLOOKUP(Table26[Function], Table1[], 5, FALSE)</f>
        <v>8.9517882504841815</v>
      </c>
      <c r="G3" s="19" t="s">
        <v>27</v>
      </c>
      <c r="H3" s="318" t="s">
        <v>36</v>
      </c>
      <c r="I3" s="122" t="s">
        <v>63</v>
      </c>
      <c r="J3" s="124">
        <v>9.8000000000000004E-2</v>
      </c>
      <c r="K3" s="125">
        <f>Table26[[#This Row],[λ]]*Table26[[#This Row],[Failure rate distribution]]</f>
        <v>0.87727524854744987</v>
      </c>
      <c r="L3" s="318" t="s">
        <v>63</v>
      </c>
      <c r="M3" s="20" t="str">
        <f>VLOOKUP(Table26[[#This Row],[Applicable Safety mechanism]],Table3[],2,FALSE)</f>
        <v>Not applicable</v>
      </c>
      <c r="N3" s="21" t="str">
        <f>VLOOKUP(Table26[[#This Row],[Applicable Safety mechanism]], Table3[], 3,FALSE)</f>
        <v>-</v>
      </c>
      <c r="O3" s="16">
        <f>VLOOKUP(Table26[[#This Row],[Applicable Safety mechanism]], Table3[], 6,FALSE)</f>
        <v>0</v>
      </c>
      <c r="P3" s="126">
        <f>IF(Table26[[#This Row],[Failure mode that has the potential to violate the safety goal in absence of safety mechanism?]]="Yes", Table26[[#This Row],[Failure mode rate]]*(1-Table26[[#This Row],[Failure mode coverage wrt. violation of safety goals]]), 0)</f>
        <v>0</v>
      </c>
      <c r="Q3" s="318" t="s">
        <v>36</v>
      </c>
      <c r="R3" s="122"/>
      <c r="S3" s="324"/>
      <c r="T3" s="68"/>
      <c r="U3" s="16"/>
      <c r="V3" s="127">
        <f>IF(Table26[[#This Row],[Failure mode that may lead to the violation of safety goals in combination with an independent failure of another block ?]]="Yes",(1-Table26[[#This Row],[Failure mode coverage with respect to latent failures]])*Table26[[#This Row],[Failure mode rate]], 0)</f>
        <v>0</v>
      </c>
      <c r="W3" s="123"/>
      <c r="X3" s="339" t="s">
        <v>35</v>
      </c>
      <c r="Y3" s="125">
        <f>IF(Table26[[#This Row],[SR]]="Yes",Table26[[#This Row],[λ]], 0)</f>
        <v>8.9517882504841815</v>
      </c>
    </row>
    <row r="4" spans="1:25" outlineLevel="1">
      <c r="A4" s="128" t="s">
        <v>836</v>
      </c>
      <c r="B4" s="123" t="s">
        <v>3</v>
      </c>
      <c r="C4" s="123" t="s">
        <v>26</v>
      </c>
      <c r="D4" s="123"/>
      <c r="E4" s="123"/>
      <c r="F4" s="125">
        <f>VLOOKUP(Table26[Function], Table1[], 5, FALSE)</f>
        <v>8.9517882504841815</v>
      </c>
      <c r="G4" s="19" t="s">
        <v>28</v>
      </c>
      <c r="H4" s="318" t="s">
        <v>36</v>
      </c>
      <c r="I4" s="122" t="s">
        <v>63</v>
      </c>
      <c r="J4" s="124">
        <v>9.8000000000000004E-2</v>
      </c>
      <c r="K4" s="125">
        <f>Table26[[#This Row],[λ]]*Table26[[#This Row],[Failure rate distribution]]</f>
        <v>0.87727524854744987</v>
      </c>
      <c r="L4" s="318" t="s">
        <v>63</v>
      </c>
      <c r="M4" s="20" t="str">
        <f>VLOOKUP(Table26[[#This Row],[Applicable Safety mechanism]],Table3[],2,FALSE)</f>
        <v>Not applicable</v>
      </c>
      <c r="N4" s="21" t="str">
        <f>VLOOKUP(Table26[[#This Row],[Applicable Safety mechanism]], Table3[], 3,FALSE)</f>
        <v>-</v>
      </c>
      <c r="O4" s="16">
        <f>VLOOKUP(Table26[[#This Row],[Applicable Safety mechanism]], Table3[], 6,FALSE)</f>
        <v>0</v>
      </c>
      <c r="P4" s="126">
        <f>IF(Table26[[#This Row],[Failure mode that has the potential to violate the safety goal in absence of safety mechanism?]]="Yes", Table26[[#This Row],[Failure mode rate]]*(1-Table26[[#This Row],[Failure mode coverage wrt. violation of safety goals]]), 0)</f>
        <v>0</v>
      </c>
      <c r="Q4" s="318" t="s">
        <v>36</v>
      </c>
      <c r="R4" s="122"/>
      <c r="S4" s="324"/>
      <c r="T4" s="68"/>
      <c r="U4" s="16"/>
      <c r="V4" s="127">
        <f>IF(Table26[[#This Row],[Failure mode that may lead to the violation of safety goals in combination with an independent failure of another block ?]]="Yes",(1-Table26[[#This Row],[Failure mode coverage with respect to latent failures]])*Table26[[#This Row],[Failure mode rate]], 0)</f>
        <v>0</v>
      </c>
      <c r="W4" s="123"/>
      <c r="X4" s="339"/>
      <c r="Y4" s="21">
        <f>IF(Table26[[#This Row],[SR]]="Yes",Table26[[#This Row],[λ]], 0)</f>
        <v>0</v>
      </c>
    </row>
    <row r="5" spans="1:25" s="203" customFormat="1" outlineLevel="1">
      <c r="A5" s="18" t="s">
        <v>837</v>
      </c>
      <c r="B5" s="144" t="s">
        <v>3</v>
      </c>
      <c r="C5" s="144" t="s">
        <v>26</v>
      </c>
      <c r="D5" s="144"/>
      <c r="E5" s="144"/>
      <c r="F5" s="146">
        <f>VLOOKUP(Table26[Function], Table1[], 5, FALSE)</f>
        <v>8.9517882504841815</v>
      </c>
      <c r="G5" s="19" t="s">
        <v>29</v>
      </c>
      <c r="H5" s="318" t="s">
        <v>36</v>
      </c>
      <c r="I5" s="122" t="s">
        <v>63</v>
      </c>
      <c r="J5" s="124">
        <v>0</v>
      </c>
      <c r="K5" s="146">
        <f>Table26[[#This Row],[λ]]*Table26[[#This Row],[Failure rate distribution]]</f>
        <v>0</v>
      </c>
      <c r="L5" s="318" t="s">
        <v>63</v>
      </c>
      <c r="M5" s="147" t="str">
        <f>VLOOKUP(Table26[[#This Row],[Applicable Safety mechanism]],Table3[],2,FALSE)</f>
        <v>Not applicable</v>
      </c>
      <c r="N5" s="148" t="str">
        <f>VLOOKUP(Table26[[#This Row],[Applicable Safety mechanism]], Table3[], 3,FALSE)</f>
        <v>-</v>
      </c>
      <c r="O5" s="149">
        <f>VLOOKUP(Table26[[#This Row],[Applicable Safety mechanism]], Table3[], 6,FALSE)</f>
        <v>0</v>
      </c>
      <c r="P5" s="150">
        <f>IF(Table26[[#This Row],[Failure mode that has the potential to violate the safety goal in absence of safety mechanism?]]="Yes", Table26[[#This Row],[Failure mode rate]]*(1-Table26[[#This Row],[Failure mode coverage wrt. violation of safety goals]]), 0)</f>
        <v>0</v>
      </c>
      <c r="Q5" s="319" t="s">
        <v>36</v>
      </c>
      <c r="R5" s="145"/>
      <c r="S5" s="324"/>
      <c r="T5" s="68"/>
      <c r="U5" s="149"/>
      <c r="V5" s="151">
        <f>IF(Table26[[#This Row],[Failure mode that may lead to the violation of safety goals in combination with an independent failure of another block ?]]="Yes",(1-Table26[[#This Row],[Failure mode coverage with respect to latent failures]])*Table26[[#This Row],[Failure mode rate]], 0)</f>
        <v>0</v>
      </c>
      <c r="W5" s="144"/>
      <c r="X5" s="340"/>
      <c r="Y5" s="148">
        <f>IF(Table26[[#This Row],[SR]]="Yes",Table26[[#This Row],[λ]], 0)</f>
        <v>0</v>
      </c>
    </row>
    <row r="6" spans="1:25" outlineLevel="1">
      <c r="A6" s="128" t="s">
        <v>838</v>
      </c>
      <c r="B6" s="123" t="s">
        <v>3</v>
      </c>
      <c r="C6" s="123" t="s">
        <v>26</v>
      </c>
      <c r="D6" s="123"/>
      <c r="E6" s="123"/>
      <c r="F6" s="125">
        <f>VLOOKUP(Table26[Function], Table1[], 5, FALSE)</f>
        <v>8.9517882504841815</v>
      </c>
      <c r="G6" s="19" t="s">
        <v>189</v>
      </c>
      <c r="H6" s="318" t="s">
        <v>36</v>
      </c>
      <c r="I6" s="122" t="s">
        <v>63</v>
      </c>
      <c r="J6" s="124">
        <v>9.8000000000000004E-2</v>
      </c>
      <c r="K6" s="125">
        <f>Table26[[#This Row],[λ]]*Table26[[#This Row],[Failure rate distribution]]</f>
        <v>0.87727524854744987</v>
      </c>
      <c r="L6" s="318" t="s">
        <v>63</v>
      </c>
      <c r="M6" s="20" t="str">
        <f>VLOOKUP(Table26[[#This Row],[Applicable Safety mechanism]],Table3[],2,FALSE)</f>
        <v>Not applicable</v>
      </c>
      <c r="N6" s="21" t="str">
        <f>VLOOKUP(Table26[[#This Row],[Applicable Safety mechanism]], Table3[], 3,FALSE)</f>
        <v>-</v>
      </c>
      <c r="O6" s="16">
        <f>VLOOKUP(Table26[[#This Row],[Applicable Safety mechanism]], Table3[], 6,FALSE)</f>
        <v>0</v>
      </c>
      <c r="P6" s="126">
        <f>IF(Table26[[#This Row],[Failure mode that has the potential to violate the safety goal in absence of safety mechanism?]]="Yes", Table26[[#This Row],[Failure mode rate]]*(1-Table26[[#This Row],[Failure mode coverage wrt. violation of safety goals]]), 0)</f>
        <v>0</v>
      </c>
      <c r="Q6" s="318" t="s">
        <v>36</v>
      </c>
      <c r="R6" s="122"/>
      <c r="S6" s="324"/>
      <c r="T6" s="68"/>
      <c r="U6" s="16"/>
      <c r="V6" s="127">
        <f>IF(Table26[[#This Row],[Failure mode that may lead to the violation of safety goals in combination with an independent failure of another block ?]]="Yes",(1-Table26[[#This Row],[Failure mode coverage with respect to latent failures]])*Table26[[#This Row],[Failure mode rate]], 0)</f>
        <v>0</v>
      </c>
      <c r="W6" s="123"/>
      <c r="X6" s="339"/>
      <c r="Y6" s="21">
        <f>IF(Table26[[#This Row],[SR]]="Yes",Table26[[#This Row],[λ]], 0)</f>
        <v>0</v>
      </c>
    </row>
    <row r="7" spans="1:25" outlineLevel="1">
      <c r="A7" s="18" t="s">
        <v>839</v>
      </c>
      <c r="B7" s="123" t="s">
        <v>3</v>
      </c>
      <c r="C7" s="123" t="s">
        <v>26</v>
      </c>
      <c r="D7" s="123"/>
      <c r="E7" s="123"/>
      <c r="F7" s="125">
        <f>VLOOKUP(Table26[Function], Table1[], 5, FALSE)</f>
        <v>8.9517882504841815</v>
      </c>
      <c r="G7" s="19" t="s">
        <v>190</v>
      </c>
      <c r="H7" s="318" t="s">
        <v>36</v>
      </c>
      <c r="I7" s="122" t="s">
        <v>63</v>
      </c>
      <c r="J7" s="124">
        <v>9.8000000000000004E-2</v>
      </c>
      <c r="K7" s="125">
        <f>Table26[[#This Row],[λ]]*Table26[[#This Row],[Failure rate distribution]]</f>
        <v>0.87727524854744987</v>
      </c>
      <c r="L7" s="318" t="s">
        <v>63</v>
      </c>
      <c r="M7" s="20" t="str">
        <f>VLOOKUP(Table26[[#This Row],[Applicable Safety mechanism]],Table3[],2,FALSE)</f>
        <v>Not applicable</v>
      </c>
      <c r="N7" s="21" t="str">
        <f>VLOOKUP(Table26[[#This Row],[Applicable Safety mechanism]], Table3[], 3,FALSE)</f>
        <v>-</v>
      </c>
      <c r="O7" s="16">
        <f>VLOOKUP(Table26[[#This Row],[Applicable Safety mechanism]], Table3[], 6,FALSE)</f>
        <v>0</v>
      </c>
      <c r="P7" s="126">
        <f>IF(Table26[[#This Row],[Failure mode that has the potential to violate the safety goal in absence of safety mechanism?]]="Yes", Table26[[#This Row],[Failure mode rate]]*(1-Table26[[#This Row],[Failure mode coverage wrt. violation of safety goals]]), 0)</f>
        <v>0</v>
      </c>
      <c r="Q7" s="318" t="s">
        <v>36</v>
      </c>
      <c r="R7" s="122"/>
      <c r="S7" s="324"/>
      <c r="T7" s="68"/>
      <c r="U7" s="16"/>
      <c r="V7" s="127">
        <f>IF(Table26[[#This Row],[Failure mode that may lead to the violation of safety goals in combination with an independent failure of another block ?]]="Yes",(1-Table26[[#This Row],[Failure mode coverage with respect to latent failures]])*Table26[[#This Row],[Failure mode rate]], 0)</f>
        <v>0</v>
      </c>
      <c r="W7" s="123"/>
      <c r="X7" s="339"/>
      <c r="Y7" s="21">
        <f>IF(Table26[[#This Row],[SR]]="Yes",Table26[[#This Row],[λ]], 0)</f>
        <v>0</v>
      </c>
    </row>
    <row r="8" spans="1:25" outlineLevel="1">
      <c r="A8" s="128" t="s">
        <v>840</v>
      </c>
      <c r="B8" s="123" t="s">
        <v>3</v>
      </c>
      <c r="C8" s="123" t="s">
        <v>26</v>
      </c>
      <c r="D8" s="123"/>
      <c r="E8" s="123"/>
      <c r="F8" s="125">
        <f>VLOOKUP(Table26[Function], Table1[], 5, FALSE)</f>
        <v>8.9517882504841815</v>
      </c>
      <c r="G8" s="19" t="s">
        <v>64</v>
      </c>
      <c r="H8" s="318" t="s">
        <v>36</v>
      </c>
      <c r="I8" s="122" t="s">
        <v>63</v>
      </c>
      <c r="J8" s="124">
        <v>9.8000000000000004E-2</v>
      </c>
      <c r="K8" s="125">
        <f>Table26[[#This Row],[λ]]*Table26[[#This Row],[Failure rate distribution]]</f>
        <v>0.87727524854744987</v>
      </c>
      <c r="L8" s="318" t="s">
        <v>63</v>
      </c>
      <c r="M8" s="20" t="str">
        <f>VLOOKUP(Table26[[#This Row],[Applicable Safety mechanism]],Table3[],2,FALSE)</f>
        <v>Not applicable</v>
      </c>
      <c r="N8" s="21" t="str">
        <f>VLOOKUP(Table26[[#This Row],[Applicable Safety mechanism]], Table3[], 3,FALSE)</f>
        <v>-</v>
      </c>
      <c r="O8" s="16">
        <f>VLOOKUP(Table26[[#This Row],[Applicable Safety mechanism]], Table3[], 6,FALSE)</f>
        <v>0</v>
      </c>
      <c r="P8" s="126">
        <f>IF(Table26[[#This Row],[Failure mode that has the potential to violate the safety goal in absence of safety mechanism?]]="Yes", Table26[[#This Row],[Failure mode rate]]*(1-Table26[[#This Row],[Failure mode coverage wrt. violation of safety goals]]), 0)</f>
        <v>0</v>
      </c>
      <c r="Q8" s="318" t="s">
        <v>36</v>
      </c>
      <c r="R8" s="122"/>
      <c r="S8" s="324"/>
      <c r="T8" s="68"/>
      <c r="U8" s="16"/>
      <c r="V8" s="127">
        <f>IF(Table26[[#This Row],[Failure mode that may lead to the violation of safety goals in combination with an independent failure of another block ?]]="Yes",(1-Table26[[#This Row],[Failure mode coverage with respect to latent failures]])*Table26[[#This Row],[Failure mode rate]], 0)</f>
        <v>0</v>
      </c>
      <c r="W8" s="123"/>
      <c r="X8" s="339"/>
      <c r="Y8" s="21">
        <f>IF(Table26[[#This Row],[SR]]="Yes",Table26[[#This Row],[λ]], 0)</f>
        <v>0</v>
      </c>
    </row>
    <row r="9" spans="1:25" outlineLevel="1">
      <c r="A9" s="18" t="s">
        <v>841</v>
      </c>
      <c r="B9" s="123" t="s">
        <v>3</v>
      </c>
      <c r="C9" s="123" t="s">
        <v>26</v>
      </c>
      <c r="D9" s="123"/>
      <c r="E9" s="123"/>
      <c r="F9" s="125">
        <f>VLOOKUP(Table26[Function], Table1[], 5, FALSE)</f>
        <v>8.9517882504841815</v>
      </c>
      <c r="G9" s="19" t="s">
        <v>30</v>
      </c>
      <c r="H9" s="318" t="s">
        <v>36</v>
      </c>
      <c r="I9" s="122" t="s">
        <v>63</v>
      </c>
      <c r="J9" s="124">
        <v>9.8000000000000004E-2</v>
      </c>
      <c r="K9" s="125">
        <f>Table26[[#This Row],[λ]]*Table26[[#This Row],[Failure rate distribution]]</f>
        <v>0.87727524854744987</v>
      </c>
      <c r="L9" s="318" t="s">
        <v>63</v>
      </c>
      <c r="M9" s="20" t="str">
        <f>VLOOKUP(Table26[[#This Row],[Applicable Safety mechanism]],Table3[],2,FALSE)</f>
        <v>Not applicable</v>
      </c>
      <c r="N9" s="21" t="str">
        <f>VLOOKUP(Table26[[#This Row],[Applicable Safety mechanism]], Table3[], 3,FALSE)</f>
        <v>-</v>
      </c>
      <c r="O9" s="16">
        <f>VLOOKUP(Table26[[#This Row],[Applicable Safety mechanism]], Table3[], 6,FALSE)</f>
        <v>0</v>
      </c>
      <c r="P9" s="126">
        <f>IF(Table26[[#This Row],[Failure mode that has the potential to violate the safety goal in absence of safety mechanism?]]="Yes", Table26[[#This Row],[Failure mode rate]]*(1-Table26[[#This Row],[Failure mode coverage wrt. violation of safety goals]]), 0)</f>
        <v>0</v>
      </c>
      <c r="Q9" s="318" t="s">
        <v>36</v>
      </c>
      <c r="R9" s="122"/>
      <c r="S9" s="324"/>
      <c r="T9" s="68"/>
      <c r="U9" s="16"/>
      <c r="V9" s="127">
        <f>IF(Table26[[#This Row],[Failure mode that may lead to the violation of safety goals in combination with an independent failure of another block ?]]="Yes",(1-Table26[[#This Row],[Failure mode coverage with respect to latent failures]])*Table26[[#This Row],[Failure mode rate]], 0)</f>
        <v>0</v>
      </c>
      <c r="W9" s="123"/>
      <c r="X9" s="339"/>
      <c r="Y9" s="21">
        <f>IF(Table26[[#This Row],[SR]]="Yes",Table26[[#This Row],[λ]], 0)</f>
        <v>0</v>
      </c>
    </row>
    <row r="10" spans="1:25" outlineLevel="1">
      <c r="A10" s="128" t="s">
        <v>842</v>
      </c>
      <c r="B10" s="123" t="s">
        <v>3</v>
      </c>
      <c r="C10" s="123" t="s">
        <v>26</v>
      </c>
      <c r="D10" s="123"/>
      <c r="E10" s="123"/>
      <c r="F10" s="125">
        <f>VLOOKUP(Table26[Function], Table1[], 5, FALSE)</f>
        <v>8.9517882504841815</v>
      </c>
      <c r="G10" s="19" t="s">
        <v>31</v>
      </c>
      <c r="H10" s="318" t="s">
        <v>36</v>
      </c>
      <c r="I10" s="122" t="s">
        <v>63</v>
      </c>
      <c r="J10" s="124">
        <v>9.8000000000000004E-2</v>
      </c>
      <c r="K10" s="125">
        <f>Table26[[#This Row],[λ]]*Table26[[#This Row],[Failure rate distribution]]</f>
        <v>0.87727524854744987</v>
      </c>
      <c r="L10" s="318" t="s">
        <v>63</v>
      </c>
      <c r="M10" s="20" t="str">
        <f>VLOOKUP(Table26[[#This Row],[Applicable Safety mechanism]],Table3[],2,FALSE)</f>
        <v>Not applicable</v>
      </c>
      <c r="N10" s="21" t="str">
        <f>VLOOKUP(Table26[[#This Row],[Applicable Safety mechanism]], Table3[], 3,FALSE)</f>
        <v>-</v>
      </c>
      <c r="O10" s="16">
        <f>VLOOKUP(Table26[[#This Row],[Applicable Safety mechanism]], Table3[], 6,FALSE)</f>
        <v>0</v>
      </c>
      <c r="P10" s="126">
        <f>IF(Table26[[#This Row],[Failure mode that has the potential to violate the safety goal in absence of safety mechanism?]]="Yes", Table26[[#This Row],[Failure mode rate]]*(1-Table26[[#This Row],[Failure mode coverage wrt. violation of safety goals]]), 0)</f>
        <v>0</v>
      </c>
      <c r="Q10" s="318" t="s">
        <v>36</v>
      </c>
      <c r="R10" s="122"/>
      <c r="S10" s="324"/>
      <c r="T10" s="68"/>
      <c r="U10" s="16"/>
      <c r="V10" s="127">
        <f>IF(Table26[[#This Row],[Failure mode that may lead to the violation of safety goals in combination with an independent failure of another block ?]]="Yes",(1-Table26[[#This Row],[Failure mode coverage with respect to latent failures]])*Table26[[#This Row],[Failure mode rate]], 0)</f>
        <v>0</v>
      </c>
      <c r="W10" s="123"/>
      <c r="X10" s="339"/>
      <c r="Y10" s="21">
        <f>IF(Table26[[#This Row],[SR]]="Yes",Table26[[#This Row],[λ]], 0)</f>
        <v>0</v>
      </c>
    </row>
    <row r="11" spans="1:25" outlineLevel="1">
      <c r="A11" s="18" t="s">
        <v>843</v>
      </c>
      <c r="B11" s="123" t="s">
        <v>3</v>
      </c>
      <c r="C11" s="123" t="s">
        <v>26</v>
      </c>
      <c r="D11" s="123"/>
      <c r="E11" s="123"/>
      <c r="F11" s="125">
        <f>VLOOKUP(Table26[Function], Table1[], 5, FALSE)</f>
        <v>8.9517882504841815</v>
      </c>
      <c r="G11" s="19" t="s">
        <v>32</v>
      </c>
      <c r="H11" s="318" t="s">
        <v>36</v>
      </c>
      <c r="I11" s="122" t="s">
        <v>63</v>
      </c>
      <c r="J11" s="124">
        <v>9.8000000000000004E-2</v>
      </c>
      <c r="K11" s="125">
        <f>Table26[[#This Row],[λ]]*Table26[[#This Row],[Failure rate distribution]]</f>
        <v>0.87727524854744987</v>
      </c>
      <c r="L11" s="318" t="s">
        <v>63</v>
      </c>
      <c r="M11" s="20" t="str">
        <f>VLOOKUP(Table26[[#This Row],[Applicable Safety mechanism]],Table3[],2,FALSE)</f>
        <v>Not applicable</v>
      </c>
      <c r="N11" s="21" t="str">
        <f>VLOOKUP(Table26[[#This Row],[Applicable Safety mechanism]], Table3[], 3,FALSE)</f>
        <v>-</v>
      </c>
      <c r="O11" s="16">
        <f>VLOOKUP(Table26[[#This Row],[Applicable Safety mechanism]], Table3[], 6,FALSE)</f>
        <v>0</v>
      </c>
      <c r="P11" s="126">
        <f>IF(Table26[[#This Row],[Failure mode that has the potential to violate the safety goal in absence of safety mechanism?]]="Yes", Table26[[#This Row],[Failure mode rate]]*(1-Table26[[#This Row],[Failure mode coverage wrt. violation of safety goals]]), 0)</f>
        <v>0</v>
      </c>
      <c r="Q11" s="318" t="s">
        <v>36</v>
      </c>
      <c r="R11" s="122"/>
      <c r="S11" s="324"/>
      <c r="T11" s="68"/>
      <c r="U11" s="16"/>
      <c r="V11" s="127">
        <f>IF(Table26[[#This Row],[Failure mode that may lead to the violation of safety goals in combination with an independent failure of another block ?]]="Yes",(1-Table26[[#This Row],[Failure mode coverage with respect to latent failures]])*Table26[[#This Row],[Failure mode rate]], 0)</f>
        <v>0</v>
      </c>
      <c r="W11" s="123"/>
      <c r="X11" s="339"/>
      <c r="Y11" s="21">
        <f>IF(Table26[[#This Row],[SR]]="Yes",Table26[[#This Row],[λ]], 0)</f>
        <v>0</v>
      </c>
    </row>
    <row r="12" spans="1:25" outlineLevel="1">
      <c r="A12" s="128" t="s">
        <v>844</v>
      </c>
      <c r="B12" s="123" t="s">
        <v>3</v>
      </c>
      <c r="C12" s="123" t="s">
        <v>26</v>
      </c>
      <c r="D12" s="123"/>
      <c r="E12" s="123"/>
      <c r="F12" s="125">
        <f>VLOOKUP(Table26[Function], Table1[], 5, FALSE)</f>
        <v>8.9517882504841815</v>
      </c>
      <c r="G12" s="19" t="s">
        <v>33</v>
      </c>
      <c r="H12" s="318" t="s">
        <v>36</v>
      </c>
      <c r="I12" s="122" t="s">
        <v>63</v>
      </c>
      <c r="J12" s="124">
        <v>9.8000000000000004E-2</v>
      </c>
      <c r="K12" s="125">
        <f>Table26[[#This Row],[λ]]*Table26[[#This Row],[Failure rate distribution]]</f>
        <v>0.87727524854744987</v>
      </c>
      <c r="L12" s="318" t="s">
        <v>63</v>
      </c>
      <c r="M12" s="20" t="str">
        <f>VLOOKUP(Table26[[#This Row],[Applicable Safety mechanism]],Table3[],2,FALSE)</f>
        <v>Not applicable</v>
      </c>
      <c r="N12" s="21" t="str">
        <f>VLOOKUP(Table26[[#This Row],[Applicable Safety mechanism]], Table3[], 3,FALSE)</f>
        <v>-</v>
      </c>
      <c r="O12" s="16">
        <f>VLOOKUP(Table26[[#This Row],[Applicable Safety mechanism]], Table3[], 6,FALSE)</f>
        <v>0</v>
      </c>
      <c r="P12" s="126">
        <f>IF(Table26[[#This Row],[Failure mode that has the potential to violate the safety goal in absence of safety mechanism?]]="Yes", Table26[[#This Row],[Failure mode rate]]*(1-Table26[[#This Row],[Failure mode coverage wrt. violation of safety goals]]), 0)</f>
        <v>0</v>
      </c>
      <c r="Q12" s="318" t="s">
        <v>36</v>
      </c>
      <c r="R12" s="122"/>
      <c r="S12" s="324"/>
      <c r="T12" s="68"/>
      <c r="U12" s="16"/>
      <c r="V12" s="127">
        <f>IF(Table26[[#This Row],[Failure mode that may lead to the violation of safety goals in combination with an independent failure of another block ?]]="Yes",(1-Table26[[#This Row],[Failure mode coverage with respect to latent failures]])*Table26[[#This Row],[Failure mode rate]], 0)</f>
        <v>0</v>
      </c>
      <c r="W12" s="123"/>
      <c r="X12" s="339"/>
      <c r="Y12" s="21">
        <f>IF(Table26[[#This Row],[SR]]="Yes",Table26[[#This Row],[λ]], 0)</f>
        <v>0</v>
      </c>
    </row>
    <row r="13" spans="1:25" outlineLevel="1">
      <c r="A13" s="18" t="s">
        <v>845</v>
      </c>
      <c r="B13" s="123" t="s">
        <v>3</v>
      </c>
      <c r="C13" s="123" t="s">
        <v>26</v>
      </c>
      <c r="D13" s="123"/>
      <c r="E13" s="123"/>
      <c r="F13" s="125">
        <f>VLOOKUP(Table26[Function], Table1[], 5, FALSE)</f>
        <v>8.9517882504841815</v>
      </c>
      <c r="G13" s="19" t="s">
        <v>34</v>
      </c>
      <c r="H13" s="318" t="s">
        <v>36</v>
      </c>
      <c r="I13" s="122" t="s">
        <v>63</v>
      </c>
      <c r="J13" s="124">
        <v>9.8000000000000004E-2</v>
      </c>
      <c r="K13" s="125">
        <f>Table26[[#This Row],[λ]]*Table26[[#This Row],[Failure rate distribution]]</f>
        <v>0.87727524854744987</v>
      </c>
      <c r="L13" s="318" t="s">
        <v>63</v>
      </c>
      <c r="M13" s="20" t="str">
        <f>VLOOKUP(Table26[[#This Row],[Applicable Safety mechanism]],Table3[],2,FALSE)</f>
        <v>Not applicable</v>
      </c>
      <c r="N13" s="21" t="str">
        <f>VLOOKUP(Table26[[#This Row],[Applicable Safety mechanism]], Table3[], 3,FALSE)</f>
        <v>-</v>
      </c>
      <c r="O13" s="16">
        <f>VLOOKUP(Table26[[#This Row],[Applicable Safety mechanism]], Table3[], 6,FALSE)</f>
        <v>0</v>
      </c>
      <c r="P13" s="126">
        <f>IF(Table26[[#This Row],[Failure mode that has the potential to violate the safety goal in absence of safety mechanism?]]="Yes", Table26[[#This Row],[Failure mode rate]]*(1-Table26[[#This Row],[Failure mode coverage wrt. violation of safety goals]]), 0)</f>
        <v>0</v>
      </c>
      <c r="Q13" s="318" t="s">
        <v>36</v>
      </c>
      <c r="R13" s="122"/>
      <c r="S13" s="324"/>
      <c r="T13" s="68"/>
      <c r="U13" s="16"/>
      <c r="V13" s="127">
        <f>IF(Table26[[#This Row],[Failure mode that may lead to the violation of safety goals in combination with an independent failure of another block ?]]="Yes",(1-Table26[[#This Row],[Failure mode coverage with respect to latent failures]])*Table26[[#This Row],[Failure mode rate]], 0)</f>
        <v>0</v>
      </c>
      <c r="W13" s="123"/>
      <c r="X13" s="339"/>
      <c r="Y13" s="21">
        <f>IF(Table26[[#This Row],[SR]]="Yes",Table26[[#This Row],[λ]], 0)</f>
        <v>0</v>
      </c>
    </row>
    <row r="14" spans="1:25" ht="28.8" outlineLevel="1">
      <c r="A14" s="128" t="s">
        <v>846</v>
      </c>
      <c r="B14" s="123" t="s">
        <v>3</v>
      </c>
      <c r="C14" s="123" t="s">
        <v>26</v>
      </c>
      <c r="D14" s="123"/>
      <c r="E14" s="123"/>
      <c r="F14" s="125">
        <f>VLOOKUP(Table26[Function], Table1[], 5, FALSE)</f>
        <v>8.9517882504841815</v>
      </c>
      <c r="G14" s="19" t="s">
        <v>372</v>
      </c>
      <c r="H14" s="318" t="s">
        <v>35</v>
      </c>
      <c r="I14" s="122" t="s">
        <v>462</v>
      </c>
      <c r="J14" s="178">
        <v>0.01</v>
      </c>
      <c r="K14" s="125">
        <f>Table26[[#This Row],[λ]]*Table26[[#This Row],[Failure rate distribution]]</f>
        <v>8.9517882504841814E-2</v>
      </c>
      <c r="L14" s="318" t="s">
        <v>63</v>
      </c>
      <c r="M14" s="20" t="str">
        <f>VLOOKUP(Table26[[#This Row],[Applicable Safety mechanism]],Table3[],2,FALSE)</f>
        <v>Not applicable</v>
      </c>
      <c r="N14" s="21" t="str">
        <f>VLOOKUP(Table26[[#This Row],[Applicable Safety mechanism]], Table3[], 3,FALSE)</f>
        <v>-</v>
      </c>
      <c r="O14" s="16">
        <f>VLOOKUP(Table26[[#This Row],[Applicable Safety mechanism]], Table3[], 6,FALSE)</f>
        <v>0</v>
      </c>
      <c r="P14" s="126">
        <f>IF(Table26[[#This Row],[Failure mode that has the potential to violate the safety goal in absence of safety mechanism?]]="Yes", Table26[[#This Row],[Failure mode rate]]*(1-Table26[[#This Row],[Failure mode coverage wrt. violation of safety goals]]), 0)</f>
        <v>8.9517882504841814E-2</v>
      </c>
      <c r="Q14" s="318" t="s">
        <v>36</v>
      </c>
      <c r="R14" s="122"/>
      <c r="S14" s="324"/>
      <c r="T14" s="68"/>
      <c r="U14" s="16"/>
      <c r="V14" s="127">
        <f>IF(Table26[[#This Row],[Failure mode that may lead to the violation of safety goals in combination with an independent failure of another block ?]]="Yes",(1-Table26[[#This Row],[Failure mode coverage with respect to latent failures]])*Table26[[#This Row],[Failure mode rate]], 0)</f>
        <v>0</v>
      </c>
      <c r="W14" s="123"/>
      <c r="X14" s="339"/>
      <c r="Y14" s="21">
        <f>IF(Table26[[#This Row],[SR]]="Yes",Table26[[#This Row],[λ]], 0)</f>
        <v>0</v>
      </c>
    </row>
    <row r="15" spans="1:25" ht="28.8" outlineLevel="1">
      <c r="A15" s="18" t="s">
        <v>847</v>
      </c>
      <c r="B15" s="123" t="s">
        <v>3</v>
      </c>
      <c r="C15" s="123" t="s">
        <v>26</v>
      </c>
      <c r="D15" s="123"/>
      <c r="E15" s="123"/>
      <c r="F15" s="125">
        <f>VLOOKUP(Table26[Function], Table1[], 5, FALSE)</f>
        <v>8.9517882504841815</v>
      </c>
      <c r="G15" s="19" t="s">
        <v>374</v>
      </c>
      <c r="H15" s="318" t="s">
        <v>35</v>
      </c>
      <c r="I15" s="122" t="s">
        <v>462</v>
      </c>
      <c r="J15" s="178">
        <v>0.01</v>
      </c>
      <c r="K15" s="125">
        <f>Table26[[#This Row],[λ]]*Table26[[#This Row],[Failure rate distribution]]</f>
        <v>8.9517882504841814E-2</v>
      </c>
      <c r="L15" s="318" t="s">
        <v>53</v>
      </c>
      <c r="M15" s="20" t="str">
        <f>VLOOKUP(Table26[[#This Row],[Applicable Safety mechanism]],Table3[],2,FALSE)</f>
        <v>Error Detection Correction Code (EDC)</v>
      </c>
      <c r="N15" s="21" t="str">
        <f>VLOOKUP(Table26[[#This Row],[Applicable Safety mechanism]], Table3[], 3,FALSE)</f>
        <v>D.2.4.1</v>
      </c>
      <c r="O15" s="16">
        <f>VLOOKUP(Table26[[#This Row],[Applicable Safety mechanism]], Table3[], 6,FALSE)</f>
        <v>0.6</v>
      </c>
      <c r="P15" s="126">
        <f>IF(Table26[[#This Row],[Failure mode that has the potential to violate the safety goal in absence of safety mechanism?]]="Yes", Table26[[#This Row],[Failure mode rate]]*(1-Table26[[#This Row],[Failure mode coverage wrt. violation of safety goals]]), 0)</f>
        <v>3.580715300193673E-2</v>
      </c>
      <c r="Q15" s="318" t="s">
        <v>36</v>
      </c>
      <c r="R15" s="122"/>
      <c r="S15" s="324"/>
      <c r="T15" s="68"/>
      <c r="U15" s="16"/>
      <c r="V15" s="127">
        <f>IF(Table26[[#This Row],[Failure mode that may lead to the violation of safety goals in combination with an independent failure of another block ?]]="Yes",(1-Table26[[#This Row],[Failure mode coverage with respect to latent failures]])*Table26[[#This Row],[Failure mode rate]], 0)</f>
        <v>0</v>
      </c>
      <c r="W15" s="123"/>
      <c r="X15" s="339"/>
      <c r="Y15" s="21">
        <f>IF(Table26[[#This Row],[SR]]="Yes",Table26[[#This Row],[λ]], 0)</f>
        <v>0</v>
      </c>
    </row>
    <row r="16" spans="1:25">
      <c r="A16" s="128" t="s">
        <v>848</v>
      </c>
      <c r="B16" s="24" t="s">
        <v>3</v>
      </c>
      <c r="C16" s="24" t="s">
        <v>26</v>
      </c>
      <c r="D16" s="122" t="s">
        <v>63</v>
      </c>
      <c r="E16" s="122"/>
      <c r="F16" s="125">
        <f>VLOOKUP(Table26[Function], Table1[], 5, FALSE)</f>
        <v>8.9517882504841815</v>
      </c>
      <c r="G16" s="122" t="s">
        <v>63</v>
      </c>
      <c r="H16" s="318" t="s">
        <v>63</v>
      </c>
      <c r="I16" s="122" t="s">
        <v>63</v>
      </c>
      <c r="J16" s="122" t="s">
        <v>63</v>
      </c>
      <c r="K16" s="125" t="s">
        <v>63</v>
      </c>
      <c r="L16" s="318" t="s">
        <v>63</v>
      </c>
      <c r="M16" s="122" t="s">
        <v>63</v>
      </c>
      <c r="N16" s="122" t="s">
        <v>63</v>
      </c>
      <c r="O16" s="122" t="s">
        <v>63</v>
      </c>
      <c r="P16" s="122" t="s">
        <v>63</v>
      </c>
      <c r="Q16" s="318" t="s">
        <v>63</v>
      </c>
      <c r="R16" s="122"/>
      <c r="S16" s="318"/>
      <c r="T16" s="170"/>
      <c r="U16" s="122"/>
      <c r="V16" s="122"/>
      <c r="W16" s="122"/>
      <c r="X16" s="339"/>
      <c r="Y16" s="21"/>
    </row>
    <row r="17" spans="1:25" ht="129.6" outlineLevel="1">
      <c r="A17" s="18" t="s">
        <v>849</v>
      </c>
      <c r="B17" s="123" t="s">
        <v>4</v>
      </c>
      <c r="C17" s="123" t="s">
        <v>61</v>
      </c>
      <c r="D17" s="123" t="s">
        <v>197</v>
      </c>
      <c r="E17" s="123" t="s">
        <v>193</v>
      </c>
      <c r="F17" s="125">
        <f>VLOOKUP(Table26[Function], Table1[], 5, FALSE)</f>
        <v>12.533195610071012</v>
      </c>
      <c r="G17" s="19" t="s">
        <v>27</v>
      </c>
      <c r="H17" s="318" t="s">
        <v>36</v>
      </c>
      <c r="I17" s="122" t="s">
        <v>63</v>
      </c>
      <c r="J17" s="124">
        <f t="shared" ref="J17:J24" si="0">1/8</f>
        <v>0.125</v>
      </c>
      <c r="K17" s="125">
        <f>Table26[[#This Row],[λ]]*Table26[[#This Row],[Failure rate distribution]]</f>
        <v>1.5666494512588764</v>
      </c>
      <c r="L17" s="318" t="s">
        <v>63</v>
      </c>
      <c r="M17" s="20" t="str">
        <f>VLOOKUP(Table26[[#This Row],[Applicable Safety mechanism]],Table3[],2,FALSE)</f>
        <v>Not applicable</v>
      </c>
      <c r="N17" s="21" t="str">
        <f>VLOOKUP(Table26[[#This Row],[Applicable Safety mechanism]], Table3[], 3,FALSE)</f>
        <v>-</v>
      </c>
      <c r="O17" s="16">
        <f>VLOOKUP(Table26[[#This Row],[Applicable Safety mechanism]], Table3[], 6,FALSE)</f>
        <v>0</v>
      </c>
      <c r="P17" s="126">
        <f>IF(Table26[[#This Row],[Failure mode that has the potential to violate the safety goal in absence of safety mechanism?]]="Yes", Table26[[#This Row],[Failure mode rate]]*(1-Table26[[#This Row],[Failure mode coverage wrt. violation of safety goals]]), 0)</f>
        <v>0</v>
      </c>
      <c r="Q17" s="318" t="s">
        <v>36</v>
      </c>
      <c r="R17" s="122"/>
      <c r="S17" s="318"/>
      <c r="T17" s="170"/>
      <c r="U17" s="16"/>
      <c r="V17" s="127">
        <f>IF(Table26[[#This Row],[Failure mode that may lead to the violation of safety goals in combination with an independent failure of another block ?]]="Yes",(1-Table26[[#This Row],[Failure mode coverage with respect to latent failures]])*Table26[[#This Row],[Failure mode rate]], 0)</f>
        <v>0</v>
      </c>
      <c r="W17" s="123"/>
      <c r="X17" s="339" t="s">
        <v>35</v>
      </c>
      <c r="Y17" s="125">
        <f>IF(Table26[[#This Row],[SR]]="Yes",Table26[[#This Row],[λ]], 0)</f>
        <v>12.533195610071012</v>
      </c>
    </row>
    <row r="18" spans="1:25" outlineLevel="1">
      <c r="A18" s="128" t="s">
        <v>850</v>
      </c>
      <c r="B18" s="123" t="s">
        <v>4</v>
      </c>
      <c r="C18" s="123" t="s">
        <v>61</v>
      </c>
      <c r="D18" s="123"/>
      <c r="E18" s="123"/>
      <c r="F18" s="125">
        <f>VLOOKUP(Table26[Function], Table1[], 5, FALSE)</f>
        <v>12.533195610071012</v>
      </c>
      <c r="G18" s="19" t="s">
        <v>28</v>
      </c>
      <c r="H18" s="318" t="s">
        <v>36</v>
      </c>
      <c r="I18" s="122" t="s">
        <v>63</v>
      </c>
      <c r="J18" s="124">
        <f t="shared" si="0"/>
        <v>0.125</v>
      </c>
      <c r="K18" s="125">
        <f>Table26[[#This Row],[λ]]*Table26[[#This Row],[Failure rate distribution]]</f>
        <v>1.5666494512588764</v>
      </c>
      <c r="L18" s="318" t="s">
        <v>63</v>
      </c>
      <c r="M18" s="20" t="str">
        <f>VLOOKUP(Table26[[#This Row],[Applicable Safety mechanism]],Table3[],2,FALSE)</f>
        <v>Not applicable</v>
      </c>
      <c r="N18" s="21" t="str">
        <f>VLOOKUP(Table26[[#This Row],[Applicable Safety mechanism]], Table3[], 3,FALSE)</f>
        <v>-</v>
      </c>
      <c r="O18" s="16">
        <f>VLOOKUP(Table26[[#This Row],[Applicable Safety mechanism]], Table3[], 6,FALSE)</f>
        <v>0</v>
      </c>
      <c r="P18" s="126">
        <f>IF(Table26[[#This Row],[Failure mode that has the potential to violate the safety goal in absence of safety mechanism?]]="Yes", Table26[[#This Row],[Failure mode rate]]*(1-Table26[[#This Row],[Failure mode coverage wrt. violation of safety goals]]), 0)</f>
        <v>0</v>
      </c>
      <c r="Q18" s="318" t="s">
        <v>36</v>
      </c>
      <c r="R18" s="122"/>
      <c r="S18" s="318"/>
      <c r="T18" s="170"/>
      <c r="U18" s="16"/>
      <c r="V18" s="127">
        <f>IF(Table26[[#This Row],[Failure mode that may lead to the violation of safety goals in combination with an independent failure of another block ?]]="Yes",(1-Table26[[#This Row],[Failure mode coverage with respect to latent failures]])*Table26[[#This Row],[Failure mode rate]], 0)</f>
        <v>0</v>
      </c>
      <c r="W18" s="123"/>
      <c r="X18" s="339"/>
      <c r="Y18" s="21">
        <f>IF(Table26[[#This Row],[SR]]="Yes",Table26[[#This Row],[λ]], 0)</f>
        <v>0</v>
      </c>
    </row>
    <row r="19" spans="1:25" outlineLevel="1">
      <c r="A19" s="18" t="s">
        <v>851</v>
      </c>
      <c r="B19" s="123" t="s">
        <v>4</v>
      </c>
      <c r="C19" s="123" t="s">
        <v>61</v>
      </c>
      <c r="D19" s="123"/>
      <c r="E19" s="123"/>
      <c r="F19" s="125">
        <f>VLOOKUP(Table26[Function], Table1[], 5, FALSE)</f>
        <v>12.533195610071012</v>
      </c>
      <c r="G19" s="19" t="s">
        <v>64</v>
      </c>
      <c r="H19" s="318" t="s">
        <v>36</v>
      </c>
      <c r="I19" s="122" t="s">
        <v>63</v>
      </c>
      <c r="J19" s="124">
        <f t="shared" si="0"/>
        <v>0.125</v>
      </c>
      <c r="K19" s="125">
        <f>Table26[[#This Row],[λ]]*Table26[[#This Row],[Failure rate distribution]]</f>
        <v>1.5666494512588764</v>
      </c>
      <c r="L19" s="318" t="s">
        <v>63</v>
      </c>
      <c r="M19" s="20" t="str">
        <f>VLOOKUP(Table26[[#This Row],[Applicable Safety mechanism]],Table3[],2,FALSE)</f>
        <v>Not applicable</v>
      </c>
      <c r="N19" s="21" t="str">
        <f>VLOOKUP(Table26[[#This Row],[Applicable Safety mechanism]], Table3[], 3,FALSE)</f>
        <v>-</v>
      </c>
      <c r="O19" s="16">
        <f>VLOOKUP(Table26[[#This Row],[Applicable Safety mechanism]], Table3[], 6,FALSE)</f>
        <v>0</v>
      </c>
      <c r="P19" s="126">
        <f>IF(Table26[[#This Row],[Failure mode that has the potential to violate the safety goal in absence of safety mechanism?]]="Yes", Table26[[#This Row],[Failure mode rate]]*(1-Table26[[#This Row],[Failure mode coverage wrt. violation of safety goals]]), 0)</f>
        <v>0</v>
      </c>
      <c r="Q19" s="318" t="s">
        <v>36</v>
      </c>
      <c r="R19" s="122"/>
      <c r="S19" s="318"/>
      <c r="T19" s="170"/>
      <c r="U19" s="16"/>
      <c r="V19" s="127">
        <f>IF(Table26[[#This Row],[Failure mode that may lead to the violation of safety goals in combination with an independent failure of another block ?]]="Yes",(1-Table26[[#This Row],[Failure mode coverage with respect to latent failures]])*Table26[[#This Row],[Failure mode rate]], 0)</f>
        <v>0</v>
      </c>
      <c r="W19" s="123"/>
      <c r="X19" s="339"/>
      <c r="Y19" s="21">
        <f>IF(Table26[[#This Row],[SR]]="Yes",Table26[[#This Row],[λ]], 0)</f>
        <v>0</v>
      </c>
    </row>
    <row r="20" spans="1:25" outlineLevel="1">
      <c r="A20" s="128" t="s">
        <v>852</v>
      </c>
      <c r="B20" s="123" t="s">
        <v>4</v>
      </c>
      <c r="C20" s="123" t="s">
        <v>61</v>
      </c>
      <c r="D20" s="123"/>
      <c r="E20" s="123"/>
      <c r="F20" s="125">
        <f>VLOOKUP(Table26[Function], Table1[], 5, FALSE)</f>
        <v>12.533195610071012</v>
      </c>
      <c r="G20" s="19" t="s">
        <v>65</v>
      </c>
      <c r="H20" s="318" t="s">
        <v>36</v>
      </c>
      <c r="I20" s="122" t="s">
        <v>63</v>
      </c>
      <c r="J20" s="124">
        <f t="shared" si="0"/>
        <v>0.125</v>
      </c>
      <c r="K20" s="125">
        <f>Table26[[#This Row],[λ]]*Table26[[#This Row],[Failure rate distribution]]</f>
        <v>1.5666494512588764</v>
      </c>
      <c r="L20" s="318" t="s">
        <v>63</v>
      </c>
      <c r="M20" s="20" t="str">
        <f>VLOOKUP(Table26[[#This Row],[Applicable Safety mechanism]],Table3[],2,FALSE)</f>
        <v>Not applicable</v>
      </c>
      <c r="N20" s="21" t="str">
        <f>VLOOKUP(Table26[[#This Row],[Applicable Safety mechanism]], Table3[], 3,FALSE)</f>
        <v>-</v>
      </c>
      <c r="O20" s="16">
        <f>VLOOKUP(Table26[[#This Row],[Applicable Safety mechanism]], Table3[], 6,FALSE)</f>
        <v>0</v>
      </c>
      <c r="P20" s="126">
        <f>IF(Table26[[#This Row],[Failure mode that has the potential to violate the safety goal in absence of safety mechanism?]]="Yes", Table26[[#This Row],[Failure mode rate]]*(1-Table26[[#This Row],[Failure mode coverage wrt. violation of safety goals]]), 0)</f>
        <v>0</v>
      </c>
      <c r="Q20" s="318" t="s">
        <v>36</v>
      </c>
      <c r="R20" s="122"/>
      <c r="S20" s="318"/>
      <c r="T20" s="170"/>
      <c r="U20" s="16"/>
      <c r="V20" s="127">
        <f>IF(Table26[[#This Row],[Failure mode that may lead to the violation of safety goals in combination with an independent failure of another block ?]]="Yes",(1-Table26[[#This Row],[Failure mode coverage with respect to latent failures]])*Table26[[#This Row],[Failure mode rate]], 0)</f>
        <v>0</v>
      </c>
      <c r="W20" s="123"/>
      <c r="X20" s="339"/>
      <c r="Y20" s="21">
        <f>IF(Table26[[#This Row],[SR]]="Yes",Table26[[#This Row],[λ]], 0)</f>
        <v>0</v>
      </c>
    </row>
    <row r="21" spans="1:25" outlineLevel="1">
      <c r="A21" s="18" t="s">
        <v>853</v>
      </c>
      <c r="B21" s="123" t="s">
        <v>4</v>
      </c>
      <c r="C21" s="123" t="s">
        <v>61</v>
      </c>
      <c r="D21" s="123"/>
      <c r="E21" s="123"/>
      <c r="F21" s="125">
        <f>VLOOKUP(Table26[Function], Table1[], 5, FALSE)</f>
        <v>12.533195610071012</v>
      </c>
      <c r="G21" s="19" t="s">
        <v>69</v>
      </c>
      <c r="H21" s="318" t="s">
        <v>36</v>
      </c>
      <c r="I21" s="122" t="s">
        <v>63</v>
      </c>
      <c r="J21" s="124">
        <f t="shared" si="0"/>
        <v>0.125</v>
      </c>
      <c r="K21" s="125">
        <f>Table26[[#This Row],[λ]]*Table26[[#This Row],[Failure rate distribution]]</f>
        <v>1.5666494512588764</v>
      </c>
      <c r="L21" s="318" t="s">
        <v>63</v>
      </c>
      <c r="M21" s="20" t="str">
        <f>VLOOKUP(Table26[[#This Row],[Applicable Safety mechanism]],Table3[],2,FALSE)</f>
        <v>Not applicable</v>
      </c>
      <c r="N21" s="21" t="str">
        <f>VLOOKUP(Table26[[#This Row],[Applicable Safety mechanism]], Table3[], 3,FALSE)</f>
        <v>-</v>
      </c>
      <c r="O21" s="16">
        <f>VLOOKUP(Table26[[#This Row],[Applicable Safety mechanism]], Table3[], 6,FALSE)</f>
        <v>0</v>
      </c>
      <c r="P21" s="126">
        <f>IF(Table26[[#This Row],[Failure mode that has the potential to violate the safety goal in absence of safety mechanism?]]="Yes", Table26[[#This Row],[Failure mode rate]]*(1-Table26[[#This Row],[Failure mode coverage wrt. violation of safety goals]]), 0)</f>
        <v>0</v>
      </c>
      <c r="Q21" s="318" t="s">
        <v>36</v>
      </c>
      <c r="R21" s="122"/>
      <c r="S21" s="318"/>
      <c r="T21" s="170"/>
      <c r="U21" s="16"/>
      <c r="V21" s="127">
        <f>IF(Table26[[#This Row],[Failure mode that may lead to the violation of safety goals in combination with an independent failure of another block ?]]="Yes",(1-Table26[[#This Row],[Failure mode coverage with respect to latent failures]])*Table26[[#This Row],[Failure mode rate]], 0)</f>
        <v>0</v>
      </c>
      <c r="W21" s="123"/>
      <c r="X21" s="339"/>
      <c r="Y21" s="21">
        <f>IF(Table26[[#This Row],[SR]]="Yes",Table26[[#This Row],[λ]], 0)</f>
        <v>0</v>
      </c>
    </row>
    <row r="22" spans="1:25" outlineLevel="1">
      <c r="A22" s="128" t="s">
        <v>854</v>
      </c>
      <c r="B22" s="123" t="s">
        <v>4</v>
      </c>
      <c r="C22" s="123" t="s">
        <v>61</v>
      </c>
      <c r="D22" s="123"/>
      <c r="E22" s="123"/>
      <c r="F22" s="125">
        <f>VLOOKUP(Table26[Function], Table1[], 5, FALSE)</f>
        <v>12.533195610071012</v>
      </c>
      <c r="G22" s="19" t="s">
        <v>66</v>
      </c>
      <c r="H22" s="318" t="s">
        <v>36</v>
      </c>
      <c r="I22" s="122" t="s">
        <v>63</v>
      </c>
      <c r="J22" s="124">
        <f t="shared" si="0"/>
        <v>0.125</v>
      </c>
      <c r="K22" s="70">
        <f>Table26[[#This Row],[λ]]*Table26[[#This Row],[Failure rate distribution]]</f>
        <v>1.5666494512588764</v>
      </c>
      <c r="L22" s="318" t="s">
        <v>63</v>
      </c>
      <c r="M22" s="26" t="str">
        <f>VLOOKUP(Table26[[#This Row],[Applicable Safety mechanism]],Table3[],2,FALSE)</f>
        <v>Not applicable</v>
      </c>
      <c r="N22" s="27" t="str">
        <f>VLOOKUP(Table26[[#This Row],[Applicable Safety mechanism]], Table3[], 3,FALSE)</f>
        <v>-</v>
      </c>
      <c r="O22" s="28">
        <f>VLOOKUP(Table26[[#This Row],[Applicable Safety mechanism]], Table3[], 6,FALSE)</f>
        <v>0</v>
      </c>
      <c r="P22" s="29">
        <f>IF(Table26[[#This Row],[Failure mode that has the potential to violate the safety goal in absence of safety mechanism?]]="Yes", Table26[[#This Row],[Failure mode rate]]*(1-Table26[[#This Row],[Failure mode coverage wrt. violation of safety goals]]), 0)</f>
        <v>0</v>
      </c>
      <c r="Q22" s="318" t="s">
        <v>36</v>
      </c>
      <c r="R22" s="122"/>
      <c r="S22" s="318"/>
      <c r="T22" s="170"/>
      <c r="U22" s="16"/>
      <c r="V22" s="127">
        <f>IF(Table26[[#This Row],[Failure mode that may lead to the violation of safety goals in combination with an independent failure of another block ?]]="Yes",(1-Table26[[#This Row],[Failure mode coverage with respect to latent failures]])*Table26[[#This Row],[Failure mode rate]], 0)</f>
        <v>0</v>
      </c>
      <c r="W22" s="123"/>
      <c r="X22" s="339"/>
      <c r="Y22" s="21">
        <f>IF(Table26[[#This Row],[SR]]="Yes",Table26[[#This Row],[λ]], 0)</f>
        <v>0</v>
      </c>
    </row>
    <row r="23" spans="1:25" outlineLevel="1">
      <c r="A23" s="18" t="s">
        <v>855</v>
      </c>
      <c r="B23" s="123" t="s">
        <v>4</v>
      </c>
      <c r="C23" s="123" t="s">
        <v>61</v>
      </c>
      <c r="D23" s="123"/>
      <c r="E23" s="123"/>
      <c r="F23" s="125">
        <f>VLOOKUP(Table26[Function], Table1[], 5, FALSE)</f>
        <v>12.533195610071012</v>
      </c>
      <c r="G23" s="19" t="s">
        <v>67</v>
      </c>
      <c r="H23" s="318" t="s">
        <v>36</v>
      </c>
      <c r="I23" s="122" t="s">
        <v>63</v>
      </c>
      <c r="J23" s="124">
        <f t="shared" si="0"/>
        <v>0.125</v>
      </c>
      <c r="K23" s="125">
        <f>Table26[[#This Row],[λ]]*Table26[[#This Row],[Failure rate distribution]]</f>
        <v>1.5666494512588764</v>
      </c>
      <c r="L23" s="318" t="s">
        <v>63</v>
      </c>
      <c r="M23" s="20" t="str">
        <f>VLOOKUP(Table26[[#This Row],[Applicable Safety mechanism]],Table3[],2,FALSE)</f>
        <v>Not applicable</v>
      </c>
      <c r="N23" s="21" t="str">
        <f>VLOOKUP(Table26[[#This Row],[Applicable Safety mechanism]], Table3[], 3,FALSE)</f>
        <v>-</v>
      </c>
      <c r="O23" s="16">
        <f>VLOOKUP(Table26[[#This Row],[Applicable Safety mechanism]], Table3[], 6,FALSE)</f>
        <v>0</v>
      </c>
      <c r="P23" s="126">
        <f>IF(Table26[[#This Row],[Failure mode that has the potential to violate the safety goal in absence of safety mechanism?]]="Yes", Table26[[#This Row],[Failure mode rate]]*(1-Table26[[#This Row],[Failure mode coverage wrt. violation of safety goals]]), 0)</f>
        <v>0</v>
      </c>
      <c r="Q23" s="318" t="s">
        <v>36</v>
      </c>
      <c r="R23" s="122"/>
      <c r="S23" s="318"/>
      <c r="T23" s="170"/>
      <c r="U23" s="16"/>
      <c r="V23" s="127">
        <f>IF(Table26[[#This Row],[Failure mode that may lead to the violation of safety goals in combination with an independent failure of another block ?]]="Yes",(1-Table26[[#This Row],[Failure mode coverage with respect to latent failures]])*Table26[[#This Row],[Failure mode rate]], 0)</f>
        <v>0</v>
      </c>
      <c r="W23" s="123"/>
      <c r="X23" s="339"/>
      <c r="Y23" s="21">
        <f>IF(Table26[[#This Row],[SR]]="Yes",Table26[[#This Row],[λ]], 0)</f>
        <v>0</v>
      </c>
    </row>
    <row r="24" spans="1:25" outlineLevel="1">
      <c r="A24" s="128" t="s">
        <v>856</v>
      </c>
      <c r="B24" s="123" t="s">
        <v>4</v>
      </c>
      <c r="C24" s="123" t="s">
        <v>61</v>
      </c>
      <c r="D24" s="123"/>
      <c r="E24" s="123"/>
      <c r="F24" s="125">
        <f>VLOOKUP(Table26[Function], Table1[], 5, FALSE)</f>
        <v>12.533195610071012</v>
      </c>
      <c r="G24" s="19" t="s">
        <v>68</v>
      </c>
      <c r="H24" s="318" t="s">
        <v>36</v>
      </c>
      <c r="I24" s="122" t="s">
        <v>63</v>
      </c>
      <c r="J24" s="124">
        <f t="shared" si="0"/>
        <v>0.125</v>
      </c>
      <c r="K24" s="125">
        <f>Table26[[#This Row],[λ]]*Table26[[#This Row],[Failure rate distribution]]</f>
        <v>1.5666494512588764</v>
      </c>
      <c r="L24" s="318" t="s">
        <v>63</v>
      </c>
      <c r="M24" s="20" t="str">
        <f>VLOOKUP(Table26[[#This Row],[Applicable Safety mechanism]],Table3[],2,FALSE)</f>
        <v>Not applicable</v>
      </c>
      <c r="N24" s="21" t="str">
        <f>VLOOKUP(Table26[[#This Row],[Applicable Safety mechanism]], Table3[], 3,FALSE)</f>
        <v>-</v>
      </c>
      <c r="O24" s="16">
        <f>VLOOKUP(Table26[[#This Row],[Applicable Safety mechanism]], Table3[], 6,FALSE)</f>
        <v>0</v>
      </c>
      <c r="P24" s="126">
        <f>IF(Table26[[#This Row],[Failure mode that has the potential to violate the safety goal in absence of safety mechanism?]]="Yes", Table26[[#This Row],[Failure mode rate]]*(1-Table26[[#This Row],[Failure mode coverage wrt. violation of safety goals]]), 0)</f>
        <v>0</v>
      </c>
      <c r="Q24" s="318" t="s">
        <v>36</v>
      </c>
      <c r="R24" s="122"/>
      <c r="S24" s="318"/>
      <c r="T24" s="170"/>
      <c r="U24" s="16"/>
      <c r="V24" s="127">
        <f>IF(Table26[[#This Row],[Failure mode that may lead to the violation of safety goals in combination with an independent failure of another block ?]]="Yes",(1-Table26[[#This Row],[Failure mode coverage with respect to latent failures]])*Table26[[#This Row],[Failure mode rate]], 0)</f>
        <v>0</v>
      </c>
      <c r="W24" s="123"/>
      <c r="X24" s="339"/>
      <c r="Y24" s="21">
        <f>IF(Table26[[#This Row],[SR]]="Yes",Table26[[#This Row],[λ]], 0)</f>
        <v>0</v>
      </c>
    </row>
    <row r="25" spans="1:25">
      <c r="A25" s="18" t="s">
        <v>857</v>
      </c>
      <c r="B25" s="24" t="s">
        <v>4</v>
      </c>
      <c r="C25" s="24" t="s">
        <v>61</v>
      </c>
      <c r="D25" s="122" t="s">
        <v>63</v>
      </c>
      <c r="E25" s="122"/>
      <c r="F25" s="125">
        <f>VLOOKUP(Table26[Function], Table1[], 5, FALSE)</f>
        <v>12.533195610071012</v>
      </c>
      <c r="G25" s="122" t="s">
        <v>63</v>
      </c>
      <c r="H25" s="318" t="s">
        <v>63</v>
      </c>
      <c r="I25" s="122" t="s">
        <v>63</v>
      </c>
      <c r="J25" s="122" t="s">
        <v>63</v>
      </c>
      <c r="K25" s="125" t="s">
        <v>63</v>
      </c>
      <c r="L25" s="318" t="s">
        <v>63</v>
      </c>
      <c r="M25" s="122" t="s">
        <v>63</v>
      </c>
      <c r="N25" s="122" t="s">
        <v>63</v>
      </c>
      <c r="O25" s="122" t="s">
        <v>63</v>
      </c>
      <c r="P25" s="122" t="s">
        <v>63</v>
      </c>
      <c r="Q25" s="318" t="s">
        <v>63</v>
      </c>
      <c r="R25" s="122"/>
      <c r="S25" s="318"/>
      <c r="T25" s="170"/>
      <c r="U25" s="122"/>
      <c r="V25" s="122"/>
      <c r="W25" s="122"/>
      <c r="X25" s="318"/>
      <c r="Y25" s="21"/>
    </row>
    <row r="26" spans="1:25" ht="72" outlineLevel="1">
      <c r="A26" s="128" t="s">
        <v>858</v>
      </c>
      <c r="B26" s="123" t="s">
        <v>5</v>
      </c>
      <c r="C26" s="123" t="s">
        <v>72</v>
      </c>
      <c r="D26" s="123" t="s">
        <v>199</v>
      </c>
      <c r="E26" s="20" t="s">
        <v>200</v>
      </c>
      <c r="F26" s="125">
        <f>VLOOKUP(Table26[Function], Table1[], 5, FALSE)</f>
        <v>2.3876049063912199</v>
      </c>
      <c r="G26" s="19" t="s">
        <v>27</v>
      </c>
      <c r="H26" s="318" t="s">
        <v>36</v>
      </c>
      <c r="I26" s="122" t="s">
        <v>63</v>
      </c>
      <c r="J26" s="124">
        <f t="shared" ref="J26:J44" si="1">1/9</f>
        <v>0.1111111111111111</v>
      </c>
      <c r="K26" s="125">
        <f>Table26[[#This Row],[λ]]*Table26[[#This Row],[Failure rate distribution]]</f>
        <v>0.26528943404346889</v>
      </c>
      <c r="L26" s="318" t="s">
        <v>63</v>
      </c>
      <c r="M26" s="20" t="str">
        <f>VLOOKUP(Table26[[#This Row],[Applicable Safety mechanism]],Table3[],2,FALSE)</f>
        <v>Not applicable</v>
      </c>
      <c r="N26" s="21" t="str">
        <f>VLOOKUP(Table26[[#This Row],[Applicable Safety mechanism]], Table3[], 3,FALSE)</f>
        <v>-</v>
      </c>
      <c r="O26" s="16">
        <f>VLOOKUP(Table26[[#This Row],[Applicable Safety mechanism]], Table3[], 6,FALSE)</f>
        <v>0</v>
      </c>
      <c r="P26" s="126">
        <f>IF(Table26[[#This Row],[Failure mode that has the potential to violate the safety goal in absence of safety mechanism?]]="Yes", Table26[[#This Row],[Failure mode rate]]*(1-Table26[[#This Row],[Failure mode coverage wrt. violation of safety goals]]), 0)</f>
        <v>0</v>
      </c>
      <c r="Q26" s="318" t="s">
        <v>36</v>
      </c>
      <c r="R26" s="122"/>
      <c r="S26" s="318"/>
      <c r="T26" s="170"/>
      <c r="U26" s="16"/>
      <c r="V26" s="127">
        <f>IF(Table26[[#This Row],[Failure mode that may lead to the violation of safety goals in combination with an independent failure of another block ?]]="Yes",(1-Table26[[#This Row],[Failure mode coverage with respect to latent failures]])*Table26[[#This Row],[Failure mode rate]], 0)</f>
        <v>0</v>
      </c>
      <c r="W26" s="123"/>
      <c r="X26" s="339" t="s">
        <v>35</v>
      </c>
      <c r="Y26" s="125">
        <f>IF(Table26[[#This Row],[SR]]="Yes",Table26[[#This Row],[λ]], 0)</f>
        <v>2.3876049063912199</v>
      </c>
    </row>
    <row r="27" spans="1:25" outlineLevel="1">
      <c r="A27" s="18" t="s">
        <v>859</v>
      </c>
      <c r="B27" s="123" t="s">
        <v>5</v>
      </c>
      <c r="C27" s="123" t="s">
        <v>72</v>
      </c>
      <c r="D27" s="123"/>
      <c r="E27" s="123"/>
      <c r="F27" s="125">
        <f>VLOOKUP(Table26[Function], Table1[], 5, FALSE)</f>
        <v>2.3876049063912199</v>
      </c>
      <c r="G27" s="19" t="s">
        <v>28</v>
      </c>
      <c r="H27" s="318" t="s">
        <v>36</v>
      </c>
      <c r="I27" s="122" t="s">
        <v>63</v>
      </c>
      <c r="J27" s="124">
        <f t="shared" si="1"/>
        <v>0.1111111111111111</v>
      </c>
      <c r="K27" s="125">
        <f>Table26[[#This Row],[λ]]*Table26[[#This Row],[Failure rate distribution]]</f>
        <v>0.26528943404346889</v>
      </c>
      <c r="L27" s="318" t="s">
        <v>63</v>
      </c>
      <c r="M27" s="20" t="str">
        <f>VLOOKUP(Table26[[#This Row],[Applicable Safety mechanism]],Table3[],2,FALSE)</f>
        <v>Not applicable</v>
      </c>
      <c r="N27" s="21" t="str">
        <f>VLOOKUP(Table26[[#This Row],[Applicable Safety mechanism]], Table3[], 3,FALSE)</f>
        <v>-</v>
      </c>
      <c r="O27" s="16">
        <f>VLOOKUP(Table26[[#This Row],[Applicable Safety mechanism]], Table3[], 6,FALSE)</f>
        <v>0</v>
      </c>
      <c r="P27" s="126">
        <f>IF(Table26[[#This Row],[Failure mode that has the potential to violate the safety goal in absence of safety mechanism?]]="Yes", Table26[[#This Row],[Failure mode rate]]*(1-Table26[[#This Row],[Failure mode coverage wrt. violation of safety goals]]), 0)</f>
        <v>0</v>
      </c>
      <c r="Q27" s="318" t="s">
        <v>36</v>
      </c>
      <c r="R27" s="122"/>
      <c r="S27" s="318"/>
      <c r="T27" s="170"/>
      <c r="U27" s="16"/>
      <c r="V27" s="127">
        <f>IF(Table26[[#This Row],[Failure mode that may lead to the violation of safety goals in combination with an independent failure of another block ?]]="Yes",(1-Table26[[#This Row],[Failure mode coverage with respect to latent failures]])*Table26[[#This Row],[Failure mode rate]], 0)</f>
        <v>0</v>
      </c>
      <c r="W27" s="123"/>
      <c r="X27" s="339"/>
      <c r="Y27" s="21">
        <f>IF(Table26[[#This Row],[SR]]="Yes",Table26[[#This Row],[λ]], 0)</f>
        <v>0</v>
      </c>
    </row>
    <row r="28" spans="1:25" outlineLevel="1">
      <c r="A28" s="128" t="s">
        <v>860</v>
      </c>
      <c r="B28" s="123" t="s">
        <v>5</v>
      </c>
      <c r="C28" s="123" t="s">
        <v>72</v>
      </c>
      <c r="D28" s="123"/>
      <c r="E28" s="123"/>
      <c r="F28" s="125">
        <f>VLOOKUP(Table26[Function], Table1[], 5, FALSE)</f>
        <v>2.3876049063912199</v>
      </c>
      <c r="G28" s="19" t="s">
        <v>64</v>
      </c>
      <c r="H28" s="318" t="s">
        <v>36</v>
      </c>
      <c r="I28" s="122" t="s">
        <v>63</v>
      </c>
      <c r="J28" s="124">
        <f t="shared" si="1"/>
        <v>0.1111111111111111</v>
      </c>
      <c r="K28" s="125">
        <f>Table26[[#This Row],[λ]]*Table26[[#This Row],[Failure rate distribution]]</f>
        <v>0.26528943404346889</v>
      </c>
      <c r="L28" s="318" t="s">
        <v>63</v>
      </c>
      <c r="M28" s="20" t="str">
        <f>VLOOKUP(Table26[[#This Row],[Applicable Safety mechanism]],Table3[],2,FALSE)</f>
        <v>Not applicable</v>
      </c>
      <c r="N28" s="21" t="str">
        <f>VLOOKUP(Table26[[#This Row],[Applicable Safety mechanism]], Table3[], 3,FALSE)</f>
        <v>-</v>
      </c>
      <c r="O28" s="16">
        <f>VLOOKUP(Table26[[#This Row],[Applicable Safety mechanism]], Table3[], 6,FALSE)</f>
        <v>0</v>
      </c>
      <c r="P28" s="126">
        <f>IF(Table26[[#This Row],[Failure mode that has the potential to violate the safety goal in absence of safety mechanism?]]="Yes", Table26[[#This Row],[Failure mode rate]]*(1-Table26[[#This Row],[Failure mode coverage wrt. violation of safety goals]]), 0)</f>
        <v>0</v>
      </c>
      <c r="Q28" s="318" t="s">
        <v>36</v>
      </c>
      <c r="R28" s="122"/>
      <c r="S28" s="318"/>
      <c r="T28" s="170"/>
      <c r="U28" s="16"/>
      <c r="V28" s="127">
        <f>IF(Table26[[#This Row],[Failure mode that may lead to the violation of safety goals in combination with an independent failure of another block ?]]="Yes",(1-Table26[[#This Row],[Failure mode coverage with respect to latent failures]])*Table26[[#This Row],[Failure mode rate]], 0)</f>
        <v>0</v>
      </c>
      <c r="W28" s="123"/>
      <c r="X28" s="339"/>
      <c r="Y28" s="21">
        <f>IF(Table26[[#This Row],[SR]]="Yes",Table26[[#This Row],[λ]], 0)</f>
        <v>0</v>
      </c>
    </row>
    <row r="29" spans="1:25" outlineLevel="1">
      <c r="A29" s="18" t="s">
        <v>861</v>
      </c>
      <c r="B29" s="123" t="s">
        <v>5</v>
      </c>
      <c r="C29" s="123" t="s">
        <v>72</v>
      </c>
      <c r="D29" s="123"/>
      <c r="E29" s="123"/>
      <c r="F29" s="125">
        <f>VLOOKUP(Table26[Function], Table1[], 5, FALSE)</f>
        <v>2.3876049063912199</v>
      </c>
      <c r="G29" s="19" t="s">
        <v>65</v>
      </c>
      <c r="H29" s="318" t="s">
        <v>36</v>
      </c>
      <c r="I29" s="122" t="s">
        <v>63</v>
      </c>
      <c r="J29" s="124">
        <f t="shared" si="1"/>
        <v>0.1111111111111111</v>
      </c>
      <c r="K29" s="125">
        <f>Table26[[#This Row],[λ]]*Table26[[#This Row],[Failure rate distribution]]</f>
        <v>0.26528943404346889</v>
      </c>
      <c r="L29" s="318" t="s">
        <v>63</v>
      </c>
      <c r="M29" s="20" t="str">
        <f>VLOOKUP(Table26[[#This Row],[Applicable Safety mechanism]],Table3[],2,FALSE)</f>
        <v>Not applicable</v>
      </c>
      <c r="N29" s="21" t="str">
        <f>VLOOKUP(Table26[[#This Row],[Applicable Safety mechanism]], Table3[], 3,FALSE)</f>
        <v>-</v>
      </c>
      <c r="O29" s="16">
        <f>VLOOKUP(Table26[[#This Row],[Applicable Safety mechanism]], Table3[], 6,FALSE)</f>
        <v>0</v>
      </c>
      <c r="P29" s="126">
        <f>IF(Table26[[#This Row],[Failure mode that has the potential to violate the safety goal in absence of safety mechanism?]]="Yes", Table26[[#This Row],[Failure mode rate]]*(1-Table26[[#This Row],[Failure mode coverage wrt. violation of safety goals]]), 0)</f>
        <v>0</v>
      </c>
      <c r="Q29" s="318" t="s">
        <v>36</v>
      </c>
      <c r="R29" s="122"/>
      <c r="S29" s="318"/>
      <c r="T29" s="170"/>
      <c r="U29" s="16"/>
      <c r="V29" s="127">
        <f>IF(Table26[[#This Row],[Failure mode that may lead to the violation of safety goals in combination with an independent failure of another block ?]]="Yes",(1-Table26[[#This Row],[Failure mode coverage with respect to latent failures]])*Table26[[#This Row],[Failure mode rate]], 0)</f>
        <v>0</v>
      </c>
      <c r="W29" s="123"/>
      <c r="X29" s="339"/>
      <c r="Y29" s="21">
        <f>IF(Table26[[#This Row],[SR]]="Yes",Table26[[#This Row],[λ]], 0)</f>
        <v>0</v>
      </c>
    </row>
    <row r="30" spans="1:25" outlineLevel="1">
      <c r="A30" s="128" t="s">
        <v>862</v>
      </c>
      <c r="B30" s="123" t="s">
        <v>5</v>
      </c>
      <c r="C30" s="123" t="s">
        <v>72</v>
      </c>
      <c r="D30" s="123"/>
      <c r="E30" s="123"/>
      <c r="F30" s="125">
        <f>VLOOKUP(Table26[Function], Table1[], 5, FALSE)</f>
        <v>2.3876049063912199</v>
      </c>
      <c r="G30" s="19" t="s">
        <v>69</v>
      </c>
      <c r="H30" s="318" t="s">
        <v>36</v>
      </c>
      <c r="I30" s="122" t="s">
        <v>63</v>
      </c>
      <c r="J30" s="124">
        <f t="shared" si="1"/>
        <v>0.1111111111111111</v>
      </c>
      <c r="K30" s="125">
        <f>Table26[[#This Row],[λ]]*Table26[[#This Row],[Failure rate distribution]]</f>
        <v>0.26528943404346889</v>
      </c>
      <c r="L30" s="318" t="s">
        <v>63</v>
      </c>
      <c r="M30" s="20" t="str">
        <f>VLOOKUP(Table26[[#This Row],[Applicable Safety mechanism]],Table3[],2,FALSE)</f>
        <v>Not applicable</v>
      </c>
      <c r="N30" s="21" t="str">
        <f>VLOOKUP(Table26[[#This Row],[Applicable Safety mechanism]], Table3[], 3,FALSE)</f>
        <v>-</v>
      </c>
      <c r="O30" s="16">
        <f>VLOOKUP(Table26[[#This Row],[Applicable Safety mechanism]], Table3[], 6,FALSE)</f>
        <v>0</v>
      </c>
      <c r="P30" s="126">
        <f>IF(Table26[[#This Row],[Failure mode that has the potential to violate the safety goal in absence of safety mechanism?]]="Yes", Table26[[#This Row],[Failure mode rate]]*(1-Table26[[#This Row],[Failure mode coverage wrt. violation of safety goals]]), 0)</f>
        <v>0</v>
      </c>
      <c r="Q30" s="318" t="s">
        <v>36</v>
      </c>
      <c r="R30" s="122"/>
      <c r="S30" s="318"/>
      <c r="T30" s="170"/>
      <c r="U30" s="16"/>
      <c r="V30" s="127">
        <f>IF(Table26[[#This Row],[Failure mode that may lead to the violation of safety goals in combination with an independent failure of another block ?]]="Yes",(1-Table26[[#This Row],[Failure mode coverage with respect to latent failures]])*Table26[[#This Row],[Failure mode rate]], 0)</f>
        <v>0</v>
      </c>
      <c r="W30" s="123"/>
      <c r="X30" s="339"/>
      <c r="Y30" s="21">
        <f>IF(Table26[[#This Row],[SR]]="Yes",Table26[[#This Row],[λ]], 0)</f>
        <v>0</v>
      </c>
    </row>
    <row r="31" spans="1:25" outlineLevel="1">
      <c r="A31" s="18" t="s">
        <v>863</v>
      </c>
      <c r="B31" s="123" t="s">
        <v>5</v>
      </c>
      <c r="C31" s="123" t="s">
        <v>72</v>
      </c>
      <c r="D31" s="123"/>
      <c r="E31" s="123"/>
      <c r="F31" s="125">
        <f>VLOOKUP(Table26[Function], Table1[], 5, FALSE)</f>
        <v>2.3876049063912199</v>
      </c>
      <c r="G31" s="19" t="s">
        <v>70</v>
      </c>
      <c r="H31" s="318" t="s">
        <v>36</v>
      </c>
      <c r="I31" s="122" t="s">
        <v>63</v>
      </c>
      <c r="J31" s="124">
        <f t="shared" si="1"/>
        <v>0.1111111111111111</v>
      </c>
      <c r="K31" s="125">
        <f>Table26[[#This Row],[λ]]*Table26[[#This Row],[Failure rate distribution]]</f>
        <v>0.26528943404346889</v>
      </c>
      <c r="L31" s="318" t="s">
        <v>63</v>
      </c>
      <c r="M31" s="20" t="str">
        <f>VLOOKUP(Table26[[#This Row],[Applicable Safety mechanism]],Table3[],2,FALSE)</f>
        <v>Not applicable</v>
      </c>
      <c r="N31" s="21" t="str">
        <f>VLOOKUP(Table26[[#This Row],[Applicable Safety mechanism]], Table3[], 3,FALSE)</f>
        <v>-</v>
      </c>
      <c r="O31" s="16">
        <f>VLOOKUP(Table26[[#This Row],[Applicable Safety mechanism]], Table3[], 6,FALSE)</f>
        <v>0</v>
      </c>
      <c r="P31" s="126">
        <f>IF(Table26[[#This Row],[Failure mode that has the potential to violate the safety goal in absence of safety mechanism?]]="Yes", Table26[[#This Row],[Failure mode rate]]*(1-Table26[[#This Row],[Failure mode coverage wrt. violation of safety goals]]), 0)</f>
        <v>0</v>
      </c>
      <c r="Q31" s="318" t="s">
        <v>36</v>
      </c>
      <c r="R31" s="122"/>
      <c r="S31" s="318"/>
      <c r="T31" s="170"/>
      <c r="U31" s="16"/>
      <c r="V31" s="127">
        <f>IF(Table26[[#This Row],[Failure mode that may lead to the violation of safety goals in combination with an independent failure of another block ?]]="Yes",(1-Table26[[#This Row],[Failure mode coverage with respect to latent failures]])*Table26[[#This Row],[Failure mode rate]], 0)</f>
        <v>0</v>
      </c>
      <c r="W31" s="123"/>
      <c r="X31" s="339"/>
      <c r="Y31" s="21">
        <f>IF(Table26[[#This Row],[SR]]="Yes",Table26[[#This Row],[λ]], 0)</f>
        <v>0</v>
      </c>
    </row>
    <row r="32" spans="1:25" outlineLevel="1">
      <c r="A32" s="128" t="s">
        <v>864</v>
      </c>
      <c r="B32" s="123" t="s">
        <v>5</v>
      </c>
      <c r="C32" s="123" t="s">
        <v>72</v>
      </c>
      <c r="D32" s="123"/>
      <c r="E32" s="123"/>
      <c r="F32" s="125">
        <f>VLOOKUP(Table26[Function], Table1[], 5, FALSE)</f>
        <v>2.3876049063912199</v>
      </c>
      <c r="G32" s="19" t="s">
        <v>71</v>
      </c>
      <c r="H32" s="318" t="s">
        <v>36</v>
      </c>
      <c r="I32" s="122" t="s">
        <v>63</v>
      </c>
      <c r="J32" s="124">
        <f t="shared" si="1"/>
        <v>0.1111111111111111</v>
      </c>
      <c r="K32" s="125">
        <f>Table26[[#This Row],[λ]]*Table26[[#This Row],[Failure rate distribution]]</f>
        <v>0.26528943404346889</v>
      </c>
      <c r="L32" s="318" t="s">
        <v>63</v>
      </c>
      <c r="M32" s="20" t="str">
        <f>VLOOKUP(Table26[[#This Row],[Applicable Safety mechanism]],Table3[],2,FALSE)</f>
        <v>Not applicable</v>
      </c>
      <c r="N32" s="21" t="str">
        <f>VLOOKUP(Table26[[#This Row],[Applicable Safety mechanism]], Table3[], 3,FALSE)</f>
        <v>-</v>
      </c>
      <c r="O32" s="16">
        <f>VLOOKUP(Table26[[#This Row],[Applicable Safety mechanism]], Table3[], 6,FALSE)</f>
        <v>0</v>
      </c>
      <c r="P32" s="126">
        <f>IF(Table26[[#This Row],[Failure mode that has the potential to violate the safety goal in absence of safety mechanism?]]="Yes", Table26[[#This Row],[Failure mode rate]]*(1-Table26[[#This Row],[Failure mode coverage wrt. violation of safety goals]]), 0)</f>
        <v>0</v>
      </c>
      <c r="Q32" s="318" t="s">
        <v>36</v>
      </c>
      <c r="R32" s="122"/>
      <c r="S32" s="318"/>
      <c r="T32" s="170"/>
      <c r="U32" s="16"/>
      <c r="V32" s="127">
        <f>IF(Table26[[#This Row],[Failure mode that may lead to the violation of safety goals in combination with an independent failure of another block ?]]="Yes",(1-Table26[[#This Row],[Failure mode coverage with respect to latent failures]])*Table26[[#This Row],[Failure mode rate]], 0)</f>
        <v>0</v>
      </c>
      <c r="W32" s="123"/>
      <c r="X32" s="339"/>
      <c r="Y32" s="21">
        <f>IF(Table26[[#This Row],[SR]]="Yes",Table26[[#This Row],[λ]], 0)</f>
        <v>0</v>
      </c>
    </row>
    <row r="33" spans="1:25" outlineLevel="1">
      <c r="A33" s="18" t="s">
        <v>865</v>
      </c>
      <c r="B33" s="123" t="s">
        <v>5</v>
      </c>
      <c r="C33" s="123" t="s">
        <v>72</v>
      </c>
      <c r="D33" s="123"/>
      <c r="E33" s="123"/>
      <c r="F33" s="125">
        <f>VLOOKUP(Table26[Function], Table1[], 5, FALSE)</f>
        <v>2.3876049063912199</v>
      </c>
      <c r="G33" s="19" t="s">
        <v>74</v>
      </c>
      <c r="H33" s="318" t="s">
        <v>36</v>
      </c>
      <c r="I33" s="122" t="s">
        <v>63</v>
      </c>
      <c r="J33" s="124">
        <f t="shared" si="1"/>
        <v>0.1111111111111111</v>
      </c>
      <c r="K33" s="70">
        <f>Table26[[#This Row],[λ]]*Table26[[#This Row],[Failure rate distribution]]</f>
        <v>0.26528943404346889</v>
      </c>
      <c r="L33" s="318" t="s">
        <v>63</v>
      </c>
      <c r="M33" s="26" t="str">
        <f>VLOOKUP(Table26[[#This Row],[Applicable Safety mechanism]],Table3[],2,FALSE)</f>
        <v>Not applicable</v>
      </c>
      <c r="N33" s="27" t="str">
        <f>VLOOKUP(Table26[[#This Row],[Applicable Safety mechanism]], Table3[], 3,FALSE)</f>
        <v>-</v>
      </c>
      <c r="O33" s="28">
        <f>VLOOKUP(Table26[[#This Row],[Applicable Safety mechanism]], Table3[], 6,FALSE)</f>
        <v>0</v>
      </c>
      <c r="P33" s="29">
        <f>IF(Table26[[#This Row],[Failure mode that has the potential to violate the safety goal in absence of safety mechanism?]]="Yes", Table26[[#This Row],[Failure mode rate]]*(1-Table26[[#This Row],[Failure mode coverage wrt. violation of safety goals]]), 0)</f>
        <v>0</v>
      </c>
      <c r="Q33" s="318" t="s">
        <v>36</v>
      </c>
      <c r="R33" s="122"/>
      <c r="S33" s="318"/>
      <c r="T33" s="170"/>
      <c r="U33" s="16"/>
      <c r="V33" s="127">
        <f>IF(Table26[[#This Row],[Failure mode that may lead to the violation of safety goals in combination with an independent failure of another block ?]]="Yes",(1-Table26[[#This Row],[Failure mode coverage with respect to latent failures]])*Table26[[#This Row],[Failure mode rate]], 0)</f>
        <v>0</v>
      </c>
      <c r="W33" s="123"/>
      <c r="X33" s="339"/>
      <c r="Y33" s="21">
        <f>IF(Table26[[#This Row],[SR]]="Yes",Table26[[#This Row],[λ]], 0)</f>
        <v>0</v>
      </c>
    </row>
    <row r="34" spans="1:25" outlineLevel="1">
      <c r="A34" s="128" t="s">
        <v>866</v>
      </c>
      <c r="B34" s="123" t="s">
        <v>5</v>
      </c>
      <c r="C34" s="123" t="s">
        <v>72</v>
      </c>
      <c r="D34" s="123"/>
      <c r="E34" s="123"/>
      <c r="F34" s="125">
        <f>VLOOKUP(Table26[Function], Table1[], 5, FALSE)</f>
        <v>2.3876049063912199</v>
      </c>
      <c r="G34" s="19" t="s">
        <v>73</v>
      </c>
      <c r="H34" s="318" t="s">
        <v>36</v>
      </c>
      <c r="I34" s="122" t="s">
        <v>63</v>
      </c>
      <c r="J34" s="124">
        <f t="shared" si="1"/>
        <v>0.1111111111111111</v>
      </c>
      <c r="K34" s="125">
        <f>Table26[[#This Row],[λ]]*Table26[[#This Row],[Failure rate distribution]]</f>
        <v>0.26528943404346889</v>
      </c>
      <c r="L34" s="318" t="s">
        <v>63</v>
      </c>
      <c r="M34" s="20" t="str">
        <f>VLOOKUP(Table26[[#This Row],[Applicable Safety mechanism]],Table3[],2,FALSE)</f>
        <v>Not applicable</v>
      </c>
      <c r="N34" s="21" t="str">
        <f>VLOOKUP(Table26[[#This Row],[Applicable Safety mechanism]], Table3[], 3,FALSE)</f>
        <v>-</v>
      </c>
      <c r="O34" s="16">
        <f>VLOOKUP(Table26[[#This Row],[Applicable Safety mechanism]], Table3[], 6,FALSE)</f>
        <v>0</v>
      </c>
      <c r="P34" s="126">
        <f>IF(Table26[[#This Row],[Failure mode that has the potential to violate the safety goal in absence of safety mechanism?]]="Yes", Table26[[#This Row],[Failure mode rate]]*(1-Table26[[#This Row],[Failure mode coverage wrt. violation of safety goals]]), 0)</f>
        <v>0</v>
      </c>
      <c r="Q34" s="318" t="s">
        <v>36</v>
      </c>
      <c r="R34" s="122"/>
      <c r="S34" s="318"/>
      <c r="T34" s="170"/>
      <c r="U34" s="16"/>
      <c r="V34" s="127">
        <f>IF(Table26[[#This Row],[Failure mode that may lead to the violation of safety goals in combination with an independent failure of another block ?]]="Yes",(1-Table26[[#This Row],[Failure mode coverage with respect to latent failures]])*Table26[[#This Row],[Failure mode rate]], 0)</f>
        <v>0</v>
      </c>
      <c r="W34" s="123"/>
      <c r="X34" s="339"/>
      <c r="Y34" s="21">
        <f>IF(Table26[[#This Row],[SR]]="Yes",Table26[[#This Row],[λ]], 0)</f>
        <v>0</v>
      </c>
    </row>
    <row r="35" spans="1:25">
      <c r="A35" s="18" t="s">
        <v>867</v>
      </c>
      <c r="B35" s="24" t="s">
        <v>5</v>
      </c>
      <c r="C35" s="24" t="s">
        <v>72</v>
      </c>
      <c r="D35" s="122" t="s">
        <v>63</v>
      </c>
      <c r="E35" s="122"/>
      <c r="F35" s="125">
        <f>VLOOKUP(Table26[Function], Table1[], 5, FALSE)</f>
        <v>2.3876049063912199</v>
      </c>
      <c r="G35" s="122" t="s">
        <v>63</v>
      </c>
      <c r="H35" s="318" t="s">
        <v>63</v>
      </c>
      <c r="I35" s="122" t="s">
        <v>63</v>
      </c>
      <c r="J35" s="122" t="s">
        <v>63</v>
      </c>
      <c r="K35" s="125" t="s">
        <v>63</v>
      </c>
      <c r="L35" s="318" t="s">
        <v>63</v>
      </c>
      <c r="M35" s="122" t="s">
        <v>63</v>
      </c>
      <c r="N35" s="122" t="s">
        <v>63</v>
      </c>
      <c r="O35" s="122" t="s">
        <v>63</v>
      </c>
      <c r="P35" s="122" t="s">
        <v>63</v>
      </c>
      <c r="Q35" s="318" t="s">
        <v>63</v>
      </c>
      <c r="R35" s="122"/>
      <c r="S35" s="318"/>
      <c r="T35" s="170"/>
      <c r="U35" s="122"/>
      <c r="V35" s="122"/>
      <c r="W35" s="122"/>
      <c r="X35" s="318"/>
      <c r="Y35" s="21"/>
    </row>
    <row r="36" spans="1:25" ht="72" outlineLevel="1">
      <c r="A36" s="128" t="s">
        <v>868</v>
      </c>
      <c r="B36" s="123" t="s">
        <v>6</v>
      </c>
      <c r="C36" s="123" t="s">
        <v>72</v>
      </c>
      <c r="D36" s="123" t="s">
        <v>201</v>
      </c>
      <c r="E36" s="123" t="s">
        <v>202</v>
      </c>
      <c r="F36" s="125">
        <f>VLOOKUP(Table26[Function], Table1[], 5, FALSE)</f>
        <v>2.3876049063912199</v>
      </c>
      <c r="G36" s="19" t="s">
        <v>27</v>
      </c>
      <c r="H36" s="318" t="s">
        <v>36</v>
      </c>
      <c r="I36" s="122" t="s">
        <v>63</v>
      </c>
      <c r="J36" s="124">
        <f t="shared" si="1"/>
        <v>0.1111111111111111</v>
      </c>
      <c r="K36" s="125">
        <f>Table26[[#This Row],[λ]]*Table26[[#This Row],[Failure rate distribution]]</f>
        <v>0.26528943404346889</v>
      </c>
      <c r="L36" s="318" t="s">
        <v>63</v>
      </c>
      <c r="M36" s="20" t="str">
        <f>VLOOKUP(Table26[[#This Row],[Applicable Safety mechanism]],Table3[],2,FALSE)</f>
        <v>Not applicable</v>
      </c>
      <c r="N36" s="21" t="str">
        <f>VLOOKUP(Table26[[#This Row],[Applicable Safety mechanism]], Table3[], 3,FALSE)</f>
        <v>-</v>
      </c>
      <c r="O36" s="16">
        <f>VLOOKUP(Table26[[#This Row],[Applicable Safety mechanism]], Table3[], 6,FALSE)</f>
        <v>0</v>
      </c>
      <c r="P36" s="126">
        <f>IF(Table26[[#This Row],[Failure mode that has the potential to violate the safety goal in absence of safety mechanism?]]="Yes", Table26[[#This Row],[Failure mode rate]]*(1-Table26[[#This Row],[Failure mode coverage wrt. violation of safety goals]]), 0)</f>
        <v>0</v>
      </c>
      <c r="Q36" s="318" t="s">
        <v>36</v>
      </c>
      <c r="R36" s="122"/>
      <c r="S36" s="318"/>
      <c r="T36" s="170"/>
      <c r="U36" s="16"/>
      <c r="V36" s="127">
        <f>IF(Table26[[#This Row],[Failure mode that may lead to the violation of safety goals in combination with an independent failure of another block ?]]="Yes",(1-Table26[[#This Row],[Failure mode coverage with respect to latent failures]])*Table26[[#This Row],[Failure mode rate]], 0)</f>
        <v>0</v>
      </c>
      <c r="W36" s="123"/>
      <c r="X36" s="339" t="s">
        <v>35</v>
      </c>
      <c r="Y36" s="125">
        <f>IF(Table26[[#This Row],[SR]]="Yes",Table26[[#This Row],[λ]], 0)</f>
        <v>2.3876049063912199</v>
      </c>
    </row>
    <row r="37" spans="1:25" outlineLevel="1">
      <c r="A37" s="18" t="s">
        <v>869</v>
      </c>
      <c r="B37" s="123" t="s">
        <v>6</v>
      </c>
      <c r="C37" s="123" t="s">
        <v>72</v>
      </c>
      <c r="D37" s="123"/>
      <c r="E37" s="123"/>
      <c r="F37" s="125">
        <f>VLOOKUP(Table26[Function], Table1[], 5, FALSE)</f>
        <v>2.3876049063912199</v>
      </c>
      <c r="G37" s="19" t="s">
        <v>28</v>
      </c>
      <c r="H37" s="318" t="s">
        <v>36</v>
      </c>
      <c r="I37" s="122" t="s">
        <v>63</v>
      </c>
      <c r="J37" s="124">
        <f t="shared" si="1"/>
        <v>0.1111111111111111</v>
      </c>
      <c r="K37" s="125">
        <f>Table26[[#This Row],[λ]]*Table26[[#This Row],[Failure rate distribution]]</f>
        <v>0.26528943404346889</v>
      </c>
      <c r="L37" s="318" t="s">
        <v>63</v>
      </c>
      <c r="M37" s="20" t="str">
        <f>VLOOKUP(Table26[[#This Row],[Applicable Safety mechanism]],Table3[],2,FALSE)</f>
        <v>Not applicable</v>
      </c>
      <c r="N37" s="21" t="str">
        <f>VLOOKUP(Table26[[#This Row],[Applicable Safety mechanism]], Table3[], 3,FALSE)</f>
        <v>-</v>
      </c>
      <c r="O37" s="16">
        <f>VLOOKUP(Table26[[#This Row],[Applicable Safety mechanism]], Table3[], 6,FALSE)</f>
        <v>0</v>
      </c>
      <c r="P37" s="126">
        <f>IF(Table26[[#This Row],[Failure mode that has the potential to violate the safety goal in absence of safety mechanism?]]="Yes", Table26[[#This Row],[Failure mode rate]]*(1-Table26[[#This Row],[Failure mode coverage wrt. violation of safety goals]]), 0)</f>
        <v>0</v>
      </c>
      <c r="Q37" s="318" t="s">
        <v>36</v>
      </c>
      <c r="R37" s="122"/>
      <c r="S37" s="318"/>
      <c r="T37" s="170"/>
      <c r="U37" s="16"/>
      <c r="V37" s="127">
        <f>IF(Table26[[#This Row],[Failure mode that may lead to the violation of safety goals in combination with an independent failure of another block ?]]="Yes",(1-Table26[[#This Row],[Failure mode coverage with respect to latent failures]])*Table26[[#This Row],[Failure mode rate]], 0)</f>
        <v>0</v>
      </c>
      <c r="W37" s="123"/>
      <c r="X37" s="339"/>
      <c r="Y37" s="21">
        <f>IF(Table26[[#This Row],[SR]]="Yes",Table26[[#This Row],[λ]], 0)</f>
        <v>0</v>
      </c>
    </row>
    <row r="38" spans="1:25" outlineLevel="1">
      <c r="A38" s="128" t="s">
        <v>870</v>
      </c>
      <c r="B38" s="123" t="s">
        <v>6</v>
      </c>
      <c r="C38" s="123" t="s">
        <v>72</v>
      </c>
      <c r="D38" s="123"/>
      <c r="E38" s="123"/>
      <c r="F38" s="125">
        <f>VLOOKUP(Table26[Function], Table1[], 5, FALSE)</f>
        <v>2.3876049063912199</v>
      </c>
      <c r="G38" s="19" t="s">
        <v>64</v>
      </c>
      <c r="H38" s="318" t="s">
        <v>36</v>
      </c>
      <c r="I38" s="122" t="s">
        <v>63</v>
      </c>
      <c r="J38" s="124">
        <f t="shared" si="1"/>
        <v>0.1111111111111111</v>
      </c>
      <c r="K38" s="125">
        <f>Table26[[#This Row],[λ]]*Table26[[#This Row],[Failure rate distribution]]</f>
        <v>0.26528943404346889</v>
      </c>
      <c r="L38" s="318" t="s">
        <v>63</v>
      </c>
      <c r="M38" s="20" t="str">
        <f>VLOOKUP(Table26[[#This Row],[Applicable Safety mechanism]],Table3[],2,FALSE)</f>
        <v>Not applicable</v>
      </c>
      <c r="N38" s="21" t="str">
        <f>VLOOKUP(Table26[[#This Row],[Applicable Safety mechanism]], Table3[], 3,FALSE)</f>
        <v>-</v>
      </c>
      <c r="O38" s="16">
        <f>VLOOKUP(Table26[[#This Row],[Applicable Safety mechanism]], Table3[], 6,FALSE)</f>
        <v>0</v>
      </c>
      <c r="P38" s="126">
        <f>IF(Table26[[#This Row],[Failure mode that has the potential to violate the safety goal in absence of safety mechanism?]]="Yes", Table26[[#This Row],[Failure mode rate]]*(1-Table26[[#This Row],[Failure mode coverage wrt. violation of safety goals]]), 0)</f>
        <v>0</v>
      </c>
      <c r="Q38" s="318" t="s">
        <v>36</v>
      </c>
      <c r="R38" s="122"/>
      <c r="S38" s="318"/>
      <c r="T38" s="170"/>
      <c r="U38" s="16"/>
      <c r="V38" s="127">
        <f>IF(Table26[[#This Row],[Failure mode that may lead to the violation of safety goals in combination with an independent failure of another block ?]]="Yes",(1-Table26[[#This Row],[Failure mode coverage with respect to latent failures]])*Table26[[#This Row],[Failure mode rate]], 0)</f>
        <v>0</v>
      </c>
      <c r="W38" s="123"/>
      <c r="X38" s="339"/>
      <c r="Y38" s="21">
        <f>IF(Table26[[#This Row],[SR]]="Yes",Table26[[#This Row],[λ]], 0)</f>
        <v>0</v>
      </c>
    </row>
    <row r="39" spans="1:25" outlineLevel="1">
      <c r="A39" s="18" t="s">
        <v>871</v>
      </c>
      <c r="B39" s="123" t="s">
        <v>6</v>
      </c>
      <c r="C39" s="123" t="s">
        <v>72</v>
      </c>
      <c r="D39" s="123"/>
      <c r="E39" s="123"/>
      <c r="F39" s="125">
        <f>VLOOKUP(Table26[Function], Table1[], 5, FALSE)</f>
        <v>2.3876049063912199</v>
      </c>
      <c r="G39" s="19" t="s">
        <v>65</v>
      </c>
      <c r="H39" s="318" t="s">
        <v>36</v>
      </c>
      <c r="I39" s="122" t="s">
        <v>63</v>
      </c>
      <c r="J39" s="124">
        <f t="shared" si="1"/>
        <v>0.1111111111111111</v>
      </c>
      <c r="K39" s="125">
        <f>Table26[[#This Row],[λ]]*Table26[[#This Row],[Failure rate distribution]]</f>
        <v>0.26528943404346889</v>
      </c>
      <c r="L39" s="318" t="s">
        <v>63</v>
      </c>
      <c r="M39" s="20" t="str">
        <f>VLOOKUP(Table26[[#This Row],[Applicable Safety mechanism]],Table3[],2,FALSE)</f>
        <v>Not applicable</v>
      </c>
      <c r="N39" s="21" t="str">
        <f>VLOOKUP(Table26[[#This Row],[Applicable Safety mechanism]], Table3[], 3,FALSE)</f>
        <v>-</v>
      </c>
      <c r="O39" s="16">
        <f>VLOOKUP(Table26[[#This Row],[Applicable Safety mechanism]], Table3[], 6,FALSE)</f>
        <v>0</v>
      </c>
      <c r="P39" s="126">
        <f>IF(Table26[[#This Row],[Failure mode that has the potential to violate the safety goal in absence of safety mechanism?]]="Yes", Table26[[#This Row],[Failure mode rate]]*(1-Table26[[#This Row],[Failure mode coverage wrt. violation of safety goals]]), 0)</f>
        <v>0</v>
      </c>
      <c r="Q39" s="318" t="s">
        <v>36</v>
      </c>
      <c r="R39" s="122"/>
      <c r="S39" s="318"/>
      <c r="T39" s="170"/>
      <c r="U39" s="16"/>
      <c r="V39" s="127">
        <f>IF(Table26[[#This Row],[Failure mode that may lead to the violation of safety goals in combination with an independent failure of another block ?]]="Yes",(1-Table26[[#This Row],[Failure mode coverage with respect to latent failures]])*Table26[[#This Row],[Failure mode rate]], 0)</f>
        <v>0</v>
      </c>
      <c r="W39" s="123"/>
      <c r="X39" s="339"/>
      <c r="Y39" s="21">
        <f>IF(Table26[[#This Row],[SR]]="Yes",Table26[[#This Row],[λ]], 0)</f>
        <v>0</v>
      </c>
    </row>
    <row r="40" spans="1:25" outlineLevel="1">
      <c r="A40" s="128" t="s">
        <v>872</v>
      </c>
      <c r="B40" s="123" t="s">
        <v>6</v>
      </c>
      <c r="C40" s="123" t="s">
        <v>72</v>
      </c>
      <c r="D40" s="123"/>
      <c r="E40" s="123"/>
      <c r="F40" s="125">
        <f>VLOOKUP(Table26[Function], Table1[], 5, FALSE)</f>
        <v>2.3876049063912199</v>
      </c>
      <c r="G40" s="19" t="s">
        <v>69</v>
      </c>
      <c r="H40" s="318" t="s">
        <v>36</v>
      </c>
      <c r="I40" s="122" t="s">
        <v>63</v>
      </c>
      <c r="J40" s="124">
        <f t="shared" si="1"/>
        <v>0.1111111111111111</v>
      </c>
      <c r="K40" s="125">
        <f>Table26[[#This Row],[λ]]*Table26[[#This Row],[Failure rate distribution]]</f>
        <v>0.26528943404346889</v>
      </c>
      <c r="L40" s="318" t="s">
        <v>63</v>
      </c>
      <c r="M40" s="20" t="str">
        <f>VLOOKUP(Table26[[#This Row],[Applicable Safety mechanism]],Table3[],2,FALSE)</f>
        <v>Not applicable</v>
      </c>
      <c r="N40" s="21" t="str">
        <f>VLOOKUP(Table26[[#This Row],[Applicable Safety mechanism]], Table3[], 3,FALSE)</f>
        <v>-</v>
      </c>
      <c r="O40" s="16">
        <f>VLOOKUP(Table26[[#This Row],[Applicable Safety mechanism]], Table3[], 6,FALSE)</f>
        <v>0</v>
      </c>
      <c r="P40" s="126">
        <f>IF(Table26[[#This Row],[Failure mode that has the potential to violate the safety goal in absence of safety mechanism?]]="Yes", Table26[[#This Row],[Failure mode rate]]*(1-Table26[[#This Row],[Failure mode coverage wrt. violation of safety goals]]), 0)</f>
        <v>0</v>
      </c>
      <c r="Q40" s="318" t="s">
        <v>36</v>
      </c>
      <c r="R40" s="122"/>
      <c r="S40" s="318"/>
      <c r="T40" s="170"/>
      <c r="U40" s="16"/>
      <c r="V40" s="127">
        <f>IF(Table26[[#This Row],[Failure mode that may lead to the violation of safety goals in combination with an independent failure of another block ?]]="Yes",(1-Table26[[#This Row],[Failure mode coverage with respect to latent failures]])*Table26[[#This Row],[Failure mode rate]], 0)</f>
        <v>0</v>
      </c>
      <c r="W40" s="123"/>
      <c r="X40" s="339"/>
      <c r="Y40" s="21">
        <f>IF(Table26[[#This Row],[SR]]="Yes",Table26[[#This Row],[λ]], 0)</f>
        <v>0</v>
      </c>
    </row>
    <row r="41" spans="1:25" outlineLevel="1">
      <c r="A41" s="18" t="s">
        <v>873</v>
      </c>
      <c r="B41" s="123" t="s">
        <v>6</v>
      </c>
      <c r="C41" s="123" t="s">
        <v>72</v>
      </c>
      <c r="D41" s="123"/>
      <c r="E41" s="123"/>
      <c r="F41" s="125">
        <f>VLOOKUP(Table26[Function], Table1[], 5, FALSE)</f>
        <v>2.3876049063912199</v>
      </c>
      <c r="G41" s="33" t="s">
        <v>245</v>
      </c>
      <c r="H41" s="318" t="s">
        <v>36</v>
      </c>
      <c r="I41" s="122" t="s">
        <v>63</v>
      </c>
      <c r="J41" s="124">
        <f t="shared" si="1"/>
        <v>0.1111111111111111</v>
      </c>
      <c r="K41" s="125">
        <f>Table26[[#This Row],[λ]]*Table26[[#This Row],[Failure rate distribution]]</f>
        <v>0.26528943404346889</v>
      </c>
      <c r="L41" s="318" t="s">
        <v>63</v>
      </c>
      <c r="M41" s="20" t="str">
        <f>VLOOKUP(Table26[[#This Row],[Applicable Safety mechanism]],Table3[],2,FALSE)</f>
        <v>Not applicable</v>
      </c>
      <c r="N41" s="21" t="str">
        <f>VLOOKUP(Table26[[#This Row],[Applicable Safety mechanism]], Table3[], 3,FALSE)</f>
        <v>-</v>
      </c>
      <c r="O41" s="16">
        <f>VLOOKUP(Table26[[#This Row],[Applicable Safety mechanism]], Table3[], 6,FALSE)</f>
        <v>0</v>
      </c>
      <c r="P41" s="126">
        <f>IF(Table26[[#This Row],[Failure mode that has the potential to violate the safety goal in absence of safety mechanism?]]="Yes", Table26[[#This Row],[Failure mode rate]]*(1-Table26[[#This Row],[Failure mode coverage wrt. violation of safety goals]]), 0)</f>
        <v>0</v>
      </c>
      <c r="Q41" s="318" t="s">
        <v>36</v>
      </c>
      <c r="R41" s="122"/>
      <c r="S41" s="318"/>
      <c r="T41" s="170"/>
      <c r="U41" s="16"/>
      <c r="V41" s="127">
        <f>IF(Table26[[#This Row],[Failure mode that may lead to the violation of safety goals in combination with an independent failure of another block ?]]="Yes",(1-Table26[[#This Row],[Failure mode coverage with respect to latent failures]])*Table26[[#This Row],[Failure mode rate]], 0)</f>
        <v>0</v>
      </c>
      <c r="W41" s="123"/>
      <c r="X41" s="339"/>
      <c r="Y41" s="21">
        <f>IF(Table26[[#This Row],[SR]]="Yes",Table26[[#This Row],[λ]], 0)</f>
        <v>0</v>
      </c>
    </row>
    <row r="42" spans="1:25" outlineLevel="1">
      <c r="A42" s="128" t="s">
        <v>874</v>
      </c>
      <c r="B42" s="123" t="s">
        <v>6</v>
      </c>
      <c r="C42" s="123" t="s">
        <v>72</v>
      </c>
      <c r="D42" s="123"/>
      <c r="E42" s="123"/>
      <c r="F42" s="125">
        <f>VLOOKUP(Table26[Function], Table1[], 5, FALSE)</f>
        <v>2.3876049063912199</v>
      </c>
      <c r="G42" s="33" t="s">
        <v>246</v>
      </c>
      <c r="H42" s="318" t="s">
        <v>36</v>
      </c>
      <c r="I42" s="122" t="s">
        <v>63</v>
      </c>
      <c r="J42" s="124">
        <f t="shared" si="1"/>
        <v>0.1111111111111111</v>
      </c>
      <c r="K42" s="125">
        <f>Table26[[#This Row],[λ]]*Table26[[#This Row],[Failure rate distribution]]</f>
        <v>0.26528943404346889</v>
      </c>
      <c r="L42" s="318" t="s">
        <v>63</v>
      </c>
      <c r="M42" s="20" t="str">
        <f>VLOOKUP(Table26[[#This Row],[Applicable Safety mechanism]],Table3[],2,FALSE)</f>
        <v>Not applicable</v>
      </c>
      <c r="N42" s="21" t="str">
        <f>VLOOKUP(Table26[[#This Row],[Applicable Safety mechanism]], Table3[], 3,FALSE)</f>
        <v>-</v>
      </c>
      <c r="O42" s="16">
        <f>VLOOKUP(Table26[[#This Row],[Applicable Safety mechanism]], Table3[], 6,FALSE)</f>
        <v>0</v>
      </c>
      <c r="P42" s="126">
        <f>IF(Table26[[#This Row],[Failure mode that has the potential to violate the safety goal in absence of safety mechanism?]]="Yes", Table26[[#This Row],[Failure mode rate]]*(1-Table26[[#This Row],[Failure mode coverage wrt. violation of safety goals]]), 0)</f>
        <v>0</v>
      </c>
      <c r="Q42" s="318" t="s">
        <v>36</v>
      </c>
      <c r="R42" s="122"/>
      <c r="S42" s="318"/>
      <c r="T42" s="170"/>
      <c r="U42" s="16"/>
      <c r="V42" s="127">
        <f>IF(Table26[[#This Row],[Failure mode that may lead to the violation of safety goals in combination with an independent failure of another block ?]]="Yes",(1-Table26[[#This Row],[Failure mode coverage with respect to latent failures]])*Table26[[#This Row],[Failure mode rate]], 0)</f>
        <v>0</v>
      </c>
      <c r="W42" s="123"/>
      <c r="X42" s="339"/>
      <c r="Y42" s="21">
        <f>IF(Table26[[#This Row],[SR]]="Yes",Table26[[#This Row],[λ]], 0)</f>
        <v>0</v>
      </c>
    </row>
    <row r="43" spans="1:25" outlineLevel="1">
      <c r="A43" s="18" t="s">
        <v>875</v>
      </c>
      <c r="B43" s="123" t="s">
        <v>6</v>
      </c>
      <c r="C43" s="123" t="s">
        <v>72</v>
      </c>
      <c r="D43" s="123"/>
      <c r="E43" s="123"/>
      <c r="F43" s="125">
        <f>VLOOKUP(Table26[Function], Table1[], 5, FALSE)</f>
        <v>2.3876049063912199</v>
      </c>
      <c r="G43" s="19" t="s">
        <v>75</v>
      </c>
      <c r="H43" s="318" t="s">
        <v>36</v>
      </c>
      <c r="I43" s="122" t="s">
        <v>63</v>
      </c>
      <c r="J43" s="124">
        <f t="shared" si="1"/>
        <v>0.1111111111111111</v>
      </c>
      <c r="K43" s="125">
        <f>Table26[[#This Row],[λ]]*Table26[[#This Row],[Failure rate distribution]]</f>
        <v>0.26528943404346889</v>
      </c>
      <c r="L43" s="318" t="s">
        <v>63</v>
      </c>
      <c r="M43" s="20" t="str">
        <f>VLOOKUP(Table26[[#This Row],[Applicable Safety mechanism]],Table3[],2,FALSE)</f>
        <v>Not applicable</v>
      </c>
      <c r="N43" s="21" t="str">
        <f>VLOOKUP(Table26[[#This Row],[Applicable Safety mechanism]], Table3[], 3,FALSE)</f>
        <v>-</v>
      </c>
      <c r="O43" s="16">
        <f>VLOOKUP(Table26[[#This Row],[Applicable Safety mechanism]], Table3[], 6,FALSE)</f>
        <v>0</v>
      </c>
      <c r="P43" s="126">
        <f>IF(Table26[[#This Row],[Failure mode that has the potential to violate the safety goal in absence of safety mechanism?]]="Yes", Table26[[#This Row],[Failure mode rate]]*(1-Table26[[#This Row],[Failure mode coverage wrt. violation of safety goals]]), 0)</f>
        <v>0</v>
      </c>
      <c r="Q43" s="318" t="s">
        <v>36</v>
      </c>
      <c r="R43" s="122"/>
      <c r="S43" s="318"/>
      <c r="T43" s="170"/>
      <c r="U43" s="16"/>
      <c r="V43" s="127">
        <f>IF(Table26[[#This Row],[Failure mode that may lead to the violation of safety goals in combination with an independent failure of another block ?]]="Yes",(1-Table26[[#This Row],[Failure mode coverage with respect to latent failures]])*Table26[[#This Row],[Failure mode rate]], 0)</f>
        <v>0</v>
      </c>
      <c r="W43" s="123"/>
      <c r="X43" s="339"/>
      <c r="Y43" s="21">
        <f>IF(Table26[[#This Row],[SR]]="Yes",Table26[[#This Row],[λ]], 0)</f>
        <v>0</v>
      </c>
    </row>
    <row r="44" spans="1:25" outlineLevel="1">
      <c r="A44" s="128" t="s">
        <v>876</v>
      </c>
      <c r="B44" s="122" t="s">
        <v>6</v>
      </c>
      <c r="C44" s="123" t="s">
        <v>72</v>
      </c>
      <c r="D44" s="123"/>
      <c r="E44" s="123"/>
      <c r="F44" s="125">
        <f>VLOOKUP(Table26[Function], Table1[], 5, FALSE)</f>
        <v>2.3876049063912199</v>
      </c>
      <c r="G44" s="19" t="s">
        <v>76</v>
      </c>
      <c r="H44" s="318" t="s">
        <v>36</v>
      </c>
      <c r="I44" s="122" t="s">
        <v>63</v>
      </c>
      <c r="J44" s="124">
        <f t="shared" si="1"/>
        <v>0.1111111111111111</v>
      </c>
      <c r="K44" s="125">
        <f>Table26[[#This Row],[λ]]*Table26[[#This Row],[Failure rate distribution]]</f>
        <v>0.26528943404346889</v>
      </c>
      <c r="L44" s="318" t="s">
        <v>63</v>
      </c>
      <c r="M44" s="20" t="str">
        <f>VLOOKUP(Table26[[#This Row],[Applicable Safety mechanism]],Table3[],2,FALSE)</f>
        <v>Not applicable</v>
      </c>
      <c r="N44" s="21" t="str">
        <f>VLOOKUP(Table26[[#This Row],[Applicable Safety mechanism]], Table3[], 3,FALSE)</f>
        <v>-</v>
      </c>
      <c r="O44" s="16">
        <f>VLOOKUP(Table26[[#This Row],[Applicable Safety mechanism]], Table3[], 6,FALSE)</f>
        <v>0</v>
      </c>
      <c r="P44" s="126">
        <f>IF(Table26[[#This Row],[Failure mode that has the potential to violate the safety goal in absence of safety mechanism?]]="Yes", Table26[[#This Row],[Failure mode rate]]*(1-Table26[[#This Row],[Failure mode coverage wrt. violation of safety goals]]), 0)</f>
        <v>0</v>
      </c>
      <c r="Q44" s="318" t="s">
        <v>36</v>
      </c>
      <c r="R44" s="122"/>
      <c r="S44" s="318"/>
      <c r="T44" s="170"/>
      <c r="U44" s="16"/>
      <c r="V44" s="127">
        <f>IF(Table26[[#This Row],[Failure mode that may lead to the violation of safety goals in combination with an independent failure of another block ?]]="Yes",(1-Table26[[#This Row],[Failure mode coverage with respect to latent failures]])*Table26[[#This Row],[Failure mode rate]], 0)</f>
        <v>0</v>
      </c>
      <c r="W44" s="123"/>
      <c r="X44" s="339"/>
      <c r="Y44" s="21">
        <f>IF(Table26[[#This Row],[SR]]="Yes",Table26[[#This Row],[λ]], 0)</f>
        <v>0</v>
      </c>
    </row>
    <row r="45" spans="1:25">
      <c r="A45" s="18" t="s">
        <v>877</v>
      </c>
      <c r="B45" s="24" t="s">
        <v>6</v>
      </c>
      <c r="C45" s="24" t="s">
        <v>72</v>
      </c>
      <c r="D45" s="122" t="s">
        <v>63</v>
      </c>
      <c r="E45" s="122"/>
      <c r="F45" s="125">
        <f>VLOOKUP(Table26[Function], Table1[], 5, FALSE)</f>
        <v>2.3876049063912199</v>
      </c>
      <c r="G45" s="122" t="s">
        <v>63</v>
      </c>
      <c r="H45" s="318" t="s">
        <v>63</v>
      </c>
      <c r="I45" s="122" t="s">
        <v>63</v>
      </c>
      <c r="J45" s="122" t="s">
        <v>63</v>
      </c>
      <c r="K45" s="125" t="s">
        <v>63</v>
      </c>
      <c r="L45" s="318" t="s">
        <v>63</v>
      </c>
      <c r="M45" s="122" t="s">
        <v>63</v>
      </c>
      <c r="N45" s="122" t="s">
        <v>63</v>
      </c>
      <c r="O45" s="122" t="s">
        <v>63</v>
      </c>
      <c r="P45" s="122" t="s">
        <v>63</v>
      </c>
      <c r="Q45" s="318" t="s">
        <v>63</v>
      </c>
      <c r="R45" s="122"/>
      <c r="S45" s="318"/>
      <c r="T45" s="170"/>
      <c r="U45" s="122"/>
      <c r="V45" s="122"/>
      <c r="W45" s="122"/>
      <c r="X45" s="318"/>
      <c r="Y45" s="21"/>
    </row>
    <row r="46" spans="1:25" ht="86.4" outlineLevel="1">
      <c r="A46" s="128" t="s">
        <v>878</v>
      </c>
      <c r="B46" s="123" t="s">
        <v>7</v>
      </c>
      <c r="C46" s="123" t="s">
        <v>79</v>
      </c>
      <c r="D46" s="123" t="s">
        <v>203</v>
      </c>
      <c r="E46" s="123" t="s">
        <v>204</v>
      </c>
      <c r="F46" s="125">
        <f>VLOOKUP(Table26[Function], Table1[], 5, FALSE)</f>
        <v>3.38417043253712</v>
      </c>
      <c r="G46" s="19" t="s">
        <v>80</v>
      </c>
      <c r="H46" s="318" t="s">
        <v>36</v>
      </c>
      <c r="I46" s="122" t="s">
        <v>63</v>
      </c>
      <c r="J46" s="124">
        <v>0.25</v>
      </c>
      <c r="K46" s="125">
        <f>Table26[[#This Row],[λ]]*Table26[[#This Row],[Failure rate distribution]]</f>
        <v>0.84604260813428001</v>
      </c>
      <c r="L46" s="318" t="s">
        <v>63</v>
      </c>
      <c r="M46" s="20" t="str">
        <f>VLOOKUP(Table26[[#This Row],[Applicable Safety mechanism]],Table3[],2,FALSE)</f>
        <v>Not applicable</v>
      </c>
      <c r="N46" s="21" t="str">
        <f>VLOOKUP(Table26[[#This Row],[Applicable Safety mechanism]], Table3[], 3,FALSE)</f>
        <v>-</v>
      </c>
      <c r="O46" s="16">
        <f>VLOOKUP(Table26[[#This Row],[Applicable Safety mechanism]], Table3[], 6,FALSE)</f>
        <v>0</v>
      </c>
      <c r="P46" s="126">
        <f>IF(Table26[[#This Row],[Failure mode that has the potential to violate the safety goal in absence of safety mechanism?]]="Yes", Table26[[#This Row],[Failure mode rate]]*(1-Table26[[#This Row],[Failure mode coverage wrt. violation of safety goals]]), 0)</f>
        <v>0</v>
      </c>
      <c r="Q46" s="318" t="s">
        <v>36</v>
      </c>
      <c r="R46" s="122"/>
      <c r="S46" s="330"/>
      <c r="T46" s="172"/>
      <c r="U46" s="127">
        <f>IF(Table26[[#This Row],[Failure mode that may lead to the violation of safety goals in combination with an independent failure of another block ?]]="Yes",(1-Table26[[#This Row],[Failure mode coverage with respect to latent failures]])*Table26[[#This Row],[Failure mode rate]], 0)</f>
        <v>0</v>
      </c>
      <c r="V46" s="127">
        <f>IF(Table26[[#This Row],[Failure mode that may lead to the violation of safety goals in combination with an independent failure of another block ?]]="Yes",(1-Table26[[#This Row],[Failure mode coverage with respect to latent failures]])*Table26[[#This Row],[Failure mode rate]], 0)</f>
        <v>0</v>
      </c>
      <c r="W46" s="123"/>
      <c r="X46" s="339" t="s">
        <v>35</v>
      </c>
      <c r="Y46" s="125">
        <f>IF(Table26[[#This Row],[SR]]="Yes",Table26[[#This Row],[λ]], 0)</f>
        <v>3.38417043253712</v>
      </c>
    </row>
    <row r="47" spans="1:25" outlineLevel="1">
      <c r="A47" s="18" t="s">
        <v>879</v>
      </c>
      <c r="B47" s="123" t="s">
        <v>7</v>
      </c>
      <c r="C47" s="123" t="s">
        <v>79</v>
      </c>
      <c r="D47" s="123" t="s">
        <v>203</v>
      </c>
      <c r="E47" s="123" t="s">
        <v>204</v>
      </c>
      <c r="F47" s="125">
        <f>VLOOKUP(Table26[Function], Table1[], 5, FALSE)</f>
        <v>3.38417043253712</v>
      </c>
      <c r="G47" s="129" t="s">
        <v>81</v>
      </c>
      <c r="H47" s="318" t="s">
        <v>36</v>
      </c>
      <c r="I47" s="122" t="s">
        <v>63</v>
      </c>
      <c r="J47" s="124">
        <v>0.25</v>
      </c>
      <c r="K47" s="125">
        <f>Table26[[#This Row],[λ]]*Table26[[#This Row],[Failure rate distribution]]</f>
        <v>0.84604260813428001</v>
      </c>
      <c r="L47" s="324" t="s">
        <v>63</v>
      </c>
      <c r="M47" s="20" t="str">
        <f>VLOOKUP(Table26[[#This Row],[Applicable Safety mechanism]],Table3[],2,FALSE)</f>
        <v>Not applicable</v>
      </c>
      <c r="N47" s="21" t="str">
        <f>VLOOKUP(Table26[[#This Row],[Applicable Safety mechanism]], Table3[], 3,FALSE)</f>
        <v>-</v>
      </c>
      <c r="O47" s="16">
        <f>VLOOKUP(Table26[[#This Row],[Applicable Safety mechanism]], Table3[], 6,FALSE)</f>
        <v>0</v>
      </c>
      <c r="P47" s="126">
        <f>IF(Table26[[#This Row],[Failure mode that has the potential to violate the safety goal in absence of safety mechanism?]]="Yes", Table26[[#This Row],[Failure mode rate]]*(1-Table26[[#This Row],[Failure mode coverage wrt. violation of safety goals]]), 0)</f>
        <v>0</v>
      </c>
      <c r="Q47" s="318" t="s">
        <v>36</v>
      </c>
      <c r="R47" s="122"/>
      <c r="S47" s="330"/>
      <c r="T47" s="172"/>
      <c r="U47" s="127">
        <f>IF(Table26[[#This Row],[Failure mode that may lead to the violation of safety goals in combination with an independent failure of another block ?]]="Yes",(1-Table26[[#This Row],[Failure mode coverage with respect to latent failures]])*Table26[[#This Row],[Failure mode rate]], 0)</f>
        <v>0</v>
      </c>
      <c r="V47" s="127">
        <f>IF(Table26[[#This Row],[Failure mode that may lead to the violation of safety goals in combination with an independent failure of another block ?]]="Yes",(1-Table26[[#This Row],[Failure mode coverage with respect to latent failures]])*Table26[[#This Row],[Failure mode rate]], 0)</f>
        <v>0</v>
      </c>
      <c r="W47" s="123"/>
      <c r="X47" s="339"/>
      <c r="Y47" s="21">
        <f>IF(Table26[[#This Row],[SR]]="Yes",Table26[[#This Row],[λ]], 0)</f>
        <v>0</v>
      </c>
    </row>
    <row r="48" spans="1:25" ht="28.8" outlineLevel="1">
      <c r="A48" s="128" t="s">
        <v>880</v>
      </c>
      <c r="B48" s="123" t="s">
        <v>7</v>
      </c>
      <c r="C48" s="123" t="s">
        <v>79</v>
      </c>
      <c r="D48" s="123" t="s">
        <v>203</v>
      </c>
      <c r="E48" s="123" t="s">
        <v>204</v>
      </c>
      <c r="F48" s="125">
        <f>VLOOKUP(Table26[Function], Table1[], 5, FALSE)</f>
        <v>3.38417043253712</v>
      </c>
      <c r="G48" s="129" t="s">
        <v>358</v>
      </c>
      <c r="H48" s="318" t="s">
        <v>36</v>
      </c>
      <c r="I48" s="122" t="s">
        <v>63</v>
      </c>
      <c r="J48" s="124">
        <v>0.25</v>
      </c>
      <c r="K48" s="125">
        <f>Table26[[#This Row],[λ]]*Table26[[#This Row],[Failure rate distribution]]</f>
        <v>0.84604260813428001</v>
      </c>
      <c r="L48" s="318" t="s">
        <v>63</v>
      </c>
      <c r="M48" s="20" t="str">
        <f>VLOOKUP(Table26[[#This Row],[Applicable Safety mechanism]],Table3[],2,FALSE)</f>
        <v>Not applicable</v>
      </c>
      <c r="N48" s="21" t="str">
        <f>VLOOKUP(Table26[[#This Row],[Applicable Safety mechanism]], Table3[], 3,FALSE)</f>
        <v>-</v>
      </c>
      <c r="O48" s="16">
        <f>VLOOKUP(Table26[[#This Row],[Applicable Safety mechanism]], Table3[], 6,FALSE)</f>
        <v>0</v>
      </c>
      <c r="P48" s="126">
        <f>IF(Table26[[#This Row],[Failure mode that has the potential to violate the safety goal in absence of safety mechanism?]]="Yes", Table26[[#This Row],[Failure mode rate]]*(1-Table26[[#This Row],[Failure mode coverage wrt. violation of safety goals]]), 0)</f>
        <v>0</v>
      </c>
      <c r="Q48" s="318" t="s">
        <v>35</v>
      </c>
      <c r="R48" s="122" t="s">
        <v>511</v>
      </c>
      <c r="S48" s="325" t="s">
        <v>53</v>
      </c>
      <c r="T48" s="20" t="str">
        <f>VLOOKUP(Table26[[#This Row],[Detection means ? Safety mechanism(s) allowing to prevent the failure mode from being latent ?]],Table3[],2,FALSE)</f>
        <v>Error Detection Correction Code (EDC)</v>
      </c>
      <c r="U48" s="16">
        <f>VLOOKUP(Table26[[#This Row],[Detection means ? Safety mechanism(s) allowing to prevent the failure mode from being latent ?]], Table3[], 6,FALSE)</f>
        <v>0.6</v>
      </c>
      <c r="V48" s="125">
        <f>IF(Table26[[#This Row],[Failure mode that may lead to the violation of safety goals in combination with an independent failure of another block ?]]="Yes",(1-Table26[[#This Row],[Failure mode coverage with respect to latent failures]])*Table26[[#This Row],[Failure mode rate]], 0)</f>
        <v>0.33841704325371202</v>
      </c>
      <c r="W48" s="123"/>
      <c r="X48" s="339"/>
      <c r="Y48" s="21">
        <f>IF(Table26[[#This Row],[SR]]="Yes",Table26[[#This Row],[λ]], 0)</f>
        <v>0</v>
      </c>
    </row>
    <row r="49" spans="1:25" ht="28.8" outlineLevel="1">
      <c r="A49" s="18" t="s">
        <v>881</v>
      </c>
      <c r="B49" s="123" t="s">
        <v>7</v>
      </c>
      <c r="C49" s="123" t="s">
        <v>79</v>
      </c>
      <c r="D49" s="123" t="s">
        <v>203</v>
      </c>
      <c r="E49" s="123" t="s">
        <v>204</v>
      </c>
      <c r="F49" s="125">
        <f>VLOOKUP(Table26[Function], Table1[], 5, FALSE)</f>
        <v>3.38417043253712</v>
      </c>
      <c r="G49" s="129" t="s">
        <v>371</v>
      </c>
      <c r="H49" s="318" t="s">
        <v>36</v>
      </c>
      <c r="I49" s="122" t="s">
        <v>63</v>
      </c>
      <c r="J49" s="124">
        <v>0.25</v>
      </c>
      <c r="K49" s="125">
        <f>Table26[[#This Row],[λ]]*Table26[[#This Row],[Failure rate distribution]]</f>
        <v>0.84604260813428001</v>
      </c>
      <c r="L49" s="318" t="s">
        <v>63</v>
      </c>
      <c r="M49" s="20" t="str">
        <f>VLOOKUP(Table26[[#This Row],[Applicable Safety mechanism]],Table3[],2,FALSE)</f>
        <v>Not applicable</v>
      </c>
      <c r="N49" s="21" t="str">
        <f>VLOOKUP(Table26[[#This Row],[Applicable Safety mechanism]], Table3[], 3,FALSE)</f>
        <v>-</v>
      </c>
      <c r="O49" s="16">
        <f>VLOOKUP(Table26[[#This Row],[Applicable Safety mechanism]], Table3[], 6,FALSE)</f>
        <v>0</v>
      </c>
      <c r="P49" s="126">
        <f>IF(Table26[[#This Row],[Failure mode that has the potential to violate the safety goal in absence of safety mechanism?]]="Yes", Table26[[#This Row],[Failure mode rate]]*(1-Table26[[#This Row],[Failure mode coverage wrt. violation of safety goals]]), 0)</f>
        <v>0</v>
      </c>
      <c r="Q49" s="318" t="s">
        <v>35</v>
      </c>
      <c r="R49" s="122" t="s">
        <v>511</v>
      </c>
      <c r="S49" s="325" t="s">
        <v>126</v>
      </c>
      <c r="T49" s="20" t="str">
        <f>VLOOKUP(Table26[[#This Row],[Detection means ? Safety mechanism(s) allowing to prevent the failure mode from being latent ?]],Table3[],2,FALSE)</f>
        <v>Analog and Logical BuitIn Self Test</v>
      </c>
      <c r="U49" s="16">
        <f>VLOOKUP(Table26[[#This Row],[Detection means ? Safety mechanism(s) allowing to prevent the failure mode from being latent ?]], Table3[], 6,FALSE)</f>
        <v>0.6</v>
      </c>
      <c r="V49" s="125">
        <f>IF(Table26[[#This Row],[Failure mode that may lead to the violation of safety goals in combination with an independent failure of another block ?]]="Yes",(1-Table26[[#This Row],[Failure mode coverage with respect to latent failures]])*Table26[[#This Row],[Failure mode rate]], 0)</f>
        <v>0.33841704325371202</v>
      </c>
      <c r="W49" s="123"/>
      <c r="X49" s="339"/>
      <c r="Y49" s="21">
        <f>IF(Table26[[#This Row],[SR]]="Yes",Table26[[#This Row],[λ]], 0)</f>
        <v>0</v>
      </c>
    </row>
    <row r="50" spans="1:25" ht="28.8">
      <c r="A50" s="128" t="s">
        <v>882</v>
      </c>
      <c r="B50" s="24" t="s">
        <v>7</v>
      </c>
      <c r="C50" s="24" t="s">
        <v>79</v>
      </c>
      <c r="D50" s="122" t="s">
        <v>63</v>
      </c>
      <c r="E50" s="122"/>
      <c r="F50" s="125">
        <f>VLOOKUP(Table26[Function], Table1[], 5, FALSE)</f>
        <v>3.38417043253712</v>
      </c>
      <c r="G50" s="122" t="s">
        <v>63</v>
      </c>
      <c r="H50" s="318" t="s">
        <v>63</v>
      </c>
      <c r="I50" s="122" t="s">
        <v>63</v>
      </c>
      <c r="J50" s="122" t="s">
        <v>63</v>
      </c>
      <c r="K50" s="125" t="s">
        <v>63</v>
      </c>
      <c r="L50" s="318" t="s">
        <v>63</v>
      </c>
      <c r="M50" s="122" t="s">
        <v>63</v>
      </c>
      <c r="N50" s="122" t="s">
        <v>63</v>
      </c>
      <c r="O50" s="122" t="s">
        <v>63</v>
      </c>
      <c r="P50" s="122" t="s">
        <v>63</v>
      </c>
      <c r="Q50" s="318" t="s">
        <v>63</v>
      </c>
      <c r="R50" s="122"/>
      <c r="S50" s="318"/>
      <c r="T50" s="170"/>
      <c r="U50" s="122"/>
      <c r="V50" s="122"/>
      <c r="W50" s="122"/>
      <c r="X50" s="318"/>
      <c r="Y50" s="21"/>
    </row>
    <row r="51" spans="1:25" ht="43.2" outlineLevel="1">
      <c r="A51" s="18" t="s">
        <v>883</v>
      </c>
      <c r="B51" s="123" t="s">
        <v>223</v>
      </c>
      <c r="C51" s="123" t="s">
        <v>83</v>
      </c>
      <c r="D51" s="123" t="s">
        <v>208</v>
      </c>
      <c r="E51" s="123" t="s">
        <v>205</v>
      </c>
      <c r="F51" s="125">
        <f>VLOOKUP(Table26[Function], Table1[], 5, FALSE)</f>
        <v>0.28028405422853453</v>
      </c>
      <c r="G51" s="19" t="s">
        <v>86</v>
      </c>
      <c r="H51" s="318" t="s">
        <v>36</v>
      </c>
      <c r="I51" s="122" t="s">
        <v>63</v>
      </c>
      <c r="J51" s="124">
        <f>1/7</f>
        <v>0.14285714285714285</v>
      </c>
      <c r="K51" s="125">
        <f>Table26[[#This Row],[λ]]*Table26[[#This Row],[Failure rate distribution]]</f>
        <v>4.004057917550493E-2</v>
      </c>
      <c r="L51" s="318" t="s">
        <v>63</v>
      </c>
      <c r="M51" s="20" t="str">
        <f>VLOOKUP(Table26[[#This Row],[Applicable Safety mechanism]],Table3[],2,FALSE)</f>
        <v>Not applicable</v>
      </c>
      <c r="N51" s="21" t="str">
        <f>VLOOKUP(Table26[[#This Row],[Applicable Safety mechanism]], Table3[], 3,FALSE)</f>
        <v>-</v>
      </c>
      <c r="O51" s="16">
        <f>VLOOKUP(Table26[[#This Row],[Applicable Safety mechanism]], Table3[], 6,FALSE)</f>
        <v>0</v>
      </c>
      <c r="P51" s="126">
        <f>IF(Table26[[#This Row],[Failure mode that has the potential to violate the safety goal in absence of safety mechanism?]]="Yes", Table26[[#This Row],[Failure mode rate]]*(1-Table26[[#This Row],[Failure mode coverage wrt. violation of safety goals]]), 0)</f>
        <v>0</v>
      </c>
      <c r="Q51" s="318" t="s">
        <v>36</v>
      </c>
      <c r="R51" s="122"/>
      <c r="S51" s="318"/>
      <c r="T51" s="170"/>
      <c r="U51" s="16"/>
      <c r="V51" s="127">
        <f>IF(Table26[[#This Row],[Failure mode that may lead to the violation of safety goals in combination with an independent failure of another block ?]]="Yes",(1-Table26[[#This Row],[Failure mode coverage with respect to latent failures]])*Table26[[#This Row],[Failure mode rate]], 0)</f>
        <v>0</v>
      </c>
      <c r="W51" s="123"/>
      <c r="X51" s="339" t="s">
        <v>35</v>
      </c>
      <c r="Y51" s="125">
        <f>IF(Table26[[#This Row],[SR]]="Yes",Table26[[#This Row],[λ]], 0)</f>
        <v>0.28028405422853453</v>
      </c>
    </row>
    <row r="52" spans="1:25" outlineLevel="1">
      <c r="A52" s="128" t="s">
        <v>884</v>
      </c>
      <c r="B52" s="123" t="s">
        <v>223</v>
      </c>
      <c r="C52" s="123" t="s">
        <v>83</v>
      </c>
      <c r="D52" s="123"/>
      <c r="E52" s="123"/>
      <c r="F52" s="125">
        <f>VLOOKUP(Table26[Function], Table1[], 5, FALSE)</f>
        <v>0.28028405422853453</v>
      </c>
      <c r="G52" s="19" t="s">
        <v>87</v>
      </c>
      <c r="H52" s="318" t="s">
        <v>36</v>
      </c>
      <c r="I52" s="122" t="s">
        <v>63</v>
      </c>
      <c r="J52" s="124">
        <f>1/7</f>
        <v>0.14285714285714285</v>
      </c>
      <c r="K52" s="125">
        <f>Table26[[#This Row],[λ]]*Table26[[#This Row],[Failure rate distribution]]</f>
        <v>4.004057917550493E-2</v>
      </c>
      <c r="L52" s="318" t="s">
        <v>63</v>
      </c>
      <c r="M52" s="20" t="str">
        <f>VLOOKUP(Table26[[#This Row],[Applicable Safety mechanism]],Table3[],2,FALSE)</f>
        <v>Not applicable</v>
      </c>
      <c r="N52" s="21" t="str">
        <f>VLOOKUP(Table26[[#This Row],[Applicable Safety mechanism]], Table3[], 3,FALSE)</f>
        <v>-</v>
      </c>
      <c r="O52" s="16">
        <f>VLOOKUP(Table26[[#This Row],[Applicable Safety mechanism]], Table3[], 6,FALSE)</f>
        <v>0</v>
      </c>
      <c r="P52" s="126">
        <f>IF(Table26[[#This Row],[Failure mode that has the potential to violate the safety goal in absence of safety mechanism?]]="Yes", Table26[[#This Row],[Failure mode rate]]*(1-Table26[[#This Row],[Failure mode coverage wrt. violation of safety goals]]), 0)</f>
        <v>0</v>
      </c>
      <c r="Q52" s="318" t="s">
        <v>36</v>
      </c>
      <c r="R52" s="122"/>
      <c r="S52" s="318"/>
      <c r="T52" s="170"/>
      <c r="U52" s="16"/>
      <c r="V52" s="127">
        <f>IF(Table26[[#This Row],[Failure mode that may lead to the violation of safety goals in combination with an independent failure of another block ?]]="Yes",(1-Table26[[#This Row],[Failure mode coverage with respect to latent failures]])*Table26[[#This Row],[Failure mode rate]], 0)</f>
        <v>0</v>
      </c>
      <c r="W52" s="123"/>
      <c r="X52" s="339"/>
      <c r="Y52" s="21">
        <f>IF(Table26[[#This Row],[SR]]="Yes",Table26[[#This Row],[λ]], 0)</f>
        <v>0</v>
      </c>
    </row>
    <row r="53" spans="1:25" s="203" customFormat="1" outlineLevel="1">
      <c r="A53" s="18" t="s">
        <v>885</v>
      </c>
      <c r="B53" s="144" t="s">
        <v>223</v>
      </c>
      <c r="C53" s="144" t="s">
        <v>83</v>
      </c>
      <c r="D53" s="144"/>
      <c r="E53" s="144"/>
      <c r="F53" s="146">
        <f>VLOOKUP(Table26[Function], Table1[], 5, FALSE)</f>
        <v>0.28028405422853453</v>
      </c>
      <c r="G53" s="19" t="s">
        <v>88</v>
      </c>
      <c r="H53" s="318" t="s">
        <v>36</v>
      </c>
      <c r="I53" s="122" t="s">
        <v>63</v>
      </c>
      <c r="J53" s="124">
        <v>0</v>
      </c>
      <c r="K53" s="146">
        <f>Table26[[#This Row],[λ]]*Table26[[#This Row],[Failure rate distribution]]</f>
        <v>0</v>
      </c>
      <c r="L53" s="318" t="s">
        <v>63</v>
      </c>
      <c r="M53" s="147" t="str">
        <f>VLOOKUP(Table26[[#This Row],[Applicable Safety mechanism]],Table3[],2,FALSE)</f>
        <v>Not applicable</v>
      </c>
      <c r="N53" s="148" t="str">
        <f>VLOOKUP(Table26[[#This Row],[Applicable Safety mechanism]], Table3[], 3,FALSE)</f>
        <v>-</v>
      </c>
      <c r="O53" s="16">
        <f>VLOOKUP(Table26[[#This Row],[Applicable Safety mechanism]], Table3[], 6,FALSE)</f>
        <v>0</v>
      </c>
      <c r="P53" s="150">
        <f>IF(Table26[[#This Row],[Failure mode that has the potential to violate the safety goal in absence of safety mechanism?]]="Yes", Table26[[#This Row],[Failure mode rate]]*(1-Table26[[#This Row],[Failure mode coverage wrt. violation of safety goals]]), 0)</f>
        <v>0</v>
      </c>
      <c r="Q53" s="319" t="s">
        <v>36</v>
      </c>
      <c r="R53" s="145"/>
      <c r="S53" s="319"/>
      <c r="T53" s="129"/>
      <c r="U53" s="149"/>
      <c r="V53" s="151">
        <f>IF(Table26[[#This Row],[Failure mode that may lead to the violation of safety goals in combination with an independent failure of another block ?]]="Yes",(1-Table26[[#This Row],[Failure mode coverage with respect to latent failures]])*Table26[[#This Row],[Failure mode rate]], 0)</f>
        <v>0</v>
      </c>
      <c r="W53" s="144"/>
      <c r="X53" s="340"/>
      <c r="Y53" s="148">
        <f>IF(Table26[[#This Row],[SR]]="Yes",Table26[[#This Row],[λ]], 0)</f>
        <v>0</v>
      </c>
    </row>
    <row r="54" spans="1:25" s="203" customFormat="1" outlineLevel="1">
      <c r="A54" s="128" t="s">
        <v>886</v>
      </c>
      <c r="B54" s="144" t="s">
        <v>223</v>
      </c>
      <c r="C54" s="144" t="s">
        <v>83</v>
      </c>
      <c r="D54" s="144"/>
      <c r="E54" s="144"/>
      <c r="F54" s="146">
        <f>VLOOKUP(Table26[Function], Table1[], 5, FALSE)</f>
        <v>0.28028405422853453</v>
      </c>
      <c r="G54" s="19" t="s">
        <v>89</v>
      </c>
      <c r="H54" s="318" t="s">
        <v>36</v>
      </c>
      <c r="I54" s="122" t="s">
        <v>63</v>
      </c>
      <c r="J54" s="124">
        <v>0</v>
      </c>
      <c r="K54" s="146">
        <f>Table26[[#This Row],[λ]]*Table26[[#This Row],[Failure rate distribution]]</f>
        <v>0</v>
      </c>
      <c r="L54" s="318" t="s">
        <v>63</v>
      </c>
      <c r="M54" s="147" t="str">
        <f>VLOOKUP(Table26[[#This Row],[Applicable Safety mechanism]],Table3[],2,FALSE)</f>
        <v>Not applicable</v>
      </c>
      <c r="N54" s="148" t="str">
        <f>VLOOKUP(Table26[[#This Row],[Applicable Safety mechanism]], Table3[], 3,FALSE)</f>
        <v>-</v>
      </c>
      <c r="O54" s="16">
        <f>VLOOKUP(Table26[[#This Row],[Applicable Safety mechanism]], Table3[], 6,FALSE)</f>
        <v>0</v>
      </c>
      <c r="P54" s="150">
        <f>IF(Table26[[#This Row],[Failure mode that has the potential to violate the safety goal in absence of safety mechanism?]]="Yes", Table26[[#This Row],[Failure mode rate]]*(1-Table26[[#This Row],[Failure mode coverage wrt. violation of safety goals]]), 0)</f>
        <v>0</v>
      </c>
      <c r="Q54" s="319" t="s">
        <v>36</v>
      </c>
      <c r="R54" s="145"/>
      <c r="S54" s="319"/>
      <c r="T54" s="129"/>
      <c r="U54" s="149"/>
      <c r="V54" s="151">
        <f>IF(Table26[[#This Row],[Failure mode that may lead to the violation of safety goals in combination with an independent failure of another block ?]]="Yes",(1-Table26[[#This Row],[Failure mode coverage with respect to latent failures]])*Table26[[#This Row],[Failure mode rate]], 0)</f>
        <v>0</v>
      </c>
      <c r="W54" s="144"/>
      <c r="X54" s="340"/>
      <c r="Y54" s="148">
        <f>IF(Table26[[#This Row],[SR]]="Yes",Table26[[#This Row],[λ]], 0)</f>
        <v>0</v>
      </c>
    </row>
    <row r="55" spans="1:25" outlineLevel="1">
      <c r="A55" s="18" t="s">
        <v>887</v>
      </c>
      <c r="B55" s="123" t="s">
        <v>223</v>
      </c>
      <c r="C55" s="123" t="s">
        <v>83</v>
      </c>
      <c r="D55" s="123"/>
      <c r="E55" s="123"/>
      <c r="F55" s="125">
        <f>VLOOKUP(Table26[Function], Table1[], 5, FALSE)</f>
        <v>0.28028405422853453</v>
      </c>
      <c r="G55" s="19" t="s">
        <v>90</v>
      </c>
      <c r="H55" s="318" t="s">
        <v>36</v>
      </c>
      <c r="I55" s="122" t="s">
        <v>63</v>
      </c>
      <c r="J55" s="124">
        <f>1/7</f>
        <v>0.14285714285714285</v>
      </c>
      <c r="K55" s="125">
        <f>Table26[[#This Row],[λ]]*Table26[[#This Row],[Failure rate distribution]]</f>
        <v>4.004057917550493E-2</v>
      </c>
      <c r="L55" s="318" t="s">
        <v>63</v>
      </c>
      <c r="M55" s="20" t="str">
        <f>VLOOKUP(Table26[[#This Row],[Applicable Safety mechanism]],Table3[],2,FALSE)</f>
        <v>Not applicable</v>
      </c>
      <c r="N55" s="21" t="str">
        <f>VLOOKUP(Table26[[#This Row],[Applicable Safety mechanism]], Table3[], 3,FALSE)</f>
        <v>-</v>
      </c>
      <c r="O55" s="16">
        <f>VLOOKUP(Table26[[#This Row],[Applicable Safety mechanism]], Table3[], 6,FALSE)</f>
        <v>0</v>
      </c>
      <c r="P55" s="126">
        <f>IF(Table26[[#This Row],[Failure mode that has the potential to violate the safety goal in absence of safety mechanism?]]="Yes", Table26[[#This Row],[Failure mode rate]]*(1-Table26[[#This Row],[Failure mode coverage wrt. violation of safety goals]]), 0)</f>
        <v>0</v>
      </c>
      <c r="Q55" s="318" t="s">
        <v>36</v>
      </c>
      <c r="R55" s="122"/>
      <c r="S55" s="318"/>
      <c r="T55" s="170"/>
      <c r="U55" s="16"/>
      <c r="V55" s="127">
        <f>IF(Table26[[#This Row],[Failure mode that may lead to the violation of safety goals in combination with an independent failure of another block ?]]="Yes",(1-Table26[[#This Row],[Failure mode coverage with respect to latent failures]])*Table26[[#This Row],[Failure mode rate]], 0)</f>
        <v>0</v>
      </c>
      <c r="W55" s="123"/>
      <c r="X55" s="339"/>
      <c r="Y55" s="21">
        <f>IF(Table26[[#This Row],[SR]]="Yes",Table26[[#This Row],[λ]], 0)</f>
        <v>0</v>
      </c>
    </row>
    <row r="56" spans="1:25" outlineLevel="1">
      <c r="A56" s="128" t="s">
        <v>888</v>
      </c>
      <c r="B56" s="123" t="s">
        <v>223</v>
      </c>
      <c r="C56" s="123" t="s">
        <v>83</v>
      </c>
      <c r="D56" s="123"/>
      <c r="E56" s="123"/>
      <c r="F56" s="125">
        <f>VLOOKUP(Table26[Function], Table1[], 5, FALSE)</f>
        <v>0.28028405422853453</v>
      </c>
      <c r="G56" s="19" t="s">
        <v>91</v>
      </c>
      <c r="H56" s="318" t="s">
        <v>36</v>
      </c>
      <c r="I56" s="122" t="s">
        <v>63</v>
      </c>
      <c r="J56" s="124">
        <f>1/7</f>
        <v>0.14285714285714285</v>
      </c>
      <c r="K56" s="125">
        <f>Table26[[#This Row],[λ]]*Table26[[#This Row],[Failure rate distribution]]</f>
        <v>4.004057917550493E-2</v>
      </c>
      <c r="L56" s="318" t="s">
        <v>63</v>
      </c>
      <c r="M56" s="20" t="str">
        <f>VLOOKUP(Table26[[#This Row],[Applicable Safety mechanism]],Table3[],2,FALSE)</f>
        <v>Not applicable</v>
      </c>
      <c r="N56" s="21" t="str">
        <f>VLOOKUP(Table26[[#This Row],[Applicable Safety mechanism]], Table3[], 3,FALSE)</f>
        <v>-</v>
      </c>
      <c r="O56" s="16">
        <f>VLOOKUP(Table26[[#This Row],[Applicable Safety mechanism]], Table3[], 6,FALSE)</f>
        <v>0</v>
      </c>
      <c r="P56" s="126">
        <f>IF(Table26[[#This Row],[Failure mode that has the potential to violate the safety goal in absence of safety mechanism?]]="Yes", Table26[[#This Row],[Failure mode rate]]*(1-Table26[[#This Row],[Failure mode coverage wrt. violation of safety goals]]), 0)</f>
        <v>0</v>
      </c>
      <c r="Q56" s="318" t="s">
        <v>36</v>
      </c>
      <c r="R56" s="122"/>
      <c r="S56" s="318"/>
      <c r="T56" s="170"/>
      <c r="U56" s="16"/>
      <c r="V56" s="127">
        <f>IF(Table26[[#This Row],[Failure mode that may lead to the violation of safety goals in combination with an independent failure of another block ?]]="Yes",(1-Table26[[#This Row],[Failure mode coverage with respect to latent failures]])*Table26[[#This Row],[Failure mode rate]], 0)</f>
        <v>0</v>
      </c>
      <c r="W56" s="123"/>
      <c r="X56" s="339"/>
      <c r="Y56" s="21">
        <f>IF(Table26[[#This Row],[SR]]="Yes",Table26[[#This Row],[λ]], 0)</f>
        <v>0</v>
      </c>
    </row>
    <row r="57" spans="1:25" s="204" customFormat="1" ht="28.8" outlineLevel="1">
      <c r="A57" s="18" t="s">
        <v>889</v>
      </c>
      <c r="B57" s="34" t="s">
        <v>223</v>
      </c>
      <c r="C57" s="34" t="s">
        <v>83</v>
      </c>
      <c r="D57" s="34"/>
      <c r="E57" s="34"/>
      <c r="F57" s="153">
        <f>VLOOKUP(Table26[Function], Table1[], 5, FALSE)</f>
        <v>0.28028405422853453</v>
      </c>
      <c r="G57" s="152" t="s">
        <v>349</v>
      </c>
      <c r="H57" s="318" t="s">
        <v>36</v>
      </c>
      <c r="I57" s="122" t="s">
        <v>63</v>
      </c>
      <c r="J57" s="124">
        <f>1/7</f>
        <v>0.14285714285714285</v>
      </c>
      <c r="K57" s="153">
        <f>Table26[[#This Row],[λ]]*Table26[[#This Row],[Failure rate distribution]]</f>
        <v>4.004057917550493E-2</v>
      </c>
      <c r="L57" s="318" t="s">
        <v>63</v>
      </c>
      <c r="M57" s="154" t="str">
        <f>VLOOKUP(Table26[[#This Row],[Applicable Safety mechanism]],Table3[],2,FALSE)</f>
        <v>Not applicable</v>
      </c>
      <c r="N57" s="67" t="str">
        <f>VLOOKUP(Table26[[#This Row],[Applicable Safety mechanism]], Table3[], 3,FALSE)</f>
        <v>-</v>
      </c>
      <c r="O57" s="155">
        <f>VLOOKUP(Table26[[#This Row],[Applicable Safety mechanism]], Table3[], 6,FALSE)</f>
        <v>0</v>
      </c>
      <c r="P57" s="156">
        <f>IF(Table26[[#This Row],[Failure mode that has the potential to violate the safety goal in absence of safety mechanism?]]="Yes", Table26[[#This Row],[Failure mode rate]]*(1-Table26[[#This Row],[Failure mode coverage wrt. violation of safety goals]]), 0)</f>
        <v>0</v>
      </c>
      <c r="Q57" s="321" t="s">
        <v>36</v>
      </c>
      <c r="R57" s="143"/>
      <c r="S57" s="321"/>
      <c r="T57" s="173"/>
      <c r="U57" s="155"/>
      <c r="V57" s="157">
        <f>IF(Table26[[#This Row],[Failure mode that may lead to the violation of safety goals in combination with an independent failure of another block ?]]="Yes",(1-Table26[[#This Row],[Failure mode coverage with respect to latent failures]])*Table26[[#This Row],[Failure mode rate]], 0)</f>
        <v>0</v>
      </c>
      <c r="W57" s="34"/>
      <c r="X57" s="341"/>
      <c r="Y57" s="67">
        <f>IF(Table26[[#This Row],[SR]]="Yes",Table26[[#This Row],[λ]], 0)</f>
        <v>0</v>
      </c>
    </row>
    <row r="58" spans="1:25" outlineLevel="1">
      <c r="A58" s="128" t="s">
        <v>890</v>
      </c>
      <c r="B58" s="123" t="s">
        <v>223</v>
      </c>
      <c r="C58" s="123" t="s">
        <v>83</v>
      </c>
      <c r="D58" s="123"/>
      <c r="E58" s="123"/>
      <c r="F58" s="125">
        <f>VLOOKUP(Table26[Function], Table1[], 5, FALSE)</f>
        <v>0.28028405422853453</v>
      </c>
      <c r="G58" s="19" t="s">
        <v>92</v>
      </c>
      <c r="H58" s="318" t="s">
        <v>36</v>
      </c>
      <c r="I58" s="122" t="s">
        <v>63</v>
      </c>
      <c r="J58" s="124">
        <f>1/7</f>
        <v>0.14285714285714285</v>
      </c>
      <c r="K58" s="125">
        <f>Table26[[#This Row],[λ]]*Table26[[#This Row],[Failure rate distribution]]</f>
        <v>4.004057917550493E-2</v>
      </c>
      <c r="L58" s="318" t="s">
        <v>63</v>
      </c>
      <c r="M58" s="20" t="str">
        <f>VLOOKUP(Table26[[#This Row],[Applicable Safety mechanism]],Table3[],2,FALSE)</f>
        <v>Not applicable</v>
      </c>
      <c r="N58" s="21" t="str">
        <f>VLOOKUP(Table26[[#This Row],[Applicable Safety mechanism]], Table3[], 3,FALSE)</f>
        <v>-</v>
      </c>
      <c r="O58" s="16">
        <f>VLOOKUP(Table26[[#This Row],[Applicable Safety mechanism]], Table3[], 6,FALSE)</f>
        <v>0</v>
      </c>
      <c r="P58" s="126">
        <f>IF(Table26[[#This Row],[Failure mode that has the potential to violate the safety goal in absence of safety mechanism?]]="Yes", Table26[[#This Row],[Failure mode rate]]*(1-Table26[[#This Row],[Failure mode coverage wrt. violation of safety goals]]), 0)</f>
        <v>0</v>
      </c>
      <c r="Q58" s="318" t="s">
        <v>36</v>
      </c>
      <c r="R58" s="122"/>
      <c r="S58" s="318"/>
      <c r="T58" s="170"/>
      <c r="U58" s="16"/>
      <c r="V58" s="127">
        <f>IF(Table26[[#This Row],[Failure mode that may lead to the violation of safety goals in combination with an independent failure of another block ?]]="Yes",(1-Table26[[#This Row],[Failure mode coverage with respect to latent failures]])*Table26[[#This Row],[Failure mode rate]], 0)</f>
        <v>0</v>
      </c>
      <c r="W58" s="123"/>
      <c r="X58" s="339"/>
      <c r="Y58" s="21">
        <f>IF(Table26[[#This Row],[SR]]="Yes",Table26[[#This Row],[λ]], 0)</f>
        <v>0</v>
      </c>
    </row>
    <row r="59" spans="1:25" outlineLevel="1">
      <c r="A59" s="18" t="s">
        <v>891</v>
      </c>
      <c r="B59" s="123" t="s">
        <v>223</v>
      </c>
      <c r="C59" s="123" t="s">
        <v>83</v>
      </c>
      <c r="D59" s="123"/>
      <c r="E59" s="123"/>
      <c r="F59" s="125">
        <f>VLOOKUP(Table26[Function], Table1[], 5, FALSE)</f>
        <v>0.28028405422853453</v>
      </c>
      <c r="G59" s="129" t="s">
        <v>345</v>
      </c>
      <c r="H59" s="318" t="s">
        <v>36</v>
      </c>
      <c r="I59" s="122" t="s">
        <v>63</v>
      </c>
      <c r="J59" s="124">
        <f>1/7</f>
        <v>0.14285714285714285</v>
      </c>
      <c r="K59" s="125">
        <f>Table26[[#This Row],[λ]]*Table26[[#This Row],[Failure rate distribution]]</f>
        <v>4.004057917550493E-2</v>
      </c>
      <c r="L59" s="318" t="s">
        <v>63</v>
      </c>
      <c r="M59" s="20" t="str">
        <f>VLOOKUP(Table26[[#This Row],[Applicable Safety mechanism]],Table3[],2,FALSE)</f>
        <v>Not applicable</v>
      </c>
      <c r="N59" s="67" t="str">
        <f>VLOOKUP(Table26[[#This Row],[Applicable Safety mechanism]], Table3[], 3,FALSE)</f>
        <v>-</v>
      </c>
      <c r="O59" s="16">
        <f>VLOOKUP(Table26[[#This Row],[Applicable Safety mechanism]], Table3[], 6,FALSE)</f>
        <v>0</v>
      </c>
      <c r="P59" s="126">
        <f>IF(Table26[[#This Row],[Failure mode that has the potential to violate the safety goal in absence of safety mechanism?]]="Yes", Table26[[#This Row],[Failure mode rate]]*(1-Table26[[#This Row],[Failure mode coverage wrt. violation of safety goals]]), 0)</f>
        <v>0</v>
      </c>
      <c r="Q59" s="318" t="s">
        <v>36</v>
      </c>
      <c r="R59" s="122"/>
      <c r="S59" s="318"/>
      <c r="T59" s="170"/>
      <c r="U59" s="16"/>
      <c r="V59" s="127">
        <f>IF(Table26[[#This Row],[Failure mode that may lead to the violation of safety goals in combination with an independent failure of another block ?]]="Yes",(1-Table26[[#This Row],[Failure mode coverage with respect to latent failures]])*Table26[[#This Row],[Failure mode rate]], 0)</f>
        <v>0</v>
      </c>
      <c r="W59" s="34"/>
      <c r="X59" s="339"/>
      <c r="Y59" s="21">
        <f>IF(Table26[[#This Row],[SR]]="Yes",Table26[[#This Row],[λ]], 0)</f>
        <v>0</v>
      </c>
    </row>
    <row r="60" spans="1:25" ht="43.2">
      <c r="A60" s="128" t="s">
        <v>892</v>
      </c>
      <c r="B60" s="24" t="s">
        <v>223</v>
      </c>
      <c r="C60" s="24" t="s">
        <v>83</v>
      </c>
      <c r="D60" s="122" t="s">
        <v>63</v>
      </c>
      <c r="E60" s="122"/>
      <c r="F60" s="125">
        <f>VLOOKUP(Table26[Function], Table1[], 5, FALSE)</f>
        <v>0.28028405422853453</v>
      </c>
      <c r="G60" s="122" t="s">
        <v>63</v>
      </c>
      <c r="H60" s="318" t="s">
        <v>63</v>
      </c>
      <c r="I60" s="122" t="s">
        <v>63</v>
      </c>
      <c r="J60" s="122" t="s">
        <v>63</v>
      </c>
      <c r="K60" s="125" t="s">
        <v>63</v>
      </c>
      <c r="L60" s="318" t="s">
        <v>63</v>
      </c>
      <c r="M60" s="122" t="s">
        <v>63</v>
      </c>
      <c r="N60" s="122" t="s">
        <v>63</v>
      </c>
      <c r="O60" s="122" t="s">
        <v>63</v>
      </c>
      <c r="P60" s="122" t="s">
        <v>63</v>
      </c>
      <c r="Q60" s="318" t="s">
        <v>63</v>
      </c>
      <c r="R60" s="122"/>
      <c r="S60" s="318"/>
      <c r="T60" s="170"/>
      <c r="U60" s="122"/>
      <c r="V60" s="122"/>
      <c r="W60" s="122"/>
      <c r="X60" s="318"/>
      <c r="Y60" s="21"/>
    </row>
    <row r="61" spans="1:25" ht="43.2" outlineLevel="1">
      <c r="A61" s="18" t="s">
        <v>893</v>
      </c>
      <c r="B61" s="67" t="s">
        <v>224</v>
      </c>
      <c r="C61" s="122" t="s">
        <v>84</v>
      </c>
      <c r="D61" s="123" t="s">
        <v>206</v>
      </c>
      <c r="E61" s="123" t="s">
        <v>207</v>
      </c>
      <c r="F61" s="125">
        <f>VLOOKUP(Table26[Function], Table1[], 5, FALSE)</f>
        <v>7.2666236281471924E-2</v>
      </c>
      <c r="G61" s="19" t="s">
        <v>93</v>
      </c>
      <c r="H61" s="318" t="s">
        <v>36</v>
      </c>
      <c r="I61" s="122" t="s">
        <v>63</v>
      </c>
      <c r="J61" s="124">
        <f>1/5</f>
        <v>0.2</v>
      </c>
      <c r="K61" s="125">
        <f>Table26[[#This Row],[λ]]*Table26[[#This Row],[Failure rate distribution]]</f>
        <v>1.4533247256294386E-2</v>
      </c>
      <c r="L61" s="318" t="s">
        <v>63</v>
      </c>
      <c r="M61" s="20" t="str">
        <f>VLOOKUP(Table26[[#This Row],[Applicable Safety mechanism]],Table3[],2,FALSE)</f>
        <v>Not applicable</v>
      </c>
      <c r="N61" s="21" t="str">
        <f>VLOOKUP(Table26[[#This Row],[Applicable Safety mechanism]], Table3[], 3,FALSE)</f>
        <v>-</v>
      </c>
      <c r="O61" s="16">
        <f>VLOOKUP(Table26[[#This Row],[Applicable Safety mechanism]], Table3[], 6,FALSE)</f>
        <v>0</v>
      </c>
      <c r="P61" s="126">
        <f>IF(Table26[[#This Row],[Failure mode that has the potential to violate the safety goal in absence of safety mechanism?]]="Yes", Table26[[#This Row],[Failure mode rate]]*(1-Table26[[#This Row],[Failure mode coverage wrt. violation of safety goals]]), 0)</f>
        <v>0</v>
      </c>
      <c r="Q61" s="318" t="s">
        <v>36</v>
      </c>
      <c r="R61" s="122"/>
      <c r="S61" s="318"/>
      <c r="T61" s="170"/>
      <c r="U61" s="16"/>
      <c r="V61" s="167">
        <f>IF(Table26[[#This Row],[Failure mode that may lead to the violation of safety goals in combination with an independent failure of another block ?]]="Yes",(1-Table26[[#This Row],[Failure mode coverage with respect to latent failures]])*Table26[[#This Row],[Failure mode rate]], 0)</f>
        <v>0</v>
      </c>
      <c r="W61" s="123"/>
      <c r="X61" s="339" t="s">
        <v>35</v>
      </c>
      <c r="Y61" s="125">
        <f>IF(Table26[[#This Row],[SR]]="Yes",Table26[[#This Row],[λ]], 0)</f>
        <v>7.2666236281471924E-2</v>
      </c>
    </row>
    <row r="62" spans="1:25" outlineLevel="1">
      <c r="A62" s="128" t="s">
        <v>894</v>
      </c>
      <c r="B62" s="123" t="s">
        <v>224</v>
      </c>
      <c r="C62" s="123" t="s">
        <v>84</v>
      </c>
      <c r="D62" s="123"/>
      <c r="E62" s="123"/>
      <c r="F62" s="125">
        <f>VLOOKUP(Table26[Function], Table1[], 5, FALSE)</f>
        <v>7.2666236281471924E-2</v>
      </c>
      <c r="G62" s="19" t="s">
        <v>94</v>
      </c>
      <c r="H62" s="318" t="s">
        <v>36</v>
      </c>
      <c r="I62" s="122" t="s">
        <v>63</v>
      </c>
      <c r="J62" s="124">
        <f t="shared" ref="J62:J65" si="2">1/5</f>
        <v>0.2</v>
      </c>
      <c r="K62" s="125">
        <f>Table26[[#This Row],[λ]]*Table26[[#This Row],[Failure rate distribution]]</f>
        <v>1.4533247256294386E-2</v>
      </c>
      <c r="L62" s="318" t="s">
        <v>63</v>
      </c>
      <c r="M62" s="20" t="str">
        <f>VLOOKUP(Table26[[#This Row],[Applicable Safety mechanism]],Table3[],2,FALSE)</f>
        <v>Not applicable</v>
      </c>
      <c r="N62" s="21" t="str">
        <f>VLOOKUP(Table26[[#This Row],[Applicable Safety mechanism]], Table3[], 3,FALSE)</f>
        <v>-</v>
      </c>
      <c r="O62" s="16">
        <f>VLOOKUP(Table26[[#This Row],[Applicable Safety mechanism]], Table3[], 6,FALSE)</f>
        <v>0</v>
      </c>
      <c r="P62" s="126">
        <f>IF(Table26[[#This Row],[Failure mode that has the potential to violate the safety goal in absence of safety mechanism?]]="Yes", Table26[[#This Row],[Failure mode rate]]*(1-Table26[[#This Row],[Failure mode coverage wrt. violation of safety goals]]), 0)</f>
        <v>0</v>
      </c>
      <c r="Q62" s="318" t="s">
        <v>36</v>
      </c>
      <c r="R62" s="122"/>
      <c r="S62" s="318"/>
      <c r="T62" s="170"/>
      <c r="U62" s="16"/>
      <c r="V62" s="167">
        <f>IF(Table26[[#This Row],[Failure mode that may lead to the violation of safety goals in combination with an independent failure of another block ?]]="Yes",(1-Table26[[#This Row],[Failure mode coverage with respect to latent failures]])*Table26[[#This Row],[Failure mode rate]], 0)</f>
        <v>0</v>
      </c>
      <c r="W62" s="123"/>
      <c r="X62" s="339"/>
      <c r="Y62" s="21">
        <f>IF(Table26[[#This Row],[SR]]="Yes",Table26[[#This Row],[λ]], 0)</f>
        <v>0</v>
      </c>
    </row>
    <row r="63" spans="1:25" ht="28.8" outlineLevel="1">
      <c r="A63" s="18" t="s">
        <v>895</v>
      </c>
      <c r="B63" s="123" t="s">
        <v>224</v>
      </c>
      <c r="C63" s="123" t="s">
        <v>84</v>
      </c>
      <c r="D63" s="123"/>
      <c r="E63" s="123"/>
      <c r="F63" s="125">
        <f>VLOOKUP(Table26[Function], Table1[], 5, FALSE)</f>
        <v>7.2666236281471924E-2</v>
      </c>
      <c r="G63" s="19" t="s">
        <v>350</v>
      </c>
      <c r="H63" s="318" t="s">
        <v>36</v>
      </c>
      <c r="I63" s="122" t="s">
        <v>63</v>
      </c>
      <c r="J63" s="124">
        <f t="shared" si="2"/>
        <v>0.2</v>
      </c>
      <c r="K63" s="125">
        <f>Table26[[#This Row],[λ]]*Table26[[#This Row],[Failure rate distribution]]</f>
        <v>1.4533247256294386E-2</v>
      </c>
      <c r="L63" s="318" t="s">
        <v>63</v>
      </c>
      <c r="M63" s="20" t="str">
        <f>VLOOKUP(Table26[[#This Row],[Applicable Safety mechanism]],Table3[],2,FALSE)</f>
        <v>Not applicable</v>
      </c>
      <c r="N63" s="21" t="str">
        <f>VLOOKUP(Table26[[#This Row],[Applicable Safety mechanism]], Table3[], 3,FALSE)</f>
        <v>-</v>
      </c>
      <c r="O63" s="16">
        <f>VLOOKUP(Table26[[#This Row],[Applicable Safety mechanism]], Table3[], 6,FALSE)</f>
        <v>0</v>
      </c>
      <c r="P63" s="126">
        <f>IF(Table26[[#This Row],[Failure mode that has the potential to violate the safety goal in absence of safety mechanism?]]="Yes", Table26[[#This Row],[Failure mode rate]]*(1-Table26[[#This Row],[Failure mode coverage wrt. violation of safety goals]]), 0)</f>
        <v>0</v>
      </c>
      <c r="Q63" s="318" t="s">
        <v>36</v>
      </c>
      <c r="R63" s="68"/>
      <c r="S63" s="318"/>
      <c r="T63" s="170"/>
      <c r="U63" s="16"/>
      <c r="V63" s="125">
        <f>IF(Table26[[#This Row],[Failure mode that may lead to the violation of safety goals in combination with an independent failure of another block ?]]="Yes",(1-Table26[[#This Row],[Failure mode coverage with respect to latent failures]])*Table26[[#This Row],[Failure mode rate]], 0)</f>
        <v>0</v>
      </c>
      <c r="W63" s="123"/>
      <c r="X63" s="339"/>
      <c r="Y63" s="21">
        <f>IF(Table26[[#This Row],[SR]]="Yes",Table26[[#This Row],[λ]], 0)</f>
        <v>0</v>
      </c>
    </row>
    <row r="64" spans="1:25" outlineLevel="1">
      <c r="A64" s="128" t="s">
        <v>896</v>
      </c>
      <c r="B64" s="123" t="s">
        <v>224</v>
      </c>
      <c r="C64" s="123" t="s">
        <v>84</v>
      </c>
      <c r="D64" s="123"/>
      <c r="E64" s="123"/>
      <c r="F64" s="125">
        <f>VLOOKUP(Table26[Function], Table1[], 5, FALSE)</f>
        <v>7.2666236281471924E-2</v>
      </c>
      <c r="G64" s="19" t="s">
        <v>95</v>
      </c>
      <c r="H64" s="318" t="s">
        <v>36</v>
      </c>
      <c r="I64" s="122" t="s">
        <v>63</v>
      </c>
      <c r="J64" s="124">
        <f t="shared" si="2"/>
        <v>0.2</v>
      </c>
      <c r="K64" s="125">
        <f>Table26[[#This Row],[λ]]*Table26[[#This Row],[Failure rate distribution]]</f>
        <v>1.4533247256294386E-2</v>
      </c>
      <c r="L64" s="318" t="s">
        <v>63</v>
      </c>
      <c r="M64" s="20" t="str">
        <f>VLOOKUP(Table26[[#This Row],[Applicable Safety mechanism]],Table3[],2,FALSE)</f>
        <v>Not applicable</v>
      </c>
      <c r="N64" s="21" t="str">
        <f>VLOOKUP(Table26[[#This Row],[Applicable Safety mechanism]], Table3[], 3,FALSE)</f>
        <v>-</v>
      </c>
      <c r="O64" s="16">
        <f>VLOOKUP(Table26[[#This Row],[Applicable Safety mechanism]], Table3[], 6,FALSE)</f>
        <v>0</v>
      </c>
      <c r="P64" s="126">
        <f>IF(Table26[[#This Row],[Failure mode that has the potential to violate the safety goal in absence of safety mechanism?]]="Yes", Table26[[#This Row],[Failure mode rate]]*(1-Table26[[#This Row],[Failure mode coverage wrt. violation of safety goals]]), 0)</f>
        <v>0</v>
      </c>
      <c r="Q64" s="318" t="s">
        <v>36</v>
      </c>
      <c r="R64" s="122"/>
      <c r="S64" s="318"/>
      <c r="T64" s="170"/>
      <c r="U64" s="16"/>
      <c r="V64" s="167">
        <f>IF(Table26[[#This Row],[Failure mode that may lead to the violation of safety goals in combination with an independent failure of another block ?]]="Yes",(1-Table26[[#This Row],[Failure mode coverage with respect to latent failures]])*Table26[[#This Row],[Failure mode rate]], 0)</f>
        <v>0</v>
      </c>
      <c r="W64" s="123"/>
      <c r="X64" s="339"/>
      <c r="Y64" s="21">
        <f>IF(Table26[[#This Row],[SR]]="Yes",Table26[[#This Row],[λ]], 0)</f>
        <v>0</v>
      </c>
    </row>
    <row r="65" spans="1:25" outlineLevel="1">
      <c r="A65" s="18" t="s">
        <v>897</v>
      </c>
      <c r="B65" s="123" t="s">
        <v>224</v>
      </c>
      <c r="C65" s="123" t="s">
        <v>84</v>
      </c>
      <c r="D65" s="123"/>
      <c r="E65" s="123"/>
      <c r="F65" s="125">
        <f>VLOOKUP(Table26[Function], Table1[], 5, FALSE)</f>
        <v>7.2666236281471924E-2</v>
      </c>
      <c r="G65" s="129" t="s">
        <v>345</v>
      </c>
      <c r="H65" s="318" t="s">
        <v>36</v>
      </c>
      <c r="I65" s="122" t="s">
        <v>63</v>
      </c>
      <c r="J65" s="124">
        <f t="shared" si="2"/>
        <v>0.2</v>
      </c>
      <c r="K65" s="125">
        <f>Table26[[#This Row],[λ]]*Table26[[#This Row],[Failure rate distribution]]</f>
        <v>1.4533247256294386E-2</v>
      </c>
      <c r="L65" s="318" t="s">
        <v>63</v>
      </c>
      <c r="M65" s="20" t="str">
        <f>VLOOKUP(Table26[[#This Row],[Applicable Safety mechanism]],Table3[],2,FALSE)</f>
        <v>Not applicable</v>
      </c>
      <c r="N65" s="21" t="str">
        <f>VLOOKUP(Table26[[#This Row],[Applicable Safety mechanism]], Table3[], 3,FALSE)</f>
        <v>-</v>
      </c>
      <c r="O65" s="16">
        <f>VLOOKUP(Table26[[#This Row],[Applicable Safety mechanism]], Table3[], 6,FALSE)</f>
        <v>0</v>
      </c>
      <c r="P65" s="126">
        <f>IF(Table26[[#This Row],[Failure mode that has the potential to violate the safety goal in absence of safety mechanism?]]="Yes", Table26[[#This Row],[Failure mode rate]]*(1-Table26[[#This Row],[Failure mode coverage wrt. violation of safety goals]]), 0)</f>
        <v>0</v>
      </c>
      <c r="Q65" s="318" t="s">
        <v>36</v>
      </c>
      <c r="R65" s="122"/>
      <c r="S65" s="318"/>
      <c r="T65" s="170"/>
      <c r="U65" s="16"/>
      <c r="V65" s="167">
        <f>IF(Table26[[#This Row],[Failure mode that may lead to the violation of safety goals in combination with an independent failure of another block ?]]="Yes",(1-Table26[[#This Row],[Failure mode coverage with respect to latent failures]])*Table26[[#This Row],[Failure mode rate]], 0)</f>
        <v>0</v>
      </c>
      <c r="W65" s="123"/>
      <c r="X65" s="339"/>
      <c r="Y65" s="21">
        <f>IF(Table26[[#This Row],[SR]]="Yes",Table26[[#This Row],[λ]], 0)</f>
        <v>0</v>
      </c>
    </row>
    <row r="66" spans="1:25" ht="43.2">
      <c r="A66" s="128" t="s">
        <v>898</v>
      </c>
      <c r="B66" s="24" t="s">
        <v>224</v>
      </c>
      <c r="C66" s="24" t="s">
        <v>84</v>
      </c>
      <c r="D66" s="122" t="s">
        <v>63</v>
      </c>
      <c r="E66" s="122"/>
      <c r="F66" s="125">
        <f>VLOOKUP(Table26[Function], Table1[], 5, FALSE)</f>
        <v>7.2666236281471924E-2</v>
      </c>
      <c r="G66" s="122" t="s">
        <v>63</v>
      </c>
      <c r="H66" s="318" t="s">
        <v>63</v>
      </c>
      <c r="I66" s="122" t="s">
        <v>63</v>
      </c>
      <c r="J66" s="122" t="s">
        <v>63</v>
      </c>
      <c r="K66" s="125" t="s">
        <v>63</v>
      </c>
      <c r="L66" s="318" t="s">
        <v>63</v>
      </c>
      <c r="M66" s="122" t="s">
        <v>63</v>
      </c>
      <c r="N66" s="122" t="s">
        <v>63</v>
      </c>
      <c r="O66" s="122" t="s">
        <v>63</v>
      </c>
      <c r="P66" s="122" t="s">
        <v>63</v>
      </c>
      <c r="Q66" s="318" t="s">
        <v>63</v>
      </c>
      <c r="R66" s="122"/>
      <c r="S66" s="318"/>
      <c r="T66" s="170"/>
      <c r="U66" s="122"/>
      <c r="V66" s="122"/>
      <c r="W66" s="122"/>
      <c r="X66" s="318"/>
      <c r="Y66" s="21"/>
    </row>
    <row r="67" spans="1:25" ht="72" outlineLevel="1">
      <c r="A67" s="18" t="s">
        <v>899</v>
      </c>
      <c r="B67" s="123" t="s">
        <v>229</v>
      </c>
      <c r="C67" s="123" t="s">
        <v>85</v>
      </c>
      <c r="D67" s="123" t="s">
        <v>209</v>
      </c>
      <c r="E67" s="123" t="s">
        <v>207</v>
      </c>
      <c r="F67" s="125">
        <f>VLOOKUP(Table26[Function], Table1[], 5, FALSE)</f>
        <v>0.14187217559715945</v>
      </c>
      <c r="G67" s="19" t="s">
        <v>96</v>
      </c>
      <c r="H67" s="318" t="s">
        <v>36</v>
      </c>
      <c r="I67" s="122" t="s">
        <v>63</v>
      </c>
      <c r="J67" s="124">
        <f>1/13</f>
        <v>7.6923076923076927E-2</v>
      </c>
      <c r="K67" s="125">
        <f>Table26[[#This Row],[λ]]*Table26[[#This Row],[Failure rate distribution]]</f>
        <v>1.0913244276704573E-2</v>
      </c>
      <c r="L67" s="318" t="s">
        <v>63</v>
      </c>
      <c r="M67" s="20" t="str">
        <f>VLOOKUP(Table26[[#This Row],[Applicable Safety mechanism]],Table3[],2,FALSE)</f>
        <v>Not applicable</v>
      </c>
      <c r="N67" s="21" t="str">
        <f>VLOOKUP(Table26[[#This Row],[Applicable Safety mechanism]], Table3[], 3,FALSE)</f>
        <v>-</v>
      </c>
      <c r="O67" s="16">
        <f>VLOOKUP(Table26[[#This Row],[Applicable Safety mechanism]], Table3[], 6,FALSE)</f>
        <v>0</v>
      </c>
      <c r="P67" s="126">
        <f>IF(Table26[[#This Row],[Failure mode that has the potential to violate the safety goal in absence of safety mechanism?]]="Yes", Table26[[#This Row],[Failure mode rate]]*(1-Table26[[#This Row],[Failure mode coverage wrt. violation of safety goals]]), 0)</f>
        <v>0</v>
      </c>
      <c r="Q67" s="318" t="s">
        <v>36</v>
      </c>
      <c r="R67" s="122"/>
      <c r="S67" s="318"/>
      <c r="T67" s="170"/>
      <c r="U67" s="16"/>
      <c r="V67" s="127">
        <f>IF(Table26[[#This Row],[Failure mode that may lead to the violation of safety goals in combination with an independent failure of another block ?]]="Yes",(1-Table26[[#This Row],[Failure mode coverage with respect to latent failures]])*Table26[[#This Row],[Failure mode rate]], 0)</f>
        <v>0</v>
      </c>
      <c r="W67" s="123"/>
      <c r="X67" s="339" t="s">
        <v>35</v>
      </c>
      <c r="Y67" s="125">
        <f>IF(Table26[[#This Row],[SR]]="Yes",Table26[[#This Row],[λ]], 0)</f>
        <v>0.14187217559715945</v>
      </c>
    </row>
    <row r="68" spans="1:25" ht="28.8" outlineLevel="1">
      <c r="A68" s="128" t="s">
        <v>900</v>
      </c>
      <c r="B68" s="123" t="s">
        <v>229</v>
      </c>
      <c r="C68" s="123" t="s">
        <v>85</v>
      </c>
      <c r="D68" s="123"/>
      <c r="E68" s="123"/>
      <c r="F68" s="125">
        <f>VLOOKUP(Table26[Function], Table1[], 5, FALSE)</f>
        <v>0.14187217559715945</v>
      </c>
      <c r="G68" s="19" t="s">
        <v>388</v>
      </c>
      <c r="H68" s="318" t="s">
        <v>36</v>
      </c>
      <c r="I68" s="122" t="s">
        <v>63</v>
      </c>
      <c r="J68" s="124">
        <f t="shared" ref="J68:J79" si="3">1/13</f>
        <v>7.6923076923076927E-2</v>
      </c>
      <c r="K68" s="125">
        <f>Table26[[#This Row],[λ]]*Table26[[#This Row],[Failure rate distribution]]</f>
        <v>1.0913244276704573E-2</v>
      </c>
      <c r="L68" s="318" t="s">
        <v>63</v>
      </c>
      <c r="M68" s="20" t="str">
        <f>VLOOKUP(Table26[[#This Row],[Applicable Safety mechanism]],Table3[],2,FALSE)</f>
        <v>Not applicable</v>
      </c>
      <c r="N68" s="21" t="str">
        <f>VLOOKUP(Table26[[#This Row],[Applicable Safety mechanism]], Table3[], 3,FALSE)</f>
        <v>-</v>
      </c>
      <c r="O68" s="16">
        <f>VLOOKUP(Table26[[#This Row],[Applicable Safety mechanism]], Table3[], 6,FALSE)</f>
        <v>0</v>
      </c>
      <c r="P68" s="126">
        <f>IF(Table26[[#This Row],[Failure mode that has the potential to violate the safety goal in absence of safety mechanism?]]="Yes", Table26[[#This Row],[Failure mode rate]]*(1-Table26[[#This Row],[Failure mode coverage wrt. violation of safety goals]]), 0)</f>
        <v>0</v>
      </c>
      <c r="Q68" s="318" t="s">
        <v>36</v>
      </c>
      <c r="R68" s="122"/>
      <c r="S68" s="318"/>
      <c r="T68" s="170"/>
      <c r="U68" s="16"/>
      <c r="V68" s="127">
        <f>IF(Table26[[#This Row],[Failure mode that may lead to the violation of safety goals in combination with an independent failure of another block ?]]="Yes",(1-Table26[[#This Row],[Failure mode coverage with respect to latent failures]])*Table26[[#This Row],[Failure mode rate]], 0)</f>
        <v>0</v>
      </c>
      <c r="W68" s="123"/>
      <c r="X68" s="339"/>
      <c r="Y68" s="21">
        <f>IF(Table26[[#This Row],[SR]]="Yes",Table26[[#This Row],[λ]], 0)</f>
        <v>0</v>
      </c>
    </row>
    <row r="69" spans="1:25" outlineLevel="1">
      <c r="A69" s="18" t="s">
        <v>901</v>
      </c>
      <c r="B69" s="123" t="s">
        <v>229</v>
      </c>
      <c r="C69" s="123" t="s">
        <v>85</v>
      </c>
      <c r="D69" s="123"/>
      <c r="E69" s="123"/>
      <c r="F69" s="125">
        <f>VLOOKUP(Table26[Function], Table1[], 5, FALSE)</f>
        <v>0.14187217559715945</v>
      </c>
      <c r="G69" s="19" t="s">
        <v>97</v>
      </c>
      <c r="H69" s="318" t="s">
        <v>36</v>
      </c>
      <c r="I69" s="122" t="s">
        <v>63</v>
      </c>
      <c r="J69" s="124">
        <f t="shared" si="3"/>
        <v>7.6923076923076927E-2</v>
      </c>
      <c r="K69" s="125">
        <f>Table26[[#This Row],[λ]]*Table26[[#This Row],[Failure rate distribution]]</f>
        <v>1.0913244276704573E-2</v>
      </c>
      <c r="L69" s="318" t="s">
        <v>63</v>
      </c>
      <c r="M69" s="20" t="str">
        <f>VLOOKUP(Table26[[#This Row],[Applicable Safety mechanism]],Table3[],2,FALSE)</f>
        <v>Not applicable</v>
      </c>
      <c r="N69" s="21" t="str">
        <f>VLOOKUP(Table26[[#This Row],[Applicable Safety mechanism]], Table3[], 3,FALSE)</f>
        <v>-</v>
      </c>
      <c r="O69" s="16">
        <f>VLOOKUP(Table26[[#This Row],[Applicable Safety mechanism]], Table3[], 6,FALSE)</f>
        <v>0</v>
      </c>
      <c r="P69" s="126">
        <f>IF(Table26[[#This Row],[Failure mode that has the potential to violate the safety goal in absence of safety mechanism?]]="Yes", Table26[[#This Row],[Failure mode rate]]*(1-Table26[[#This Row],[Failure mode coverage wrt. violation of safety goals]]), 0)</f>
        <v>0</v>
      </c>
      <c r="Q69" s="318" t="s">
        <v>36</v>
      </c>
      <c r="R69" s="122"/>
      <c r="S69" s="318"/>
      <c r="T69" s="170"/>
      <c r="U69" s="16"/>
      <c r="V69" s="127">
        <f>IF(Table26[[#This Row],[Failure mode that may lead to the violation of safety goals in combination with an independent failure of another block ?]]="Yes",(1-Table26[[#This Row],[Failure mode coverage with respect to latent failures]])*Table26[[#This Row],[Failure mode rate]], 0)</f>
        <v>0</v>
      </c>
      <c r="W69" s="123"/>
      <c r="X69" s="339"/>
      <c r="Y69" s="21">
        <f>IF(Table26[[#This Row],[SR]]="Yes",Table26[[#This Row],[λ]], 0)</f>
        <v>0</v>
      </c>
    </row>
    <row r="70" spans="1:25" outlineLevel="1">
      <c r="A70" s="128" t="s">
        <v>902</v>
      </c>
      <c r="B70" s="123" t="s">
        <v>229</v>
      </c>
      <c r="C70" s="123" t="s">
        <v>85</v>
      </c>
      <c r="D70" s="123"/>
      <c r="E70" s="123"/>
      <c r="F70" s="125">
        <f>VLOOKUP(Table26[Function], Table1[], 5, FALSE)</f>
        <v>0.14187217559715945</v>
      </c>
      <c r="G70" s="19" t="s">
        <v>98</v>
      </c>
      <c r="H70" s="318" t="s">
        <v>36</v>
      </c>
      <c r="I70" s="122" t="s">
        <v>63</v>
      </c>
      <c r="J70" s="124">
        <f t="shared" si="3"/>
        <v>7.6923076923076927E-2</v>
      </c>
      <c r="K70" s="125">
        <f>Table26[[#This Row],[λ]]*Table26[[#This Row],[Failure rate distribution]]</f>
        <v>1.0913244276704573E-2</v>
      </c>
      <c r="L70" s="318" t="s">
        <v>63</v>
      </c>
      <c r="M70" s="20" t="str">
        <f>VLOOKUP(Table26[[#This Row],[Applicable Safety mechanism]],Table3[],2,FALSE)</f>
        <v>Not applicable</v>
      </c>
      <c r="N70" s="21" t="str">
        <f>VLOOKUP(Table26[[#This Row],[Applicable Safety mechanism]], Table3[], 3,FALSE)</f>
        <v>-</v>
      </c>
      <c r="O70" s="16">
        <f>VLOOKUP(Table26[[#This Row],[Applicable Safety mechanism]], Table3[], 6,FALSE)</f>
        <v>0</v>
      </c>
      <c r="P70" s="126">
        <f>IF(Table26[[#This Row],[Failure mode that has the potential to violate the safety goal in absence of safety mechanism?]]="Yes", Table26[[#This Row],[Failure mode rate]]*(1-Table26[[#This Row],[Failure mode coverage wrt. violation of safety goals]]), 0)</f>
        <v>0</v>
      </c>
      <c r="Q70" s="318" t="s">
        <v>36</v>
      </c>
      <c r="R70" s="122"/>
      <c r="S70" s="318"/>
      <c r="T70" s="170"/>
      <c r="U70" s="16"/>
      <c r="V70" s="127">
        <f>IF(Table26[[#This Row],[Failure mode that may lead to the violation of safety goals in combination with an independent failure of another block ?]]="Yes",(1-Table26[[#This Row],[Failure mode coverage with respect to latent failures]])*Table26[[#This Row],[Failure mode rate]], 0)</f>
        <v>0</v>
      </c>
      <c r="W70" s="123"/>
      <c r="X70" s="339"/>
      <c r="Y70" s="21">
        <f>IF(Table26[[#This Row],[SR]]="Yes",Table26[[#This Row],[λ]], 0)</f>
        <v>0</v>
      </c>
    </row>
    <row r="71" spans="1:25" outlineLevel="1">
      <c r="A71" s="18" t="s">
        <v>903</v>
      </c>
      <c r="B71" s="123" t="s">
        <v>229</v>
      </c>
      <c r="C71" s="123" t="s">
        <v>85</v>
      </c>
      <c r="D71" s="123"/>
      <c r="E71" s="123"/>
      <c r="F71" s="125">
        <f>VLOOKUP(Table26[Function], Table1[], 5, FALSE)</f>
        <v>0.14187217559715945</v>
      </c>
      <c r="G71" s="19" t="s">
        <v>70</v>
      </c>
      <c r="H71" s="318" t="s">
        <v>36</v>
      </c>
      <c r="I71" s="122" t="s">
        <v>63</v>
      </c>
      <c r="J71" s="124">
        <f t="shared" si="3"/>
        <v>7.6923076923076927E-2</v>
      </c>
      <c r="K71" s="125">
        <f>Table26[[#This Row],[λ]]*Table26[[#This Row],[Failure rate distribution]]</f>
        <v>1.0913244276704573E-2</v>
      </c>
      <c r="L71" s="318" t="s">
        <v>63</v>
      </c>
      <c r="M71" s="20" t="str">
        <f>VLOOKUP(Table26[[#This Row],[Applicable Safety mechanism]],Table3[],2,FALSE)</f>
        <v>Not applicable</v>
      </c>
      <c r="N71" s="21" t="str">
        <f>VLOOKUP(Table26[[#This Row],[Applicable Safety mechanism]], Table3[], 3,FALSE)</f>
        <v>-</v>
      </c>
      <c r="O71" s="16">
        <f>VLOOKUP(Table26[[#This Row],[Applicable Safety mechanism]], Table3[], 6,FALSE)</f>
        <v>0</v>
      </c>
      <c r="P71" s="126">
        <f>IF(Table26[[#This Row],[Failure mode that has the potential to violate the safety goal in absence of safety mechanism?]]="Yes", Table26[[#This Row],[Failure mode rate]]*(1-Table26[[#This Row],[Failure mode coverage wrt. violation of safety goals]]), 0)</f>
        <v>0</v>
      </c>
      <c r="Q71" s="318" t="s">
        <v>36</v>
      </c>
      <c r="R71" s="122"/>
      <c r="S71" s="318"/>
      <c r="T71" s="170"/>
      <c r="U71" s="16"/>
      <c r="V71" s="127">
        <f>IF(Table26[[#This Row],[Failure mode that may lead to the violation of safety goals in combination with an independent failure of another block ?]]="Yes",(1-Table26[[#This Row],[Failure mode coverage with respect to latent failures]])*Table26[[#This Row],[Failure mode rate]], 0)</f>
        <v>0</v>
      </c>
      <c r="W71" s="123"/>
      <c r="X71" s="339"/>
      <c r="Y71" s="21">
        <f>IF(Table26[[#This Row],[SR]]="Yes",Table26[[#This Row],[λ]], 0)</f>
        <v>0</v>
      </c>
    </row>
    <row r="72" spans="1:25" outlineLevel="1">
      <c r="A72" s="128" t="s">
        <v>904</v>
      </c>
      <c r="B72" s="123" t="s">
        <v>229</v>
      </c>
      <c r="C72" s="123" t="s">
        <v>85</v>
      </c>
      <c r="D72" s="123"/>
      <c r="E72" s="123"/>
      <c r="F72" s="125">
        <f>VLOOKUP(Table26[Function], Table1[], 5, FALSE)</f>
        <v>0.14187217559715945</v>
      </c>
      <c r="G72" s="19" t="s">
        <v>73</v>
      </c>
      <c r="H72" s="318" t="s">
        <v>36</v>
      </c>
      <c r="I72" s="122" t="s">
        <v>63</v>
      </c>
      <c r="J72" s="124">
        <f t="shared" si="3"/>
        <v>7.6923076923076927E-2</v>
      </c>
      <c r="K72" s="125">
        <f>Table26[[#This Row],[λ]]*Table26[[#This Row],[Failure rate distribution]]</f>
        <v>1.0913244276704573E-2</v>
      </c>
      <c r="L72" s="318" t="s">
        <v>63</v>
      </c>
      <c r="M72" s="20" t="str">
        <f>VLOOKUP(Table26[[#This Row],[Applicable Safety mechanism]],Table3[],2,FALSE)</f>
        <v>Not applicable</v>
      </c>
      <c r="N72" s="21" t="str">
        <f>VLOOKUP(Table26[[#This Row],[Applicable Safety mechanism]], Table3[], 3,FALSE)</f>
        <v>-</v>
      </c>
      <c r="O72" s="16">
        <f>VLOOKUP(Table26[[#This Row],[Applicable Safety mechanism]], Table3[], 6,FALSE)</f>
        <v>0</v>
      </c>
      <c r="P72" s="126">
        <f>IF(Table26[[#This Row],[Failure mode that has the potential to violate the safety goal in absence of safety mechanism?]]="Yes", Table26[[#This Row],[Failure mode rate]]*(1-Table26[[#This Row],[Failure mode coverage wrt. violation of safety goals]]), 0)</f>
        <v>0</v>
      </c>
      <c r="Q72" s="318" t="s">
        <v>36</v>
      </c>
      <c r="R72" s="122"/>
      <c r="S72" s="318"/>
      <c r="T72" s="170"/>
      <c r="U72" s="16"/>
      <c r="V72" s="127">
        <f>IF(Table26[[#This Row],[Failure mode that may lead to the violation of safety goals in combination with an independent failure of another block ?]]="Yes",(1-Table26[[#This Row],[Failure mode coverage with respect to latent failures]])*Table26[[#This Row],[Failure mode rate]], 0)</f>
        <v>0</v>
      </c>
      <c r="W72" s="123"/>
      <c r="X72" s="339"/>
      <c r="Y72" s="21">
        <f>IF(Table26[[#This Row],[SR]]="Yes",Table26[[#This Row],[λ]], 0)</f>
        <v>0</v>
      </c>
    </row>
    <row r="73" spans="1:25" outlineLevel="1">
      <c r="A73" s="18" t="s">
        <v>905</v>
      </c>
      <c r="B73" s="123" t="s">
        <v>229</v>
      </c>
      <c r="C73" s="123" t="s">
        <v>85</v>
      </c>
      <c r="D73" s="123"/>
      <c r="E73" s="123"/>
      <c r="F73" s="125">
        <f>VLOOKUP(Table26[Function], Table1[], 5, FALSE)</f>
        <v>0.14187217559715945</v>
      </c>
      <c r="G73" s="19" t="s">
        <v>99</v>
      </c>
      <c r="H73" s="318" t="s">
        <v>36</v>
      </c>
      <c r="I73" s="122" t="s">
        <v>63</v>
      </c>
      <c r="J73" s="124">
        <f t="shared" si="3"/>
        <v>7.6923076923076927E-2</v>
      </c>
      <c r="K73" s="125">
        <f>Table26[[#This Row],[λ]]*Table26[[#This Row],[Failure rate distribution]]</f>
        <v>1.0913244276704573E-2</v>
      </c>
      <c r="L73" s="318" t="s">
        <v>63</v>
      </c>
      <c r="M73" s="20" t="str">
        <f>VLOOKUP(Table26[[#This Row],[Applicable Safety mechanism]],Table3[],2,FALSE)</f>
        <v>Not applicable</v>
      </c>
      <c r="N73" s="21" t="str">
        <f>VLOOKUP(Table26[[#This Row],[Applicable Safety mechanism]], Table3[], 3,FALSE)</f>
        <v>-</v>
      </c>
      <c r="O73" s="16">
        <f>VLOOKUP(Table26[[#This Row],[Applicable Safety mechanism]], Table3[], 6,FALSE)</f>
        <v>0</v>
      </c>
      <c r="P73" s="126">
        <f>IF(Table26[[#This Row],[Failure mode that has the potential to violate the safety goal in absence of safety mechanism?]]="Yes", Table26[[#This Row],[Failure mode rate]]*(1-Table26[[#This Row],[Failure mode coverage wrt. violation of safety goals]]), 0)</f>
        <v>0</v>
      </c>
      <c r="Q73" s="318" t="s">
        <v>36</v>
      </c>
      <c r="R73" s="122"/>
      <c r="S73" s="318"/>
      <c r="T73" s="170"/>
      <c r="U73" s="16"/>
      <c r="V73" s="127">
        <f>IF(Table26[[#This Row],[Failure mode that may lead to the violation of safety goals in combination with an independent failure of another block ?]]="Yes",(1-Table26[[#This Row],[Failure mode coverage with respect to latent failures]])*Table26[[#This Row],[Failure mode rate]], 0)</f>
        <v>0</v>
      </c>
      <c r="W73" s="123"/>
      <c r="X73" s="339"/>
      <c r="Y73" s="21">
        <f>IF(Table26[[#This Row],[SR]]="Yes",Table26[[#This Row],[λ]], 0)</f>
        <v>0</v>
      </c>
    </row>
    <row r="74" spans="1:25" outlineLevel="1">
      <c r="A74" s="128" t="s">
        <v>906</v>
      </c>
      <c r="B74" s="123" t="s">
        <v>229</v>
      </c>
      <c r="C74" s="123" t="s">
        <v>85</v>
      </c>
      <c r="D74" s="123"/>
      <c r="E74" s="123"/>
      <c r="F74" s="125">
        <f>VLOOKUP(Table26[Function], Table1[], 5, FALSE)</f>
        <v>0.14187217559715945</v>
      </c>
      <c r="G74" s="19" t="s">
        <v>71</v>
      </c>
      <c r="H74" s="318" t="s">
        <v>36</v>
      </c>
      <c r="I74" s="122" t="s">
        <v>63</v>
      </c>
      <c r="J74" s="124">
        <f t="shared" si="3"/>
        <v>7.6923076923076927E-2</v>
      </c>
      <c r="K74" s="125">
        <f>Table26[[#This Row],[λ]]*Table26[[#This Row],[Failure rate distribution]]</f>
        <v>1.0913244276704573E-2</v>
      </c>
      <c r="L74" s="318" t="s">
        <v>63</v>
      </c>
      <c r="M74" s="20" t="str">
        <f>VLOOKUP(Table26[[#This Row],[Applicable Safety mechanism]],Table3[],2,FALSE)</f>
        <v>Not applicable</v>
      </c>
      <c r="N74" s="21" t="str">
        <f>VLOOKUP(Table26[[#This Row],[Applicable Safety mechanism]], Table3[], 3,FALSE)</f>
        <v>-</v>
      </c>
      <c r="O74" s="16">
        <f>VLOOKUP(Table26[[#This Row],[Applicable Safety mechanism]], Table3[], 6,FALSE)</f>
        <v>0</v>
      </c>
      <c r="P74" s="126">
        <f>IF(Table26[[#This Row],[Failure mode that has the potential to violate the safety goal in absence of safety mechanism?]]="Yes", Table26[[#This Row],[Failure mode rate]]*(1-Table26[[#This Row],[Failure mode coverage wrt. violation of safety goals]]), 0)</f>
        <v>0</v>
      </c>
      <c r="Q74" s="318" t="s">
        <v>36</v>
      </c>
      <c r="R74" s="122"/>
      <c r="S74" s="318"/>
      <c r="T74" s="170"/>
      <c r="U74" s="16"/>
      <c r="V74" s="127">
        <f>IF(Table26[[#This Row],[Failure mode that may lead to the violation of safety goals in combination with an independent failure of another block ?]]="Yes",(1-Table26[[#This Row],[Failure mode coverage with respect to latent failures]])*Table26[[#This Row],[Failure mode rate]], 0)</f>
        <v>0</v>
      </c>
      <c r="W74" s="123"/>
      <c r="X74" s="339"/>
      <c r="Y74" s="21">
        <f>IF(Table26[[#This Row],[SR]]="Yes",Table26[[#This Row],[λ]], 0)</f>
        <v>0</v>
      </c>
    </row>
    <row r="75" spans="1:25" outlineLevel="1">
      <c r="A75" s="18" t="s">
        <v>907</v>
      </c>
      <c r="B75" s="123" t="s">
        <v>229</v>
      </c>
      <c r="C75" s="123" t="s">
        <v>85</v>
      </c>
      <c r="D75" s="123"/>
      <c r="E75" s="123"/>
      <c r="F75" s="125">
        <f>VLOOKUP(Table26[Function], Table1[], 5, FALSE)</f>
        <v>0.14187217559715945</v>
      </c>
      <c r="G75" s="19" t="s">
        <v>100</v>
      </c>
      <c r="H75" s="318" t="s">
        <v>36</v>
      </c>
      <c r="I75" s="122" t="s">
        <v>63</v>
      </c>
      <c r="J75" s="124">
        <f t="shared" si="3"/>
        <v>7.6923076923076927E-2</v>
      </c>
      <c r="K75" s="125">
        <f>Table26[[#This Row],[λ]]*Table26[[#This Row],[Failure rate distribution]]</f>
        <v>1.0913244276704573E-2</v>
      </c>
      <c r="L75" s="318" t="s">
        <v>63</v>
      </c>
      <c r="M75" s="20" t="str">
        <f>VLOOKUP(Table26[[#This Row],[Applicable Safety mechanism]],Table3[],2,FALSE)</f>
        <v>Not applicable</v>
      </c>
      <c r="N75" s="21" t="str">
        <f>VLOOKUP(Table26[[#This Row],[Applicable Safety mechanism]], Table3[], 3,FALSE)</f>
        <v>-</v>
      </c>
      <c r="O75" s="16">
        <f>VLOOKUP(Table26[[#This Row],[Applicable Safety mechanism]], Table3[], 6,FALSE)</f>
        <v>0</v>
      </c>
      <c r="P75" s="126">
        <f>IF(Table26[[#This Row],[Failure mode that has the potential to violate the safety goal in absence of safety mechanism?]]="Yes", Table26[[#This Row],[Failure mode rate]]*(1-Table26[[#This Row],[Failure mode coverage wrt. violation of safety goals]]), 0)</f>
        <v>0</v>
      </c>
      <c r="Q75" s="318" t="s">
        <v>36</v>
      </c>
      <c r="R75" s="122"/>
      <c r="S75" s="318"/>
      <c r="T75" s="170"/>
      <c r="U75" s="16"/>
      <c r="V75" s="127">
        <f>IF(Table26[[#This Row],[Failure mode that may lead to the violation of safety goals in combination with an independent failure of another block ?]]="Yes",(1-Table26[[#This Row],[Failure mode coverage with respect to latent failures]])*Table26[[#This Row],[Failure mode rate]], 0)</f>
        <v>0</v>
      </c>
      <c r="W75" s="127">
        <f>IF(Table26[[#This Row],[Safety Requirement Violated (Latent)]]="Yes",(1-Table26[[#This Row],[Latent multiple point fault failure rate/FIT]])*Table26[[#This Row],[Applicable Safety mechanism]], 0)</f>
        <v>0</v>
      </c>
      <c r="X75" s="339"/>
      <c r="Y75" s="21">
        <f>IF(Table26[[#This Row],[SR]]="Yes",Table26[[#This Row],[λ]], 0)</f>
        <v>0</v>
      </c>
    </row>
    <row r="76" spans="1:25" outlineLevel="1">
      <c r="A76" s="128" t="s">
        <v>908</v>
      </c>
      <c r="B76" s="123" t="s">
        <v>229</v>
      </c>
      <c r="C76" s="123" t="s">
        <v>85</v>
      </c>
      <c r="D76" s="123"/>
      <c r="E76" s="123"/>
      <c r="F76" s="125">
        <f>VLOOKUP(Table26[Function], Table1[], 5, FALSE)</f>
        <v>0.14187217559715945</v>
      </c>
      <c r="G76" s="19" t="s">
        <v>101</v>
      </c>
      <c r="H76" s="318" t="s">
        <v>36</v>
      </c>
      <c r="I76" s="122" t="s">
        <v>63</v>
      </c>
      <c r="J76" s="124">
        <f t="shared" si="3"/>
        <v>7.6923076923076927E-2</v>
      </c>
      <c r="K76" s="125">
        <f>Table26[[#This Row],[λ]]*Table26[[#This Row],[Failure rate distribution]]</f>
        <v>1.0913244276704573E-2</v>
      </c>
      <c r="L76" s="318" t="s">
        <v>63</v>
      </c>
      <c r="M76" s="20" t="str">
        <f>VLOOKUP(Table26[[#This Row],[Applicable Safety mechanism]],Table3[],2,FALSE)</f>
        <v>Not applicable</v>
      </c>
      <c r="N76" s="21" t="str">
        <f>VLOOKUP(Table26[[#This Row],[Applicable Safety mechanism]], Table3[], 3,FALSE)</f>
        <v>-</v>
      </c>
      <c r="O76" s="16">
        <f>VLOOKUP(Table26[[#This Row],[Applicable Safety mechanism]], Table3[], 6,FALSE)</f>
        <v>0</v>
      </c>
      <c r="P76" s="126">
        <f>IF(Table26[[#This Row],[Failure mode that has the potential to violate the safety goal in absence of safety mechanism?]]="Yes", Table26[[#This Row],[Failure mode rate]]*(1-Table26[[#This Row],[Failure mode coverage wrt. violation of safety goals]]), 0)</f>
        <v>0</v>
      </c>
      <c r="Q76" s="318" t="s">
        <v>36</v>
      </c>
      <c r="R76" s="122"/>
      <c r="S76" s="318"/>
      <c r="T76" s="170"/>
      <c r="U76" s="16"/>
      <c r="V76" s="127">
        <f>IF(Table26[[#This Row],[Failure mode that may lead to the violation of safety goals in combination with an independent failure of another block ?]]="Yes",(1-Table26[[#This Row],[Failure mode coverage with respect to latent failures]])*Table26[[#This Row],[Failure mode rate]], 0)</f>
        <v>0</v>
      </c>
      <c r="W76" s="123"/>
      <c r="X76" s="339"/>
      <c r="Y76" s="21">
        <f>IF(Table26[[#This Row],[SR]]="Yes",Table26[[#This Row],[λ]], 0)</f>
        <v>0</v>
      </c>
    </row>
    <row r="77" spans="1:25" outlineLevel="1">
      <c r="A77" s="18" t="s">
        <v>909</v>
      </c>
      <c r="B77" s="123" t="s">
        <v>229</v>
      </c>
      <c r="C77" s="123" t="s">
        <v>85</v>
      </c>
      <c r="D77" s="123"/>
      <c r="E77" s="123"/>
      <c r="F77" s="125">
        <f>VLOOKUP(Table26[Function], Table1[], 5, FALSE)</f>
        <v>0.14187217559715945</v>
      </c>
      <c r="G77" s="19" t="s">
        <v>102</v>
      </c>
      <c r="H77" s="318" t="s">
        <v>36</v>
      </c>
      <c r="I77" s="122" t="s">
        <v>63</v>
      </c>
      <c r="J77" s="124">
        <f t="shared" si="3"/>
        <v>7.6923076923076927E-2</v>
      </c>
      <c r="K77" s="125">
        <f>Table26[[#This Row],[λ]]*Table26[[#This Row],[Failure rate distribution]]</f>
        <v>1.0913244276704573E-2</v>
      </c>
      <c r="L77" s="318" t="s">
        <v>63</v>
      </c>
      <c r="M77" s="20" t="str">
        <f>VLOOKUP(Table26[[#This Row],[Applicable Safety mechanism]],Table3[],2,FALSE)</f>
        <v>Not applicable</v>
      </c>
      <c r="N77" s="21" t="str">
        <f>VLOOKUP(Table26[[#This Row],[Applicable Safety mechanism]], Table3[], 3,FALSE)</f>
        <v>-</v>
      </c>
      <c r="O77" s="16">
        <f>VLOOKUP(Table26[[#This Row],[Applicable Safety mechanism]], Table3[], 6,FALSE)</f>
        <v>0</v>
      </c>
      <c r="P77" s="126">
        <f>IF(Table26[[#This Row],[Failure mode that has the potential to violate the safety goal in absence of safety mechanism?]]="Yes", Table26[[#This Row],[Failure mode rate]]*(1-Table26[[#This Row],[Failure mode coverage wrt. violation of safety goals]]), 0)</f>
        <v>0</v>
      </c>
      <c r="Q77" s="318" t="s">
        <v>36</v>
      </c>
      <c r="R77" s="122"/>
      <c r="S77" s="318"/>
      <c r="T77" s="170"/>
      <c r="U77" s="16"/>
      <c r="V77" s="127">
        <f>IF(Table26[[#This Row],[Failure mode that may lead to the violation of safety goals in combination with an independent failure of another block ?]]="Yes",(1-Table26[[#This Row],[Failure mode coverage with respect to latent failures]])*Table26[[#This Row],[Failure mode rate]], 0)</f>
        <v>0</v>
      </c>
      <c r="W77" s="123"/>
      <c r="X77" s="339"/>
      <c r="Y77" s="21">
        <f>IF(Table26[[#This Row],[SR]]="Yes",Table26[[#This Row],[λ]], 0)</f>
        <v>0</v>
      </c>
    </row>
    <row r="78" spans="1:25" outlineLevel="1">
      <c r="A78" s="128" t="s">
        <v>910</v>
      </c>
      <c r="B78" s="123" t="s">
        <v>229</v>
      </c>
      <c r="C78" s="123" t="s">
        <v>85</v>
      </c>
      <c r="D78" s="123"/>
      <c r="E78" s="123"/>
      <c r="F78" s="125">
        <f>VLOOKUP(Table26[Function], Table1[], 5, FALSE)</f>
        <v>0.14187217559715945</v>
      </c>
      <c r="G78" s="33" t="s">
        <v>103</v>
      </c>
      <c r="H78" s="318" t="s">
        <v>36</v>
      </c>
      <c r="I78" s="122" t="s">
        <v>63</v>
      </c>
      <c r="J78" s="124">
        <f t="shared" si="3"/>
        <v>7.6923076923076927E-2</v>
      </c>
      <c r="K78" s="70">
        <f>Table26[[#This Row],[λ]]*Table26[[#This Row],[Failure rate distribution]]</f>
        <v>1.0913244276704573E-2</v>
      </c>
      <c r="L78" s="318" t="s">
        <v>63</v>
      </c>
      <c r="M78" s="26" t="str">
        <f>VLOOKUP(Table26[[#This Row],[Applicable Safety mechanism]],Table3[],2,FALSE)</f>
        <v>Not applicable</v>
      </c>
      <c r="N78" s="27" t="str">
        <f>VLOOKUP(Table26[[#This Row],[Applicable Safety mechanism]], Table3[], 3,FALSE)</f>
        <v>-</v>
      </c>
      <c r="O78" s="28">
        <f>VLOOKUP(Table26[[#This Row],[Applicable Safety mechanism]], Table3[], 6,FALSE)</f>
        <v>0</v>
      </c>
      <c r="P78" s="29">
        <f>IF(Table26[[#This Row],[Failure mode that has the potential to violate the safety goal in absence of safety mechanism?]]="Yes", Table26[[#This Row],[Failure mode rate]]*(1-Table26[[#This Row],[Failure mode coverage wrt. violation of safety goals]]), 0)</f>
        <v>0</v>
      </c>
      <c r="Q78" s="318" t="s">
        <v>36</v>
      </c>
      <c r="R78" s="122"/>
      <c r="S78" s="318"/>
      <c r="T78" s="170"/>
      <c r="U78" s="16"/>
      <c r="V78" s="127">
        <f>IF(Table26[[#This Row],[Failure mode that may lead to the violation of safety goals in combination with an independent failure of another block ?]]="Yes",(1-Table26[[#This Row],[Failure mode coverage with respect to latent failures]])*Table26[[#This Row],[Failure mode rate]], 0)</f>
        <v>0</v>
      </c>
      <c r="W78" s="123"/>
      <c r="X78" s="339"/>
      <c r="Y78" s="21">
        <f>IF(Table26[[#This Row],[SR]]="Yes",Table26[[#This Row],[λ]], 0)</f>
        <v>0</v>
      </c>
    </row>
    <row r="79" spans="1:25" outlineLevel="1">
      <c r="A79" s="18" t="s">
        <v>911</v>
      </c>
      <c r="B79" s="123" t="s">
        <v>229</v>
      </c>
      <c r="C79" s="123" t="s">
        <v>85</v>
      </c>
      <c r="D79" s="123"/>
      <c r="E79" s="123"/>
      <c r="F79" s="125">
        <f>VLOOKUP(Table26[Function], Table1[], 5, FALSE)</f>
        <v>0.14187217559715945</v>
      </c>
      <c r="G79" s="129" t="s">
        <v>345</v>
      </c>
      <c r="H79" s="318" t="s">
        <v>36</v>
      </c>
      <c r="I79" s="122" t="s">
        <v>63</v>
      </c>
      <c r="J79" s="124">
        <f t="shared" si="3"/>
        <v>7.6923076923076927E-2</v>
      </c>
      <c r="K79" s="70">
        <f>Table26[[#This Row],[λ]]*Table26[[#This Row],[Failure rate distribution]]</f>
        <v>1.0913244276704573E-2</v>
      </c>
      <c r="L79" s="318" t="s">
        <v>63</v>
      </c>
      <c r="M79" s="26" t="str">
        <f>VLOOKUP(Table26[[#This Row],[Applicable Safety mechanism]],Table3[],2,FALSE)</f>
        <v>Not applicable</v>
      </c>
      <c r="N79" s="27" t="str">
        <f>VLOOKUP(Table26[[#This Row],[Applicable Safety mechanism]], Table3[], 3,FALSE)</f>
        <v>-</v>
      </c>
      <c r="O79" s="28">
        <f>VLOOKUP(Table26[[#This Row],[Applicable Safety mechanism]], Table3[], 6,FALSE)</f>
        <v>0</v>
      </c>
      <c r="P79" s="29">
        <f>IF(Table26[[#This Row],[Failure mode that has the potential to violate the safety goal in absence of safety mechanism?]]="Yes", Table26[[#This Row],[Failure mode rate]]*(1-Table26[[#This Row],[Failure mode coverage wrt. violation of safety goals]]), 0)</f>
        <v>0</v>
      </c>
      <c r="Q79" s="318" t="s">
        <v>36</v>
      </c>
      <c r="R79" s="122"/>
      <c r="S79" s="318"/>
      <c r="T79" s="170"/>
      <c r="U79" s="16"/>
      <c r="V79" s="127">
        <f>IF(Table26[[#This Row],[Failure mode that may lead to the violation of safety goals in combination with an independent failure of another block ?]]="Yes",(1-Table26[[#This Row],[Failure mode coverage with respect to latent failures]])*Table26[[#This Row],[Failure mode rate]], 0)</f>
        <v>0</v>
      </c>
      <c r="W79" s="123"/>
      <c r="X79" s="339"/>
      <c r="Y79" s="21">
        <f>IF(Table26[[#This Row],[SR]]="Yes",Table26[[#This Row],[λ]], 0)</f>
        <v>0</v>
      </c>
    </row>
    <row r="80" spans="1:25" ht="72">
      <c r="A80" s="128" t="s">
        <v>912</v>
      </c>
      <c r="B80" s="24" t="s">
        <v>229</v>
      </c>
      <c r="C80" s="24" t="s">
        <v>85</v>
      </c>
      <c r="D80" s="122" t="s">
        <v>63</v>
      </c>
      <c r="E80" s="122"/>
      <c r="F80" s="125">
        <f>VLOOKUP(Table26[Function], Table1[], 5, FALSE)</f>
        <v>0.14187217559715945</v>
      </c>
      <c r="G80" s="122" t="s">
        <v>63</v>
      </c>
      <c r="H80" s="318" t="s">
        <v>63</v>
      </c>
      <c r="I80" s="122" t="s">
        <v>63</v>
      </c>
      <c r="J80" s="122" t="s">
        <v>63</v>
      </c>
      <c r="K80" s="125" t="s">
        <v>63</v>
      </c>
      <c r="L80" s="318" t="s">
        <v>63</v>
      </c>
      <c r="M80" s="122" t="s">
        <v>63</v>
      </c>
      <c r="N80" s="122" t="s">
        <v>63</v>
      </c>
      <c r="O80" s="122" t="s">
        <v>63</v>
      </c>
      <c r="P80" s="122" t="s">
        <v>63</v>
      </c>
      <c r="Q80" s="318" t="s">
        <v>63</v>
      </c>
      <c r="R80" s="122"/>
      <c r="S80" s="318"/>
      <c r="T80" s="170"/>
      <c r="U80" s="122"/>
      <c r="V80" s="122"/>
      <c r="W80" s="122"/>
      <c r="X80" s="318"/>
      <c r="Y80" s="21"/>
    </row>
    <row r="81" spans="1:25" ht="72" outlineLevel="1">
      <c r="A81" s="18" t="s">
        <v>913</v>
      </c>
      <c r="B81" s="123" t="s">
        <v>8</v>
      </c>
      <c r="C81" s="123" t="s">
        <v>119</v>
      </c>
      <c r="D81" s="123" t="s">
        <v>210</v>
      </c>
      <c r="E81" s="123" t="s">
        <v>205</v>
      </c>
      <c r="F81" s="125">
        <f>VLOOKUP(Table26[Function], Table1[], 5, FALSE)</f>
        <v>0.92735958683021302</v>
      </c>
      <c r="G81" s="19" t="s">
        <v>106</v>
      </c>
      <c r="H81" s="318" t="s">
        <v>36</v>
      </c>
      <c r="I81" s="122" t="s">
        <v>63</v>
      </c>
      <c r="J81" s="124">
        <f>1/18</f>
        <v>5.5555555555555552E-2</v>
      </c>
      <c r="K81" s="125">
        <f>Table26[[#This Row],[λ]]*Table26[[#This Row],[Failure rate distribution]]</f>
        <v>5.151997704612294E-2</v>
      </c>
      <c r="L81" s="318" t="s">
        <v>63</v>
      </c>
      <c r="M81" s="20" t="str">
        <f>VLOOKUP(Table26[[#This Row],[Applicable Safety mechanism]],Table3[],2,FALSE)</f>
        <v>Not applicable</v>
      </c>
      <c r="N81" s="21" t="str">
        <f>VLOOKUP(Table26[[#This Row],[Applicable Safety mechanism]], Table3[], 3,FALSE)</f>
        <v>-</v>
      </c>
      <c r="O81" s="16">
        <f>VLOOKUP(Table26[[#This Row],[Applicable Safety mechanism]], Table3[], 6,FALSE)</f>
        <v>0</v>
      </c>
      <c r="P81" s="126">
        <f>IF(Table26[[#This Row],[Failure mode that has the potential to violate the safety goal in absence of safety mechanism?]]="Yes", Table26[[#This Row],[Failure mode rate]]*(1-Table26[[#This Row],[Failure mode coverage wrt. violation of safety goals]]), 0)</f>
        <v>0</v>
      </c>
      <c r="Q81" s="318" t="s">
        <v>36</v>
      </c>
      <c r="R81" s="122"/>
      <c r="S81" s="318"/>
      <c r="T81" s="170"/>
      <c r="U81" s="16"/>
      <c r="V81" s="127">
        <f>IF(Table26[[#This Row],[Failure mode that may lead to the violation of safety goals in combination with an independent failure of another block ?]]="Yes",(1-Table26[[#This Row],[Failure mode coverage with respect to latent failures]])*Table26[[#This Row],[Failure mode rate]], 0)</f>
        <v>0</v>
      </c>
      <c r="W81" s="123"/>
      <c r="X81" s="339" t="s">
        <v>35</v>
      </c>
      <c r="Y81" s="125">
        <f>IF(Table26[[#This Row],[SR]]="Yes",Table26[[#This Row],[λ]], 0)</f>
        <v>0.92735958683021302</v>
      </c>
    </row>
    <row r="82" spans="1:25" ht="28.8" outlineLevel="1">
      <c r="A82" s="128" t="s">
        <v>914</v>
      </c>
      <c r="B82" s="123" t="s">
        <v>8</v>
      </c>
      <c r="C82" s="123" t="s">
        <v>119</v>
      </c>
      <c r="D82" s="123"/>
      <c r="E82" s="123"/>
      <c r="F82" s="125">
        <f>VLOOKUP(Table26[Function], Table1[], 5, FALSE)</f>
        <v>0.92735958683021302</v>
      </c>
      <c r="G82" s="19" t="s">
        <v>107</v>
      </c>
      <c r="H82" s="318" t="s">
        <v>36</v>
      </c>
      <c r="I82" s="122" t="s">
        <v>63</v>
      </c>
      <c r="J82" s="124">
        <f t="shared" ref="J82:J98" si="4">1/18</f>
        <v>5.5555555555555552E-2</v>
      </c>
      <c r="K82" s="125">
        <f>Table26[[#This Row],[λ]]*Table26[[#This Row],[Failure rate distribution]]</f>
        <v>5.151997704612294E-2</v>
      </c>
      <c r="L82" s="318" t="s">
        <v>63</v>
      </c>
      <c r="M82" s="20" t="str">
        <f>VLOOKUP(Table26[[#This Row],[Applicable Safety mechanism]],Table3[],2,FALSE)</f>
        <v>Not applicable</v>
      </c>
      <c r="N82" s="21" t="str">
        <f>VLOOKUP(Table26[[#This Row],[Applicable Safety mechanism]], Table3[], 3,FALSE)</f>
        <v>-</v>
      </c>
      <c r="O82" s="16">
        <f>VLOOKUP(Table26[[#This Row],[Applicable Safety mechanism]], Table3[], 6,FALSE)</f>
        <v>0</v>
      </c>
      <c r="P82" s="126">
        <f>IF(Table26[[#This Row],[Failure mode that has the potential to violate the safety goal in absence of safety mechanism?]]="Yes", Table26[[#This Row],[Failure mode rate]]*(1-Table26[[#This Row],[Failure mode coverage wrt. violation of safety goals]]), 0)</f>
        <v>0</v>
      </c>
      <c r="Q82" s="318" t="s">
        <v>36</v>
      </c>
      <c r="R82" s="122"/>
      <c r="S82" s="318"/>
      <c r="T82" s="170"/>
      <c r="U82" s="16"/>
      <c r="V82" s="127">
        <f>IF(Table26[[#This Row],[Failure mode that may lead to the violation of safety goals in combination with an independent failure of another block ?]]="Yes",(1-Table26[[#This Row],[Failure mode coverage with respect to latent failures]])*Table26[[#This Row],[Failure mode rate]], 0)</f>
        <v>0</v>
      </c>
      <c r="W82" s="123"/>
      <c r="X82" s="339"/>
      <c r="Y82" s="21">
        <f>IF(Table26[[#This Row],[SR]]="Yes",Table26[[#This Row],[λ]], 0)</f>
        <v>0</v>
      </c>
    </row>
    <row r="83" spans="1:25" outlineLevel="1">
      <c r="A83" s="18" t="s">
        <v>915</v>
      </c>
      <c r="B83" s="123" t="s">
        <v>8</v>
      </c>
      <c r="C83" s="123" t="s">
        <v>119</v>
      </c>
      <c r="D83" s="123"/>
      <c r="E83" s="123"/>
      <c r="F83" s="125">
        <f>VLOOKUP(Table26[Function], Table1[], 5, FALSE)</f>
        <v>0.92735958683021302</v>
      </c>
      <c r="G83" s="19" t="s">
        <v>108</v>
      </c>
      <c r="H83" s="318" t="s">
        <v>36</v>
      </c>
      <c r="I83" s="122" t="s">
        <v>63</v>
      </c>
      <c r="J83" s="124">
        <f t="shared" si="4"/>
        <v>5.5555555555555552E-2</v>
      </c>
      <c r="K83" s="125">
        <f>Table26[[#This Row],[λ]]*Table26[[#This Row],[Failure rate distribution]]</f>
        <v>5.151997704612294E-2</v>
      </c>
      <c r="L83" s="318" t="s">
        <v>63</v>
      </c>
      <c r="M83" s="20" t="str">
        <f>VLOOKUP(Table26[[#This Row],[Applicable Safety mechanism]],Table3[],2,FALSE)</f>
        <v>Not applicable</v>
      </c>
      <c r="N83" s="21" t="str">
        <f>VLOOKUP(Table26[[#This Row],[Applicable Safety mechanism]], Table3[], 3,FALSE)</f>
        <v>-</v>
      </c>
      <c r="O83" s="16">
        <f>VLOOKUP(Table26[[#This Row],[Applicable Safety mechanism]], Table3[], 6,FALSE)</f>
        <v>0</v>
      </c>
      <c r="P83" s="126">
        <f>IF(Table26[[#This Row],[Failure mode that has the potential to violate the safety goal in absence of safety mechanism?]]="Yes", Table26[[#This Row],[Failure mode rate]]*(1-Table26[[#This Row],[Failure mode coverage wrt. violation of safety goals]]), 0)</f>
        <v>0</v>
      </c>
      <c r="Q83" s="318" t="s">
        <v>36</v>
      </c>
      <c r="R83" s="122"/>
      <c r="S83" s="318"/>
      <c r="T83" s="170"/>
      <c r="U83" s="16"/>
      <c r="V83" s="127">
        <f>IF(Table26[[#This Row],[Failure mode that may lead to the violation of safety goals in combination with an independent failure of another block ?]]="Yes",(1-Table26[[#This Row],[Failure mode coverage with respect to latent failures]])*Table26[[#This Row],[Failure mode rate]], 0)</f>
        <v>0</v>
      </c>
      <c r="W83" s="123"/>
      <c r="X83" s="339"/>
      <c r="Y83" s="21">
        <f>IF(Table26[[#This Row],[SR]]="Yes",Table26[[#This Row],[λ]], 0)</f>
        <v>0</v>
      </c>
    </row>
    <row r="84" spans="1:25" ht="28.8" outlineLevel="1">
      <c r="A84" s="128" t="s">
        <v>916</v>
      </c>
      <c r="B84" s="123" t="s">
        <v>8</v>
      </c>
      <c r="C84" s="123" t="s">
        <v>119</v>
      </c>
      <c r="D84" s="123"/>
      <c r="E84" s="123"/>
      <c r="F84" s="125">
        <f>VLOOKUP(Table26[Function], Table1[], 5, FALSE)</f>
        <v>0.92735958683021302</v>
      </c>
      <c r="G84" s="19" t="s">
        <v>351</v>
      </c>
      <c r="H84" s="318" t="s">
        <v>36</v>
      </c>
      <c r="I84" s="122" t="s">
        <v>63</v>
      </c>
      <c r="J84" s="124">
        <f t="shared" si="4"/>
        <v>5.5555555555555552E-2</v>
      </c>
      <c r="K84" s="125">
        <f>Table26[[#This Row],[λ]]*Table26[[#This Row],[Failure rate distribution]]</f>
        <v>5.151997704612294E-2</v>
      </c>
      <c r="L84" s="318" t="s">
        <v>63</v>
      </c>
      <c r="M84" s="20" t="str">
        <f>VLOOKUP(Table26[[#This Row],[Applicable Safety mechanism]],Table3[],2,FALSE)</f>
        <v>Not applicable</v>
      </c>
      <c r="N84" s="21" t="str">
        <f>VLOOKUP(Table26[[#This Row],[Applicable Safety mechanism]], Table3[], 3,FALSE)</f>
        <v>-</v>
      </c>
      <c r="O84" s="16">
        <f>VLOOKUP(Table26[[#This Row],[Applicable Safety mechanism]], Table3[], 6,FALSE)</f>
        <v>0</v>
      </c>
      <c r="P84" s="126">
        <f>IF(Table26[[#This Row],[Failure mode that has the potential to violate the safety goal in absence of safety mechanism?]]="Yes", Table26[[#This Row],[Failure mode rate]]*(1-Table26[[#This Row],[Failure mode coverage wrt. violation of safety goals]]), 0)</f>
        <v>0</v>
      </c>
      <c r="Q84" s="318" t="s">
        <v>36</v>
      </c>
      <c r="R84" s="122"/>
      <c r="S84" s="318"/>
      <c r="T84" s="170"/>
      <c r="U84" s="16"/>
      <c r="V84" s="127">
        <f>IF(Table26[[#This Row],[Failure mode that may lead to the violation of safety goals in combination with an independent failure of another block ?]]="Yes",(1-Table26[[#This Row],[Failure mode coverage with respect to latent failures]])*Table26[[#This Row],[Failure mode rate]], 0)</f>
        <v>0</v>
      </c>
      <c r="W84" s="123"/>
      <c r="X84" s="339"/>
      <c r="Y84" s="21">
        <f>IF(Table26[[#This Row],[SR]]="Yes",Table26[[#This Row],[λ]], 0)</f>
        <v>0</v>
      </c>
    </row>
    <row r="85" spans="1:25" outlineLevel="1">
      <c r="A85" s="18" t="s">
        <v>917</v>
      </c>
      <c r="B85" s="123" t="s">
        <v>8</v>
      </c>
      <c r="C85" s="123" t="s">
        <v>119</v>
      </c>
      <c r="D85" s="123"/>
      <c r="E85" s="123"/>
      <c r="F85" s="125">
        <f>VLOOKUP(Table26[Function], Table1[], 5, FALSE)</f>
        <v>0.92735958683021302</v>
      </c>
      <c r="G85" s="19" t="s">
        <v>109</v>
      </c>
      <c r="H85" s="318" t="s">
        <v>36</v>
      </c>
      <c r="I85" s="122" t="s">
        <v>63</v>
      </c>
      <c r="J85" s="124">
        <f t="shared" si="4"/>
        <v>5.5555555555555552E-2</v>
      </c>
      <c r="K85" s="70">
        <f>Table26[[#This Row],[λ]]*Table26[[#This Row],[Failure rate distribution]]</f>
        <v>5.151997704612294E-2</v>
      </c>
      <c r="L85" s="318" t="s">
        <v>63</v>
      </c>
      <c r="M85" s="26" t="str">
        <f>VLOOKUP(Table26[[#This Row],[Applicable Safety mechanism]],Table3[],2,FALSE)</f>
        <v>Not applicable</v>
      </c>
      <c r="N85" s="27" t="str">
        <f>VLOOKUP(Table26[[#This Row],[Applicable Safety mechanism]], Table3[], 3,FALSE)</f>
        <v>-</v>
      </c>
      <c r="O85" s="28">
        <f>VLOOKUP(Table26[[#This Row],[Applicable Safety mechanism]], Table3[], 6,FALSE)</f>
        <v>0</v>
      </c>
      <c r="P85" s="29">
        <f>IF(Table26[[#This Row],[Failure mode that has the potential to violate the safety goal in absence of safety mechanism?]]="Yes", Table26[[#This Row],[Failure mode rate]]*(1-Table26[[#This Row],[Failure mode coverage wrt. violation of safety goals]]), 0)</f>
        <v>0</v>
      </c>
      <c r="Q85" s="318" t="s">
        <v>36</v>
      </c>
      <c r="R85" s="122"/>
      <c r="S85" s="318"/>
      <c r="T85" s="170"/>
      <c r="U85" s="16"/>
      <c r="V85" s="127">
        <f>IF(Table26[[#This Row],[Failure mode that may lead to the violation of safety goals in combination with an independent failure of another block ?]]="Yes",(1-Table26[[#This Row],[Failure mode coverage with respect to latent failures]])*Table26[[#This Row],[Failure mode rate]], 0)</f>
        <v>0</v>
      </c>
      <c r="W85" s="123"/>
      <c r="X85" s="339"/>
      <c r="Y85" s="21">
        <f>IF(Table26[[#This Row],[SR]]="Yes",Table26[[#This Row],[λ]], 0)</f>
        <v>0</v>
      </c>
    </row>
    <row r="86" spans="1:25" outlineLevel="1">
      <c r="A86" s="128" t="s">
        <v>918</v>
      </c>
      <c r="B86" s="123" t="s">
        <v>8</v>
      </c>
      <c r="C86" s="123" t="s">
        <v>119</v>
      </c>
      <c r="D86" s="123"/>
      <c r="E86" s="123"/>
      <c r="F86" s="125">
        <f>VLOOKUP(Table26[Function], Table1[], 5, FALSE)</f>
        <v>0.92735958683021302</v>
      </c>
      <c r="G86" s="19" t="s">
        <v>110</v>
      </c>
      <c r="H86" s="318" t="s">
        <v>36</v>
      </c>
      <c r="I86" s="122" t="s">
        <v>63</v>
      </c>
      <c r="J86" s="124">
        <f t="shared" si="4"/>
        <v>5.5555555555555552E-2</v>
      </c>
      <c r="K86" s="125">
        <f>Table26[[#This Row],[λ]]*Table26[[#This Row],[Failure rate distribution]]</f>
        <v>5.151997704612294E-2</v>
      </c>
      <c r="L86" s="318" t="s">
        <v>63</v>
      </c>
      <c r="M86" s="20" t="str">
        <f>VLOOKUP(Table26[[#This Row],[Applicable Safety mechanism]],Table3[],2,FALSE)</f>
        <v>Not applicable</v>
      </c>
      <c r="N86" s="21" t="str">
        <f>VLOOKUP(Table26[[#This Row],[Applicable Safety mechanism]], Table3[], 3,FALSE)</f>
        <v>-</v>
      </c>
      <c r="O86" s="16">
        <f>VLOOKUP(Table26[[#This Row],[Applicable Safety mechanism]], Table3[], 6,FALSE)</f>
        <v>0</v>
      </c>
      <c r="P86" s="126">
        <f>IF(Table26[[#This Row],[Failure mode that has the potential to violate the safety goal in absence of safety mechanism?]]="Yes", Table26[[#This Row],[Failure mode rate]]*(1-Table26[[#This Row],[Failure mode coverage wrt. violation of safety goals]]), 0)</f>
        <v>0</v>
      </c>
      <c r="Q86" s="318" t="s">
        <v>36</v>
      </c>
      <c r="R86" s="122"/>
      <c r="S86" s="318"/>
      <c r="T86" s="170"/>
      <c r="U86" s="16"/>
      <c r="V86" s="127">
        <f>IF(Table26[[#This Row],[Failure mode that may lead to the violation of safety goals in combination with an independent failure of another block ?]]="Yes",(1-Table26[[#This Row],[Failure mode coverage with respect to latent failures]])*Table26[[#This Row],[Failure mode rate]], 0)</f>
        <v>0</v>
      </c>
      <c r="W86" s="123"/>
      <c r="X86" s="339"/>
      <c r="Y86" s="21">
        <f>IF(Table26[[#This Row],[SR]]="Yes",Table26[[#This Row],[λ]], 0)</f>
        <v>0</v>
      </c>
    </row>
    <row r="87" spans="1:25" outlineLevel="1">
      <c r="A87" s="18" t="s">
        <v>919</v>
      </c>
      <c r="B87" s="123" t="s">
        <v>8</v>
      </c>
      <c r="C87" s="123" t="s">
        <v>119</v>
      </c>
      <c r="D87" s="123"/>
      <c r="E87" s="123"/>
      <c r="F87" s="125">
        <f>VLOOKUP(Table26[Function], Table1[], 5, FALSE)</f>
        <v>0.92735958683021302</v>
      </c>
      <c r="G87" s="19" t="s">
        <v>111</v>
      </c>
      <c r="H87" s="318" t="s">
        <v>36</v>
      </c>
      <c r="I87" s="122" t="s">
        <v>63</v>
      </c>
      <c r="J87" s="124">
        <f t="shared" si="4"/>
        <v>5.5555555555555552E-2</v>
      </c>
      <c r="K87" s="125">
        <f>Table26[[#This Row],[λ]]*Table26[[#This Row],[Failure rate distribution]]</f>
        <v>5.151997704612294E-2</v>
      </c>
      <c r="L87" s="318" t="s">
        <v>63</v>
      </c>
      <c r="M87" s="20" t="str">
        <f>VLOOKUP(Table26[[#This Row],[Applicable Safety mechanism]],Table3[],2,FALSE)</f>
        <v>Not applicable</v>
      </c>
      <c r="N87" s="21" t="str">
        <f>VLOOKUP(Table26[[#This Row],[Applicable Safety mechanism]], Table3[], 3,FALSE)</f>
        <v>-</v>
      </c>
      <c r="O87" s="16">
        <f>VLOOKUP(Table26[[#This Row],[Applicable Safety mechanism]], Table3[], 6,FALSE)</f>
        <v>0</v>
      </c>
      <c r="P87" s="126">
        <f>IF(Table26[[#This Row],[Failure mode that has the potential to violate the safety goal in absence of safety mechanism?]]="Yes", Table26[[#This Row],[Failure mode rate]]*(1-Table26[[#This Row],[Failure mode coverage wrt. violation of safety goals]]), 0)</f>
        <v>0</v>
      </c>
      <c r="Q87" s="318" t="s">
        <v>36</v>
      </c>
      <c r="R87" s="122"/>
      <c r="S87" s="318"/>
      <c r="T87" s="170"/>
      <c r="U87" s="16"/>
      <c r="V87" s="127">
        <f>IF(Table26[[#This Row],[Failure mode that may lead to the violation of safety goals in combination with an independent failure of another block ?]]="Yes",(1-Table26[[#This Row],[Failure mode coverage with respect to latent failures]])*Table26[[#This Row],[Failure mode rate]], 0)</f>
        <v>0</v>
      </c>
      <c r="W87" s="123"/>
      <c r="X87" s="339"/>
      <c r="Y87" s="21">
        <f>IF(Table26[[#This Row],[SR]]="Yes",Table26[[#This Row],[λ]], 0)</f>
        <v>0</v>
      </c>
    </row>
    <row r="88" spans="1:25" ht="28.8" outlineLevel="1">
      <c r="A88" s="128" t="s">
        <v>920</v>
      </c>
      <c r="B88" s="123" t="s">
        <v>8</v>
      </c>
      <c r="C88" s="123" t="s">
        <v>119</v>
      </c>
      <c r="D88" s="123"/>
      <c r="E88" s="123"/>
      <c r="F88" s="125">
        <f>VLOOKUP(Table26[Function], Table1[], 5, FALSE)</f>
        <v>0.92735958683021302</v>
      </c>
      <c r="G88" s="19" t="s">
        <v>352</v>
      </c>
      <c r="H88" s="318" t="s">
        <v>36</v>
      </c>
      <c r="I88" s="122" t="s">
        <v>63</v>
      </c>
      <c r="J88" s="124">
        <f t="shared" si="4"/>
        <v>5.5555555555555552E-2</v>
      </c>
      <c r="K88" s="125">
        <f>Table26[[#This Row],[λ]]*Table26[[#This Row],[Failure rate distribution]]</f>
        <v>5.151997704612294E-2</v>
      </c>
      <c r="L88" s="318" t="s">
        <v>63</v>
      </c>
      <c r="M88" s="20" t="str">
        <f>VLOOKUP(Table26[[#This Row],[Applicable Safety mechanism]],Table3[],2,FALSE)</f>
        <v>Not applicable</v>
      </c>
      <c r="N88" s="21" t="str">
        <f>VLOOKUP(Table26[[#This Row],[Applicable Safety mechanism]], Table3[], 3,FALSE)</f>
        <v>-</v>
      </c>
      <c r="O88" s="16">
        <f>VLOOKUP(Table26[[#This Row],[Applicable Safety mechanism]], Table3[], 6,FALSE)</f>
        <v>0</v>
      </c>
      <c r="P88" s="126">
        <f>IF(Table26[[#This Row],[Failure mode that has the potential to violate the safety goal in absence of safety mechanism?]]="Yes", Table26[[#This Row],[Failure mode rate]]*(1-Table26[[#This Row],[Failure mode coverage wrt. violation of safety goals]]), 0)</f>
        <v>0</v>
      </c>
      <c r="Q88" s="318" t="s">
        <v>36</v>
      </c>
      <c r="R88" s="122"/>
      <c r="S88" s="318"/>
      <c r="T88" s="170"/>
      <c r="U88" s="16"/>
      <c r="V88" s="127">
        <f>IF(Table26[[#This Row],[Failure mode that may lead to the violation of safety goals in combination with an independent failure of another block ?]]="Yes",(1-Table26[[#This Row],[Failure mode coverage with respect to latent failures]])*Table26[[#This Row],[Failure mode rate]], 0)</f>
        <v>0</v>
      </c>
      <c r="W88" s="123"/>
      <c r="X88" s="339"/>
      <c r="Y88" s="21">
        <f>IF(Table26[[#This Row],[SR]]="Yes",Table26[[#This Row],[λ]], 0)</f>
        <v>0</v>
      </c>
    </row>
    <row r="89" spans="1:25" outlineLevel="1">
      <c r="A89" s="18" t="s">
        <v>921</v>
      </c>
      <c r="B89" s="123" t="s">
        <v>8</v>
      </c>
      <c r="C89" s="123" t="s">
        <v>119</v>
      </c>
      <c r="D89" s="123"/>
      <c r="E89" s="123"/>
      <c r="F89" s="125">
        <f>VLOOKUP(Table26[Function], Table1[], 5, FALSE)</f>
        <v>0.92735958683021302</v>
      </c>
      <c r="G89" s="19" t="s">
        <v>112</v>
      </c>
      <c r="H89" s="318" t="s">
        <v>36</v>
      </c>
      <c r="I89" s="122" t="s">
        <v>63</v>
      </c>
      <c r="J89" s="124">
        <f t="shared" si="4"/>
        <v>5.5555555555555552E-2</v>
      </c>
      <c r="K89" s="125">
        <f>Table26[[#This Row],[λ]]*Table26[[#This Row],[Failure rate distribution]]</f>
        <v>5.151997704612294E-2</v>
      </c>
      <c r="L89" s="318" t="s">
        <v>63</v>
      </c>
      <c r="M89" s="20" t="str">
        <f>VLOOKUP(Table26[[#This Row],[Applicable Safety mechanism]],Table3[],2,FALSE)</f>
        <v>Not applicable</v>
      </c>
      <c r="N89" s="21" t="str">
        <f>VLOOKUP(Table26[[#This Row],[Applicable Safety mechanism]], Table3[], 3,FALSE)</f>
        <v>-</v>
      </c>
      <c r="O89" s="16">
        <f>VLOOKUP(Table26[[#This Row],[Applicable Safety mechanism]], Table3[], 6,FALSE)</f>
        <v>0</v>
      </c>
      <c r="P89" s="126">
        <f>IF(Table26[[#This Row],[Failure mode that has the potential to violate the safety goal in absence of safety mechanism?]]="Yes", Table26[[#This Row],[Failure mode rate]]*(1-Table26[[#This Row],[Failure mode coverage wrt. violation of safety goals]]), 0)</f>
        <v>0</v>
      </c>
      <c r="Q89" s="318" t="s">
        <v>36</v>
      </c>
      <c r="R89" s="122"/>
      <c r="S89" s="318"/>
      <c r="T89" s="170"/>
      <c r="U89" s="16"/>
      <c r="V89" s="127">
        <f>IF(Table26[[#This Row],[Failure mode that may lead to the violation of safety goals in combination with an independent failure of another block ?]]="Yes",(1-Table26[[#This Row],[Failure mode coverage with respect to latent failures]])*Table26[[#This Row],[Failure mode rate]], 0)</f>
        <v>0</v>
      </c>
      <c r="W89" s="123"/>
      <c r="X89" s="339"/>
      <c r="Y89" s="21">
        <f>IF(Table26[[#This Row],[SR]]="Yes",Table26[[#This Row],[λ]], 0)</f>
        <v>0</v>
      </c>
    </row>
    <row r="90" spans="1:25" outlineLevel="1">
      <c r="A90" s="128" t="s">
        <v>922</v>
      </c>
      <c r="B90" s="123" t="s">
        <v>8</v>
      </c>
      <c r="C90" s="123" t="s">
        <v>119</v>
      </c>
      <c r="D90" s="123"/>
      <c r="E90" s="123"/>
      <c r="F90" s="125">
        <f>VLOOKUP(Table26[Function], Table1[], 5, FALSE)</f>
        <v>0.92735958683021302</v>
      </c>
      <c r="G90" s="19" t="s">
        <v>113</v>
      </c>
      <c r="H90" s="318" t="s">
        <v>36</v>
      </c>
      <c r="I90" s="122" t="s">
        <v>63</v>
      </c>
      <c r="J90" s="124">
        <f t="shared" si="4"/>
        <v>5.5555555555555552E-2</v>
      </c>
      <c r="K90" s="125">
        <f>Table26[[#This Row],[λ]]*Table26[[#This Row],[Failure rate distribution]]</f>
        <v>5.151997704612294E-2</v>
      </c>
      <c r="L90" s="318" t="s">
        <v>63</v>
      </c>
      <c r="M90" s="20" t="str">
        <f>VLOOKUP(Table26[[#This Row],[Applicable Safety mechanism]],Table3[],2,FALSE)</f>
        <v>Not applicable</v>
      </c>
      <c r="N90" s="21" t="str">
        <f>VLOOKUP(Table26[[#This Row],[Applicable Safety mechanism]], Table3[], 3,FALSE)</f>
        <v>-</v>
      </c>
      <c r="O90" s="16">
        <f>VLOOKUP(Table26[[#This Row],[Applicable Safety mechanism]], Table3[], 6,FALSE)</f>
        <v>0</v>
      </c>
      <c r="P90" s="126">
        <f>IF(Table26[[#This Row],[Failure mode that has the potential to violate the safety goal in absence of safety mechanism?]]="Yes", Table26[[#This Row],[Failure mode rate]]*(1-Table26[[#This Row],[Failure mode coverage wrt. violation of safety goals]]), 0)</f>
        <v>0</v>
      </c>
      <c r="Q90" s="318" t="s">
        <v>36</v>
      </c>
      <c r="R90" s="122"/>
      <c r="S90" s="318"/>
      <c r="T90" s="170"/>
      <c r="U90" s="16"/>
      <c r="V90" s="127">
        <f>IF(Table26[[#This Row],[Failure mode that may lead to the violation of safety goals in combination with an independent failure of another block ?]]="Yes",(1-Table26[[#This Row],[Failure mode coverage with respect to latent failures]])*Table26[[#This Row],[Failure mode rate]], 0)</f>
        <v>0</v>
      </c>
      <c r="W90" s="123"/>
      <c r="X90" s="339"/>
      <c r="Y90" s="21">
        <f>IF(Table26[[#This Row],[SR]]="Yes",Table26[[#This Row],[λ]], 0)</f>
        <v>0</v>
      </c>
    </row>
    <row r="91" spans="1:25" outlineLevel="1">
      <c r="A91" s="18" t="s">
        <v>923</v>
      </c>
      <c r="B91" s="123" t="s">
        <v>8</v>
      </c>
      <c r="C91" s="123" t="s">
        <v>119</v>
      </c>
      <c r="D91" s="123"/>
      <c r="E91" s="123"/>
      <c r="F91" s="125">
        <f>VLOOKUP(Table26[Function], Table1[], 5, FALSE)</f>
        <v>0.92735958683021302</v>
      </c>
      <c r="G91" s="19" t="s">
        <v>114</v>
      </c>
      <c r="H91" s="318" t="s">
        <v>36</v>
      </c>
      <c r="I91" s="122" t="s">
        <v>63</v>
      </c>
      <c r="J91" s="124">
        <f t="shared" si="4"/>
        <v>5.5555555555555552E-2</v>
      </c>
      <c r="K91" s="125">
        <f>Table26[[#This Row],[λ]]*Table26[[#This Row],[Failure rate distribution]]</f>
        <v>5.151997704612294E-2</v>
      </c>
      <c r="L91" s="318" t="s">
        <v>63</v>
      </c>
      <c r="M91" s="20" t="str">
        <f>VLOOKUP(Table26[[#This Row],[Applicable Safety mechanism]],Table3[],2,FALSE)</f>
        <v>Not applicable</v>
      </c>
      <c r="N91" s="21" t="str">
        <f>VLOOKUP(Table26[[#This Row],[Applicable Safety mechanism]], Table3[], 3,FALSE)</f>
        <v>-</v>
      </c>
      <c r="O91" s="16">
        <f>VLOOKUP(Table26[[#This Row],[Applicable Safety mechanism]], Table3[], 6,FALSE)</f>
        <v>0</v>
      </c>
      <c r="P91" s="126">
        <f>IF(Table26[[#This Row],[Failure mode that has the potential to violate the safety goal in absence of safety mechanism?]]="Yes", Table26[[#This Row],[Failure mode rate]]*(1-Table26[[#This Row],[Failure mode coverage wrt. violation of safety goals]]), 0)</f>
        <v>0</v>
      </c>
      <c r="Q91" s="318" t="s">
        <v>36</v>
      </c>
      <c r="R91" s="122"/>
      <c r="S91" s="318"/>
      <c r="T91" s="170"/>
      <c r="U91" s="16"/>
      <c r="V91" s="127">
        <f>IF(Table26[[#This Row],[Failure mode that may lead to the violation of safety goals in combination with an independent failure of another block ?]]="Yes",(1-Table26[[#This Row],[Failure mode coverage with respect to latent failures]])*Table26[[#This Row],[Failure mode rate]], 0)</f>
        <v>0</v>
      </c>
      <c r="W91" s="123"/>
      <c r="X91" s="339"/>
      <c r="Y91" s="21">
        <f>IF(Table26[[#This Row],[SR]]="Yes",Table26[[#This Row],[λ]], 0)</f>
        <v>0</v>
      </c>
    </row>
    <row r="92" spans="1:25" ht="28.8" outlineLevel="1">
      <c r="A92" s="128" t="s">
        <v>924</v>
      </c>
      <c r="B92" s="123" t="s">
        <v>8</v>
      </c>
      <c r="C92" s="123" t="s">
        <v>119</v>
      </c>
      <c r="D92" s="123"/>
      <c r="E92" s="123"/>
      <c r="F92" s="125">
        <f>VLOOKUP(Table26[Function], Table1[], 5, FALSE)</f>
        <v>0.92735958683021302</v>
      </c>
      <c r="G92" s="19" t="s">
        <v>353</v>
      </c>
      <c r="H92" s="318" t="s">
        <v>36</v>
      </c>
      <c r="I92" s="122" t="s">
        <v>63</v>
      </c>
      <c r="J92" s="124">
        <f t="shared" si="4"/>
        <v>5.5555555555555552E-2</v>
      </c>
      <c r="K92" s="125">
        <f>Table26[[#This Row],[λ]]*Table26[[#This Row],[Failure rate distribution]]</f>
        <v>5.151997704612294E-2</v>
      </c>
      <c r="L92" s="318" t="s">
        <v>63</v>
      </c>
      <c r="M92" s="20" t="str">
        <f>VLOOKUP(Table26[[#This Row],[Applicable Safety mechanism]],Table3[],2,FALSE)</f>
        <v>Not applicable</v>
      </c>
      <c r="N92" s="21" t="str">
        <f>VLOOKUP(Table26[[#This Row],[Applicable Safety mechanism]], Table3[], 3,FALSE)</f>
        <v>-</v>
      </c>
      <c r="O92" s="16">
        <f>VLOOKUP(Table26[[#This Row],[Applicable Safety mechanism]], Table3[], 6,FALSE)</f>
        <v>0</v>
      </c>
      <c r="P92" s="126">
        <f>IF(Table26[[#This Row],[Failure mode that has the potential to violate the safety goal in absence of safety mechanism?]]="Yes", Table26[[#This Row],[Failure mode rate]]*(1-Table26[[#This Row],[Failure mode coverage wrt. violation of safety goals]]), 0)</f>
        <v>0</v>
      </c>
      <c r="Q92" s="318" t="s">
        <v>36</v>
      </c>
      <c r="R92" s="122"/>
      <c r="S92" s="318"/>
      <c r="T92" s="170"/>
      <c r="U92" s="16"/>
      <c r="V92" s="127">
        <f>IF(Table26[[#This Row],[Failure mode that may lead to the violation of safety goals in combination with an independent failure of another block ?]]="Yes",(1-Table26[[#This Row],[Failure mode coverage with respect to latent failures]])*Table26[[#This Row],[Failure mode rate]], 0)</f>
        <v>0</v>
      </c>
      <c r="W92" s="123"/>
      <c r="X92" s="339"/>
      <c r="Y92" s="21">
        <f>IF(Table26[[#This Row],[SR]]="Yes",Table26[[#This Row],[λ]], 0)</f>
        <v>0</v>
      </c>
    </row>
    <row r="93" spans="1:25" outlineLevel="1">
      <c r="A93" s="18" t="s">
        <v>925</v>
      </c>
      <c r="B93" s="123" t="s">
        <v>8</v>
      </c>
      <c r="C93" s="123" t="s">
        <v>119</v>
      </c>
      <c r="D93" s="123"/>
      <c r="E93" s="123"/>
      <c r="F93" s="125">
        <f>VLOOKUP(Table26[Function], Table1[], 5, FALSE)</f>
        <v>0.92735958683021302</v>
      </c>
      <c r="G93" s="19" t="s">
        <v>115</v>
      </c>
      <c r="H93" s="318" t="s">
        <v>36</v>
      </c>
      <c r="I93" s="122" t="s">
        <v>63</v>
      </c>
      <c r="J93" s="124">
        <f t="shared" si="4"/>
        <v>5.5555555555555552E-2</v>
      </c>
      <c r="K93" s="125">
        <f>Table26[[#This Row],[λ]]*Table26[[#This Row],[Failure rate distribution]]</f>
        <v>5.151997704612294E-2</v>
      </c>
      <c r="L93" s="318" t="s">
        <v>63</v>
      </c>
      <c r="M93" s="20" t="str">
        <f>VLOOKUP(Table26[[#This Row],[Applicable Safety mechanism]],Table3[],2,FALSE)</f>
        <v>Not applicable</v>
      </c>
      <c r="N93" s="21" t="str">
        <f>VLOOKUP(Table26[[#This Row],[Applicable Safety mechanism]], Table3[], 3,FALSE)</f>
        <v>-</v>
      </c>
      <c r="O93" s="16">
        <f>VLOOKUP(Table26[[#This Row],[Applicable Safety mechanism]], Table3[], 6,FALSE)</f>
        <v>0</v>
      </c>
      <c r="P93" s="126">
        <f>IF(Table26[[#This Row],[Failure mode that has the potential to violate the safety goal in absence of safety mechanism?]]="Yes", Table26[[#This Row],[Failure mode rate]]*(1-Table26[[#This Row],[Failure mode coverage wrt. violation of safety goals]]), 0)</f>
        <v>0</v>
      </c>
      <c r="Q93" s="318" t="s">
        <v>36</v>
      </c>
      <c r="R93" s="122"/>
      <c r="S93" s="318"/>
      <c r="T93" s="170"/>
      <c r="U93" s="16"/>
      <c r="V93" s="127">
        <f>IF(Table26[[#This Row],[Failure mode that may lead to the violation of safety goals in combination with an independent failure of another block ?]]="Yes",(1-Table26[[#This Row],[Failure mode coverage with respect to latent failures]])*Table26[[#This Row],[Failure mode rate]], 0)</f>
        <v>0</v>
      </c>
      <c r="W93" s="123"/>
      <c r="X93" s="339"/>
      <c r="Y93" s="21">
        <f>IF(Table26[[#This Row],[SR]]="Yes",Table26[[#This Row],[λ]], 0)</f>
        <v>0</v>
      </c>
    </row>
    <row r="94" spans="1:25" outlineLevel="1">
      <c r="A94" s="128" t="s">
        <v>926</v>
      </c>
      <c r="B94" s="123" t="s">
        <v>8</v>
      </c>
      <c r="C94" s="123" t="s">
        <v>119</v>
      </c>
      <c r="D94" s="123"/>
      <c r="E94" s="123"/>
      <c r="F94" s="125">
        <f>VLOOKUP(Table26[Function], Table1[], 5, FALSE)</f>
        <v>0.92735958683021302</v>
      </c>
      <c r="G94" s="19" t="s">
        <v>116</v>
      </c>
      <c r="H94" s="318" t="s">
        <v>36</v>
      </c>
      <c r="I94" s="122" t="s">
        <v>63</v>
      </c>
      <c r="J94" s="124">
        <f t="shared" si="4"/>
        <v>5.5555555555555552E-2</v>
      </c>
      <c r="K94" s="125">
        <f>Table26[[#This Row],[λ]]*Table26[[#This Row],[Failure rate distribution]]</f>
        <v>5.151997704612294E-2</v>
      </c>
      <c r="L94" s="318" t="s">
        <v>63</v>
      </c>
      <c r="M94" s="20" t="str">
        <f>VLOOKUP(Table26[[#This Row],[Applicable Safety mechanism]],Table3[],2,FALSE)</f>
        <v>Not applicable</v>
      </c>
      <c r="N94" s="21" t="str">
        <f>VLOOKUP(Table26[[#This Row],[Applicable Safety mechanism]], Table3[], 3,FALSE)</f>
        <v>-</v>
      </c>
      <c r="O94" s="16">
        <f>VLOOKUP(Table26[[#This Row],[Applicable Safety mechanism]], Table3[], 6,FALSE)</f>
        <v>0</v>
      </c>
      <c r="P94" s="126">
        <f>IF(Table26[[#This Row],[Failure mode that has the potential to violate the safety goal in absence of safety mechanism?]]="Yes", Table26[[#This Row],[Failure mode rate]]*(1-Table26[[#This Row],[Failure mode coverage wrt. violation of safety goals]]), 0)</f>
        <v>0</v>
      </c>
      <c r="Q94" s="318" t="s">
        <v>36</v>
      </c>
      <c r="R94" s="122"/>
      <c r="S94" s="318"/>
      <c r="T94" s="170"/>
      <c r="U94" s="16"/>
      <c r="V94" s="127">
        <f>IF(Table26[[#This Row],[Failure mode that may lead to the violation of safety goals in combination with an independent failure of another block ?]]="Yes",(1-Table26[[#This Row],[Failure mode coverage with respect to latent failures]])*Table26[[#This Row],[Failure mode rate]], 0)</f>
        <v>0</v>
      </c>
      <c r="W94" s="123"/>
      <c r="X94" s="339"/>
      <c r="Y94" s="21">
        <f>IF(Table26[[#This Row],[SR]]="Yes",Table26[[#This Row],[λ]], 0)</f>
        <v>0</v>
      </c>
    </row>
    <row r="95" spans="1:25" outlineLevel="1">
      <c r="A95" s="18" t="s">
        <v>927</v>
      </c>
      <c r="B95" s="123" t="s">
        <v>8</v>
      </c>
      <c r="C95" s="123" t="s">
        <v>119</v>
      </c>
      <c r="D95" s="123"/>
      <c r="E95" s="123"/>
      <c r="F95" s="125">
        <f>VLOOKUP(Table26[Function], Table1[], 5, FALSE)</f>
        <v>0.92735958683021302</v>
      </c>
      <c r="G95" s="19" t="s">
        <v>117</v>
      </c>
      <c r="H95" s="318" t="s">
        <v>36</v>
      </c>
      <c r="I95" s="122" t="s">
        <v>63</v>
      </c>
      <c r="J95" s="124">
        <f t="shared" si="4"/>
        <v>5.5555555555555552E-2</v>
      </c>
      <c r="K95" s="125">
        <f>Table26[[#This Row],[λ]]*Table26[[#This Row],[Failure rate distribution]]</f>
        <v>5.151997704612294E-2</v>
      </c>
      <c r="L95" s="318" t="s">
        <v>63</v>
      </c>
      <c r="M95" s="20" t="str">
        <f>VLOOKUP(Table26[[#This Row],[Applicable Safety mechanism]],Table3[],2,FALSE)</f>
        <v>Not applicable</v>
      </c>
      <c r="N95" s="21" t="str">
        <f>VLOOKUP(Table26[[#This Row],[Applicable Safety mechanism]], Table3[], 3,FALSE)</f>
        <v>-</v>
      </c>
      <c r="O95" s="16">
        <f>VLOOKUP(Table26[[#This Row],[Applicable Safety mechanism]], Table3[], 6,FALSE)</f>
        <v>0</v>
      </c>
      <c r="P95" s="126">
        <f>IF(Table26[[#This Row],[Failure mode that has the potential to violate the safety goal in absence of safety mechanism?]]="Yes", Table26[[#This Row],[Failure mode rate]]*(1-Table26[[#This Row],[Failure mode coverage wrt. violation of safety goals]]), 0)</f>
        <v>0</v>
      </c>
      <c r="Q95" s="318" t="s">
        <v>36</v>
      </c>
      <c r="R95" s="122"/>
      <c r="S95" s="318"/>
      <c r="T95" s="170"/>
      <c r="U95" s="16"/>
      <c r="V95" s="127">
        <f>IF(Table26[[#This Row],[Failure mode that may lead to the violation of safety goals in combination with an independent failure of another block ?]]="Yes",(1-Table26[[#This Row],[Failure mode coverage with respect to latent failures]])*Table26[[#This Row],[Failure mode rate]], 0)</f>
        <v>0</v>
      </c>
      <c r="W95" s="123"/>
      <c r="X95" s="339"/>
      <c r="Y95" s="21">
        <f>IF(Table26[[#This Row],[SR]]="Yes",Table26[[#This Row],[λ]], 0)</f>
        <v>0</v>
      </c>
    </row>
    <row r="96" spans="1:25" ht="28.8" outlineLevel="1">
      <c r="A96" s="128" t="s">
        <v>928</v>
      </c>
      <c r="B96" s="123" t="s">
        <v>8</v>
      </c>
      <c r="C96" s="123" t="s">
        <v>119</v>
      </c>
      <c r="D96" s="123"/>
      <c r="E96" s="123"/>
      <c r="F96" s="125">
        <f>VLOOKUP(Table26[Function], Table1[], 5, FALSE)</f>
        <v>0.92735958683021302</v>
      </c>
      <c r="G96" s="19" t="s">
        <v>354</v>
      </c>
      <c r="H96" s="318" t="s">
        <v>36</v>
      </c>
      <c r="I96" s="122" t="s">
        <v>63</v>
      </c>
      <c r="J96" s="124">
        <f t="shared" si="4"/>
        <v>5.5555555555555552E-2</v>
      </c>
      <c r="K96" s="70">
        <f>Table26[[#This Row],[λ]]*Table26[[#This Row],[Failure rate distribution]]</f>
        <v>5.151997704612294E-2</v>
      </c>
      <c r="L96" s="318" t="s">
        <v>63</v>
      </c>
      <c r="M96" s="26" t="str">
        <f>VLOOKUP(Table26[[#This Row],[Applicable Safety mechanism]],Table3[],2,FALSE)</f>
        <v>Not applicable</v>
      </c>
      <c r="N96" s="27" t="str">
        <f>VLOOKUP(Table26[[#This Row],[Applicable Safety mechanism]], Table3[], 3,FALSE)</f>
        <v>-</v>
      </c>
      <c r="O96" s="28">
        <f>VLOOKUP(Table26[[#This Row],[Applicable Safety mechanism]], Table3[], 6,FALSE)</f>
        <v>0</v>
      </c>
      <c r="P96" s="29">
        <f>IF(Table26[[#This Row],[Failure mode that has the potential to violate the safety goal in absence of safety mechanism?]]="Yes", Table26[[#This Row],[Failure mode rate]]*(1-Table26[[#This Row],[Failure mode coverage wrt. violation of safety goals]]), 0)</f>
        <v>0</v>
      </c>
      <c r="Q96" s="318" t="s">
        <v>36</v>
      </c>
      <c r="R96" s="122"/>
      <c r="S96" s="318"/>
      <c r="T96" s="170"/>
      <c r="U96" s="16"/>
      <c r="V96" s="127">
        <f>IF(Table26[[#This Row],[Failure mode that may lead to the violation of safety goals in combination with an independent failure of another block ?]]="Yes",(1-Table26[[#This Row],[Failure mode coverage with respect to latent failures]])*Table26[[#This Row],[Failure mode rate]], 0)</f>
        <v>0</v>
      </c>
      <c r="W96" s="123"/>
      <c r="X96" s="339"/>
      <c r="Y96" s="21">
        <f>IF(Table26[[#This Row],[SR]]="Yes",Table26[[#This Row],[λ]], 0)</f>
        <v>0</v>
      </c>
    </row>
    <row r="97" spans="1:25" outlineLevel="1">
      <c r="A97" s="18" t="s">
        <v>929</v>
      </c>
      <c r="B97" s="123" t="s">
        <v>8</v>
      </c>
      <c r="C97" s="123" t="s">
        <v>119</v>
      </c>
      <c r="D97" s="123"/>
      <c r="E97" s="123"/>
      <c r="F97" s="125">
        <f>VLOOKUP(Table26[Function], Table1[], 5, FALSE)</f>
        <v>0.92735958683021302</v>
      </c>
      <c r="G97" s="19" t="s">
        <v>118</v>
      </c>
      <c r="H97" s="318" t="s">
        <v>36</v>
      </c>
      <c r="I97" s="122" t="s">
        <v>63</v>
      </c>
      <c r="J97" s="124">
        <f t="shared" si="4"/>
        <v>5.5555555555555552E-2</v>
      </c>
      <c r="K97" s="70">
        <f>Table26[[#This Row],[λ]]*Table26[[#This Row],[Failure rate distribution]]</f>
        <v>5.151997704612294E-2</v>
      </c>
      <c r="L97" s="318" t="s">
        <v>63</v>
      </c>
      <c r="M97" s="26" t="str">
        <f>VLOOKUP(Table26[[#This Row],[Applicable Safety mechanism]],Table3[],2,FALSE)</f>
        <v>Not applicable</v>
      </c>
      <c r="N97" s="27" t="str">
        <f>VLOOKUP(Table26[[#This Row],[Applicable Safety mechanism]], Table3[], 3,FALSE)</f>
        <v>-</v>
      </c>
      <c r="O97" s="28">
        <f>VLOOKUP(Table26[[#This Row],[Applicable Safety mechanism]], Table3[], 6,FALSE)</f>
        <v>0</v>
      </c>
      <c r="P97" s="29">
        <f>IF(Table26[[#This Row],[Failure mode that has the potential to violate the safety goal in absence of safety mechanism?]]="Yes", Table26[[#This Row],[Failure mode rate]]*(1-Table26[[#This Row],[Failure mode coverage wrt. violation of safety goals]]), 0)</f>
        <v>0</v>
      </c>
      <c r="Q97" s="318" t="s">
        <v>36</v>
      </c>
      <c r="R97" s="122"/>
      <c r="S97" s="318"/>
      <c r="T97" s="170"/>
      <c r="U97" s="16"/>
      <c r="V97" s="127">
        <f>IF(Table26[[#This Row],[Failure mode that may lead to the violation of safety goals in combination with an independent failure of another block ?]]="Yes",(1-Table26[[#This Row],[Failure mode coverage with respect to latent failures]])*Table26[[#This Row],[Failure mode rate]], 0)</f>
        <v>0</v>
      </c>
      <c r="W97" s="123"/>
      <c r="X97" s="339"/>
      <c r="Y97" s="21">
        <f>IF(Table26[[#This Row],[SR]]="Yes",Table26[[#This Row],[λ]], 0)</f>
        <v>0</v>
      </c>
    </row>
    <row r="98" spans="1:25" outlineLevel="1">
      <c r="A98" s="128" t="s">
        <v>930</v>
      </c>
      <c r="B98" s="123" t="s">
        <v>8</v>
      </c>
      <c r="C98" s="123" t="s">
        <v>119</v>
      </c>
      <c r="D98" s="123"/>
      <c r="E98" s="123"/>
      <c r="F98" s="125">
        <f>VLOOKUP(Table26[Function], Table1[], 5, FALSE)</f>
        <v>0.92735958683021302</v>
      </c>
      <c r="G98" s="129" t="s">
        <v>345</v>
      </c>
      <c r="H98" s="318" t="s">
        <v>36</v>
      </c>
      <c r="I98" s="122" t="s">
        <v>63</v>
      </c>
      <c r="J98" s="124">
        <f t="shared" si="4"/>
        <v>5.5555555555555552E-2</v>
      </c>
      <c r="K98" s="70">
        <f>Table26[[#This Row],[λ]]*Table26[[#This Row],[Failure rate distribution]]</f>
        <v>5.151997704612294E-2</v>
      </c>
      <c r="L98" s="318" t="s">
        <v>63</v>
      </c>
      <c r="M98" s="26" t="str">
        <f>VLOOKUP(Table26[[#This Row],[Applicable Safety mechanism]],Table3[],2,FALSE)</f>
        <v>Not applicable</v>
      </c>
      <c r="N98" s="27" t="str">
        <f>VLOOKUP(Table26[[#This Row],[Applicable Safety mechanism]], Table3[], 3,FALSE)</f>
        <v>-</v>
      </c>
      <c r="O98" s="28">
        <f>VLOOKUP(Table26[[#This Row],[Applicable Safety mechanism]], Table3[], 6,FALSE)</f>
        <v>0</v>
      </c>
      <c r="P98" s="29">
        <f>IF(Table26[[#This Row],[Failure mode that has the potential to violate the safety goal in absence of safety mechanism?]]="Yes", Table26[[#This Row],[Failure mode rate]]*(1-Table26[[#This Row],[Failure mode coverage wrt. violation of safety goals]]), 0)</f>
        <v>0</v>
      </c>
      <c r="Q98" s="318" t="s">
        <v>36</v>
      </c>
      <c r="R98" s="122"/>
      <c r="S98" s="318"/>
      <c r="T98" s="170"/>
      <c r="U98" s="16"/>
      <c r="V98" s="127">
        <f>IF(Table26[[#This Row],[Failure mode that may lead to the violation of safety goals in combination with an independent failure of another block ?]]="Yes",(1-Table26[[#This Row],[Failure mode coverage with respect to latent failures]])*Table26[[#This Row],[Failure mode rate]], 0)</f>
        <v>0</v>
      </c>
      <c r="W98" s="123"/>
      <c r="X98" s="339"/>
      <c r="Y98" s="21">
        <f>IF(Table26[[#This Row],[SR]]="Yes",Table26[[#This Row],[λ]], 0)</f>
        <v>0</v>
      </c>
    </row>
    <row r="99" spans="1:25" ht="28.8">
      <c r="A99" s="18" t="s">
        <v>931</v>
      </c>
      <c r="B99" s="130" t="s">
        <v>8</v>
      </c>
      <c r="C99" s="130" t="s">
        <v>119</v>
      </c>
      <c r="D99" s="122" t="s">
        <v>63</v>
      </c>
      <c r="E99" s="122"/>
      <c r="F99" s="125">
        <f>VLOOKUP(Table26[Function], Table1[], 5, FALSE)</f>
        <v>0.92735958683021302</v>
      </c>
      <c r="G99" s="122" t="s">
        <v>63</v>
      </c>
      <c r="H99" s="318" t="s">
        <v>63</v>
      </c>
      <c r="I99" s="122" t="s">
        <v>63</v>
      </c>
      <c r="J99" s="122" t="s">
        <v>63</v>
      </c>
      <c r="K99" s="125" t="s">
        <v>63</v>
      </c>
      <c r="L99" s="318" t="s">
        <v>63</v>
      </c>
      <c r="M99" s="122" t="s">
        <v>63</v>
      </c>
      <c r="N99" s="122" t="s">
        <v>63</v>
      </c>
      <c r="O99" s="122" t="s">
        <v>63</v>
      </c>
      <c r="P99" s="122" t="s">
        <v>63</v>
      </c>
      <c r="Q99" s="318" t="s">
        <v>63</v>
      </c>
      <c r="R99" s="122"/>
      <c r="S99" s="318"/>
      <c r="T99" s="170"/>
      <c r="U99" s="122"/>
      <c r="V99" s="122"/>
      <c r="W99" s="122"/>
      <c r="X99" s="339"/>
      <c r="Y99" s="21"/>
    </row>
    <row r="100" spans="1:25" ht="100.8" outlineLevel="1">
      <c r="A100" s="128" t="s">
        <v>932</v>
      </c>
      <c r="B100" s="123" t="s">
        <v>9</v>
      </c>
      <c r="C100" s="123" t="s">
        <v>120</v>
      </c>
      <c r="D100" s="123" t="s">
        <v>498</v>
      </c>
      <c r="E100" s="123" t="s">
        <v>211</v>
      </c>
      <c r="F100" s="125">
        <f>VLOOKUP(Table26[Function], Table1[], 5, FALSE)</f>
        <v>1.69208521626856</v>
      </c>
      <c r="G100" s="152" t="s">
        <v>121</v>
      </c>
      <c r="H100" s="318" t="s">
        <v>36</v>
      </c>
      <c r="I100" s="122" t="s">
        <v>63</v>
      </c>
      <c r="J100" s="124">
        <f>1/5</f>
        <v>0.2</v>
      </c>
      <c r="K100" s="125">
        <f>Table26[[#This Row],[λ]]*Table26[[#This Row],[Failure rate distribution]]</f>
        <v>0.33841704325371202</v>
      </c>
      <c r="L100" s="318" t="s">
        <v>63</v>
      </c>
      <c r="M100" s="20" t="str">
        <f>VLOOKUP(Table26[[#This Row],[Applicable Safety mechanism]],Table3[],2,FALSE)</f>
        <v>Not applicable</v>
      </c>
      <c r="N100" s="21" t="str">
        <f>VLOOKUP(Table26[[#This Row],[Applicable Safety mechanism]], Table3[], 3,FALSE)</f>
        <v>-</v>
      </c>
      <c r="O100" s="16">
        <f>VLOOKUP(Table26[[#This Row],[Applicable Safety mechanism]], Table3[], 6,FALSE)</f>
        <v>0</v>
      </c>
      <c r="P100" s="126">
        <f>IF(Table26[[#This Row],[Failure mode that has the potential to violate the safety goal in absence of safety mechanism?]]="Yes", Table26[[#This Row],[Failure mode rate]]*(1-Table26[[#This Row],[Failure mode coverage wrt. violation of safety goals]]), 0)</f>
        <v>0</v>
      </c>
      <c r="Q100" s="318" t="s">
        <v>36</v>
      </c>
      <c r="R100" s="122"/>
      <c r="S100" s="318"/>
      <c r="T100" s="170"/>
      <c r="U100" s="16"/>
      <c r="V100" s="125">
        <f>IF(Table26[[#This Row],[Failure mode that may lead to the violation of safety goals in combination with an independent failure of another block ?]]="Yes",(1-Table26[[#This Row],[Failure mode coverage with respect to latent failures]])*Table26[[#This Row],[Failure mode rate]], 0)</f>
        <v>0</v>
      </c>
      <c r="W100" s="123"/>
      <c r="X100" s="339" t="s">
        <v>35</v>
      </c>
      <c r="Y100" s="125">
        <f>IF(Table26[[#This Row],[SR]]="Yes",Table26[[#This Row],[λ]], 0)</f>
        <v>1.69208521626856</v>
      </c>
    </row>
    <row r="101" spans="1:25" ht="28.8" outlineLevel="1">
      <c r="A101" s="18" t="s">
        <v>933</v>
      </c>
      <c r="B101" s="123" t="s">
        <v>9</v>
      </c>
      <c r="C101" s="123" t="s">
        <v>120</v>
      </c>
      <c r="D101" s="123"/>
      <c r="E101" s="123"/>
      <c r="F101" s="125">
        <f>VLOOKUP(Table26[Function], Table1[], 5, FALSE)</f>
        <v>1.69208521626856</v>
      </c>
      <c r="G101" s="152" t="s">
        <v>122</v>
      </c>
      <c r="H101" s="318" t="s">
        <v>36</v>
      </c>
      <c r="I101" s="122" t="s">
        <v>63</v>
      </c>
      <c r="J101" s="124">
        <f>1/5</f>
        <v>0.2</v>
      </c>
      <c r="K101" s="125">
        <f>Table26[[#This Row],[λ]]*Table26[[#This Row],[Failure rate distribution]]</f>
        <v>0.33841704325371202</v>
      </c>
      <c r="L101" s="318" t="s">
        <v>63</v>
      </c>
      <c r="M101" s="20" t="str">
        <f>VLOOKUP(Table26[[#This Row],[Applicable Safety mechanism]],Table3[],2,FALSE)</f>
        <v>Not applicable</v>
      </c>
      <c r="N101" s="21" t="str">
        <f>VLOOKUP(Table26[[#This Row],[Applicable Safety mechanism]], Table3[], 3,FALSE)</f>
        <v>-</v>
      </c>
      <c r="O101" s="16">
        <f>VLOOKUP(Table26[[#This Row],[Applicable Safety mechanism]], Table3[], 6,FALSE)</f>
        <v>0</v>
      </c>
      <c r="P101" s="126">
        <f>IF(Table26[[#This Row],[Failure mode that has the potential to violate the safety goal in absence of safety mechanism?]]="Yes", Table26[[#This Row],[Failure mode rate]]*(1-Table26[[#This Row],[Failure mode coverage wrt. violation of safety goals]]), 0)</f>
        <v>0</v>
      </c>
      <c r="Q101" s="318" t="s">
        <v>36</v>
      </c>
      <c r="R101" s="122"/>
      <c r="S101" s="318"/>
      <c r="T101" s="170"/>
      <c r="U101" s="16"/>
      <c r="V101" s="125">
        <f>IF(Table26[[#This Row],[Failure mode that may lead to the violation of safety goals in combination with an independent failure of another block ?]]="Yes",(1-Table26[[#This Row],[Failure mode coverage with respect to latent failures]])*Table26[[#This Row],[Failure mode rate]], 0)</f>
        <v>0</v>
      </c>
      <c r="W101" s="123"/>
      <c r="X101" s="339"/>
      <c r="Y101" s="21">
        <f>IF(Table26[[#This Row],[SR]]="Yes",Table26[[#This Row],[λ]], 0)</f>
        <v>0</v>
      </c>
    </row>
    <row r="102" spans="1:25" outlineLevel="1">
      <c r="A102" s="128" t="s">
        <v>934</v>
      </c>
      <c r="B102" s="123" t="s">
        <v>9</v>
      </c>
      <c r="C102" s="123" t="s">
        <v>120</v>
      </c>
      <c r="D102" s="123"/>
      <c r="E102" s="123"/>
      <c r="F102" s="125">
        <f>VLOOKUP(Table26[Function], Table1[], 5, FALSE)</f>
        <v>1.69208521626856</v>
      </c>
      <c r="G102" s="152" t="s">
        <v>123</v>
      </c>
      <c r="H102" s="318" t="s">
        <v>36</v>
      </c>
      <c r="I102" s="122" t="s">
        <v>63</v>
      </c>
      <c r="J102" s="124">
        <f>1/5</f>
        <v>0.2</v>
      </c>
      <c r="K102" s="125">
        <f>Table26[[#This Row],[λ]]*Table26[[#This Row],[Failure rate distribution]]</f>
        <v>0.33841704325371202</v>
      </c>
      <c r="L102" s="318" t="s">
        <v>63</v>
      </c>
      <c r="M102" s="20" t="str">
        <f>VLOOKUP(Table26[[#This Row],[Applicable Safety mechanism]],Table3[],2,FALSE)</f>
        <v>Not applicable</v>
      </c>
      <c r="N102" s="21" t="str">
        <f>VLOOKUP(Table26[[#This Row],[Applicable Safety mechanism]], Table3[], 3,FALSE)</f>
        <v>-</v>
      </c>
      <c r="O102" s="16">
        <f>VLOOKUP(Table26[[#This Row],[Applicable Safety mechanism]], Table3[], 6,FALSE)</f>
        <v>0</v>
      </c>
      <c r="P102" s="126">
        <f>IF(Table26[[#This Row],[Failure mode that has the potential to violate the safety goal in absence of safety mechanism?]]="Yes", Table26[[#This Row],[Failure mode rate]]*(1-Table26[[#This Row],[Failure mode coverage wrt. violation of safety goals]]), 0)</f>
        <v>0</v>
      </c>
      <c r="Q102" s="318" t="s">
        <v>36</v>
      </c>
      <c r="R102" s="122"/>
      <c r="S102" s="318"/>
      <c r="T102" s="170"/>
      <c r="U102" s="16"/>
      <c r="V102" s="125">
        <f>IF(Table26[[#This Row],[Failure mode that may lead to the violation of safety goals in combination with an independent failure of another block ?]]="Yes",(1-Table26[[#This Row],[Failure mode coverage with respect to latent failures]])*Table26[[#This Row],[Failure mode rate]], 0)</f>
        <v>0</v>
      </c>
      <c r="W102" s="123"/>
      <c r="X102" s="339"/>
      <c r="Y102" s="21">
        <f>IF(Table26[[#This Row],[SR]]="Yes",Table26[[#This Row],[λ]], 0)</f>
        <v>0</v>
      </c>
    </row>
    <row r="103" spans="1:25" outlineLevel="1">
      <c r="A103" s="18" t="s">
        <v>935</v>
      </c>
      <c r="B103" s="123" t="s">
        <v>9</v>
      </c>
      <c r="C103" s="123" t="s">
        <v>120</v>
      </c>
      <c r="D103" s="123"/>
      <c r="E103" s="123"/>
      <c r="F103" s="125">
        <f>VLOOKUP(Table26[Function], Table1[], 5, FALSE)</f>
        <v>1.69208521626856</v>
      </c>
      <c r="G103" s="152" t="s">
        <v>124</v>
      </c>
      <c r="H103" s="318" t="s">
        <v>36</v>
      </c>
      <c r="I103" s="122" t="s">
        <v>63</v>
      </c>
      <c r="J103" s="124">
        <f>1/5</f>
        <v>0.2</v>
      </c>
      <c r="K103" s="125">
        <f>Table26[[#This Row],[λ]]*Table26[[#This Row],[Failure rate distribution]]</f>
        <v>0.33841704325371202</v>
      </c>
      <c r="L103" s="318" t="s">
        <v>63</v>
      </c>
      <c r="M103" s="20" t="str">
        <f>VLOOKUP(Table26[[#This Row],[Applicable Safety mechanism]],Table3[],2,FALSE)</f>
        <v>Not applicable</v>
      </c>
      <c r="N103" s="21" t="str">
        <f>VLOOKUP(Table26[[#This Row],[Applicable Safety mechanism]], Table3[], 3,FALSE)</f>
        <v>-</v>
      </c>
      <c r="O103" s="16">
        <f>VLOOKUP(Table26[[#This Row],[Applicable Safety mechanism]], Table3[], 6,FALSE)</f>
        <v>0</v>
      </c>
      <c r="P103" s="126">
        <f>IF(Table26[[#This Row],[Failure mode that has the potential to violate the safety goal in absence of safety mechanism?]]="Yes", Table26[[#This Row],[Failure mode rate]]*(1-Table26[[#This Row],[Failure mode coverage wrt. violation of safety goals]]), 0)</f>
        <v>0</v>
      </c>
      <c r="Q103" s="318" t="s">
        <v>36</v>
      </c>
      <c r="R103" s="122"/>
      <c r="S103" s="318"/>
      <c r="T103" s="170"/>
      <c r="U103" s="16"/>
      <c r="V103" s="125">
        <f>IF(Table26[[#This Row],[Failure mode that may lead to the violation of safety goals in combination with an independent failure of another block ?]]="Yes",(1-Table26[[#This Row],[Failure mode coverage with respect to latent failures]])*Table26[[#This Row],[Failure mode rate]], 0)</f>
        <v>0</v>
      </c>
      <c r="W103" s="123"/>
      <c r="X103" s="339"/>
      <c r="Y103" s="21">
        <f>IF(Table26[[#This Row],[SR]]="Yes",Table26[[#This Row],[λ]], 0)</f>
        <v>0</v>
      </c>
    </row>
    <row r="104" spans="1:25" ht="28.8" outlineLevel="1">
      <c r="A104" s="128" t="s">
        <v>936</v>
      </c>
      <c r="B104" s="123" t="s">
        <v>9</v>
      </c>
      <c r="C104" s="123" t="s">
        <v>120</v>
      </c>
      <c r="D104" s="123"/>
      <c r="E104" s="123"/>
      <c r="F104" s="125">
        <f>VLOOKUP(Table26[Function], Table1[], 5, FALSE)</f>
        <v>1.69208521626856</v>
      </c>
      <c r="G104" s="152" t="s">
        <v>125</v>
      </c>
      <c r="H104" s="318" t="s">
        <v>36</v>
      </c>
      <c r="I104" s="122" t="s">
        <v>63</v>
      </c>
      <c r="J104" s="124">
        <f>1/5</f>
        <v>0.2</v>
      </c>
      <c r="K104" s="70">
        <f>Table26[[#This Row],[λ]]*Table26[[#This Row],[Failure rate distribution]]</f>
        <v>0.33841704325371202</v>
      </c>
      <c r="L104" s="318" t="s">
        <v>63</v>
      </c>
      <c r="M104" s="20" t="str">
        <f>VLOOKUP(Table26[[#This Row],[Applicable Safety mechanism]],Table3[],2,FALSE)</f>
        <v>Not applicable</v>
      </c>
      <c r="N104" s="27" t="str">
        <f>VLOOKUP(Table26[[#This Row],[Applicable Safety mechanism]], Table3[], 3,FALSE)</f>
        <v>-</v>
      </c>
      <c r="O104" s="28">
        <f>VLOOKUP(Table26[[#This Row],[Applicable Safety mechanism]], Table3[], 6,FALSE)</f>
        <v>0</v>
      </c>
      <c r="P104" s="29">
        <f>IF(Table26[[#This Row],[Failure mode that has the potential to violate the safety goal in absence of safety mechanism?]]="Yes", Table26[[#This Row],[Failure mode rate]]*(1-Table26[[#This Row],[Failure mode coverage wrt. violation of safety goals]]), 0)</f>
        <v>0</v>
      </c>
      <c r="Q104" s="318" t="s">
        <v>36</v>
      </c>
      <c r="R104" s="122"/>
      <c r="S104" s="318"/>
      <c r="T104" s="170"/>
      <c r="U104" s="16"/>
      <c r="V104" s="125">
        <f>IF(Table26[[#This Row],[Failure mode that may lead to the violation of safety goals in combination with an independent failure of another block ?]]="Yes",(1-Table26[[#This Row],[Failure mode coverage with respect to latent failures]])*Table26[[#This Row],[Failure mode rate]], 0)</f>
        <v>0</v>
      </c>
      <c r="W104" s="123"/>
      <c r="X104" s="339"/>
      <c r="Y104" s="21">
        <f>IF(Table26[[#This Row],[SR]]="Yes",Table26[[#This Row],[λ]], 0)</f>
        <v>0</v>
      </c>
    </row>
    <row r="105" spans="1:25" ht="28.8">
      <c r="A105" s="18" t="s">
        <v>937</v>
      </c>
      <c r="B105" s="130" t="s">
        <v>9</v>
      </c>
      <c r="C105" s="130" t="s">
        <v>120</v>
      </c>
      <c r="D105" s="122" t="s">
        <v>63</v>
      </c>
      <c r="E105" s="122"/>
      <c r="F105" s="125">
        <f>VLOOKUP(Table26[Function], Table1[], 5, FALSE)</f>
        <v>1.69208521626856</v>
      </c>
      <c r="G105" s="122" t="s">
        <v>63</v>
      </c>
      <c r="H105" s="318" t="s">
        <v>63</v>
      </c>
      <c r="I105" s="122" t="s">
        <v>63</v>
      </c>
      <c r="J105" s="122" t="s">
        <v>63</v>
      </c>
      <c r="K105" s="125" t="s">
        <v>63</v>
      </c>
      <c r="L105" s="318" t="s">
        <v>63</v>
      </c>
      <c r="M105" s="122" t="s">
        <v>63</v>
      </c>
      <c r="N105" s="122" t="s">
        <v>63</v>
      </c>
      <c r="O105" s="122" t="s">
        <v>63</v>
      </c>
      <c r="P105" s="122" t="s">
        <v>63</v>
      </c>
      <c r="Q105" s="318" t="s">
        <v>63</v>
      </c>
      <c r="R105" s="122"/>
      <c r="S105" s="318"/>
      <c r="T105" s="170"/>
      <c r="U105" s="122"/>
      <c r="V105" s="122"/>
      <c r="W105" s="122"/>
      <c r="X105" s="339"/>
      <c r="Y105" s="21"/>
    </row>
    <row r="106" spans="1:25" ht="28.8" outlineLevel="1">
      <c r="A106" s="128" t="s">
        <v>938</v>
      </c>
      <c r="B106" s="123" t="s">
        <v>128</v>
      </c>
      <c r="C106" s="123" t="s">
        <v>129</v>
      </c>
      <c r="D106" s="123" t="s">
        <v>212</v>
      </c>
      <c r="E106" s="123" t="s">
        <v>207</v>
      </c>
      <c r="F106" s="125">
        <f>VLOOKUP(Table26[Function], Table1[], 5, FALSE)</f>
        <v>0.46367979341510651</v>
      </c>
      <c r="G106" s="19" t="s">
        <v>184</v>
      </c>
      <c r="H106" s="318" t="s">
        <v>36</v>
      </c>
      <c r="I106" s="122" t="s">
        <v>63</v>
      </c>
      <c r="J106" s="124">
        <f>1/5</f>
        <v>0.2</v>
      </c>
      <c r="K106" s="125">
        <f>Table26[[#This Row],[λ]]*Table26[[#This Row],[Failure rate distribution]]</f>
        <v>9.2735958683021313E-2</v>
      </c>
      <c r="L106" s="318" t="s">
        <v>63</v>
      </c>
      <c r="M106" s="20" t="str">
        <f>VLOOKUP(Table26[[#This Row],[Applicable Safety mechanism]],Table3[],2,FALSE)</f>
        <v>Not applicable</v>
      </c>
      <c r="N106" s="21" t="str">
        <f>VLOOKUP(Table26[[#This Row],[Applicable Safety mechanism]], Table3[], 3,FALSE)</f>
        <v>-</v>
      </c>
      <c r="O106" s="16">
        <f>VLOOKUP(Table26[[#This Row],[Applicable Safety mechanism]], Table3[], 6,FALSE)</f>
        <v>0</v>
      </c>
      <c r="P106" s="126">
        <f>IF(Table26[[#This Row],[Failure mode that has the potential to violate the safety goal in absence of safety mechanism?]]="Yes", Table26[[#This Row],[Failure mode rate]]*(1-Table26[[#This Row],[Failure mode coverage wrt. violation of safety goals]]), 0)</f>
        <v>0</v>
      </c>
      <c r="Q106" s="318" t="s">
        <v>36</v>
      </c>
      <c r="R106" s="122"/>
      <c r="S106" s="318"/>
      <c r="T106" s="170"/>
      <c r="U106" s="16"/>
      <c r="V106" s="127">
        <f>IF(Table26[[#This Row],[Failure mode that may lead to the violation of safety goals in combination with an independent failure of another block ?]]="Yes",(1-Table26[[#This Row],[Failure mode coverage with respect to latent failures]])*Table26[[#This Row],[Failure mode rate]], 0)</f>
        <v>0</v>
      </c>
      <c r="W106" s="123"/>
      <c r="X106" s="339" t="s">
        <v>36</v>
      </c>
      <c r="Y106" s="21">
        <f>IF(Table26[[#This Row],[SR]]="Yes",Table26[[#This Row],[λ]], 0)</f>
        <v>0</v>
      </c>
    </row>
    <row r="107" spans="1:25" outlineLevel="1">
      <c r="A107" s="18" t="s">
        <v>939</v>
      </c>
      <c r="B107" s="123" t="s">
        <v>128</v>
      </c>
      <c r="C107" s="123"/>
      <c r="D107" s="123"/>
      <c r="E107" s="123"/>
      <c r="F107" s="125">
        <f>VLOOKUP(Table26[Function], Table1[], 5, FALSE)</f>
        <v>0.46367979341510651</v>
      </c>
      <c r="G107" s="19" t="s">
        <v>185</v>
      </c>
      <c r="H107" s="318" t="s">
        <v>36</v>
      </c>
      <c r="I107" s="122" t="s">
        <v>63</v>
      </c>
      <c r="J107" s="124">
        <f>1/5</f>
        <v>0.2</v>
      </c>
      <c r="K107" s="125">
        <f>Table26[[#This Row],[λ]]*Table26[[#This Row],[Failure rate distribution]]</f>
        <v>9.2735958683021313E-2</v>
      </c>
      <c r="L107" s="318" t="s">
        <v>63</v>
      </c>
      <c r="M107" s="20" t="str">
        <f>VLOOKUP(Table26[[#This Row],[Applicable Safety mechanism]],Table3[],2,FALSE)</f>
        <v>Not applicable</v>
      </c>
      <c r="N107" s="21" t="str">
        <f>VLOOKUP(Table26[[#This Row],[Applicable Safety mechanism]], Table3[], 3,FALSE)</f>
        <v>-</v>
      </c>
      <c r="O107" s="16">
        <f>VLOOKUP(Table26[[#This Row],[Applicable Safety mechanism]], Table3[], 6,FALSE)</f>
        <v>0</v>
      </c>
      <c r="P107" s="126">
        <f>IF(Table26[[#This Row],[Failure mode that has the potential to violate the safety goal in absence of safety mechanism?]]="Yes", Table26[[#This Row],[Failure mode rate]]*(1-Table26[[#This Row],[Failure mode coverage wrt. violation of safety goals]]), 0)</f>
        <v>0</v>
      </c>
      <c r="Q107" s="318" t="s">
        <v>36</v>
      </c>
      <c r="R107" s="122"/>
      <c r="S107" s="318"/>
      <c r="T107" s="170"/>
      <c r="U107" s="16"/>
      <c r="V107" s="127">
        <f>IF(Table26[[#This Row],[Failure mode that may lead to the violation of safety goals in combination with an independent failure of another block ?]]="Yes",(1-Table26[[#This Row],[Failure mode coverage with respect to latent failures]])*Table26[[#This Row],[Failure mode rate]], 0)</f>
        <v>0</v>
      </c>
      <c r="W107" s="123"/>
      <c r="X107" s="339"/>
      <c r="Y107" s="21">
        <f>IF(Table26[[#This Row],[SR]]="Yes",Table26[[#This Row],[λ]], 0)</f>
        <v>0</v>
      </c>
    </row>
    <row r="108" spans="1:25" outlineLevel="1">
      <c r="A108" s="128" t="s">
        <v>940</v>
      </c>
      <c r="B108" s="123" t="s">
        <v>128</v>
      </c>
      <c r="C108" s="123"/>
      <c r="D108" s="123"/>
      <c r="E108" s="123"/>
      <c r="F108" s="125">
        <f>VLOOKUP(Table26[Function], Table1[], 5, FALSE)</f>
        <v>0.46367979341510651</v>
      </c>
      <c r="G108" s="19" t="s">
        <v>186</v>
      </c>
      <c r="H108" s="318" t="s">
        <v>36</v>
      </c>
      <c r="I108" s="122" t="s">
        <v>63</v>
      </c>
      <c r="J108" s="124">
        <f>1/5</f>
        <v>0.2</v>
      </c>
      <c r="K108" s="125">
        <f>Table26[[#This Row],[λ]]*Table26[[#This Row],[Failure rate distribution]]</f>
        <v>9.2735958683021313E-2</v>
      </c>
      <c r="L108" s="318" t="s">
        <v>63</v>
      </c>
      <c r="M108" s="20" t="str">
        <f>VLOOKUP(Table26[[#This Row],[Applicable Safety mechanism]],Table3[],2,FALSE)</f>
        <v>Not applicable</v>
      </c>
      <c r="N108" s="21" t="str">
        <f>VLOOKUP(Table26[[#This Row],[Applicable Safety mechanism]], Table3[], 3,FALSE)</f>
        <v>-</v>
      </c>
      <c r="O108" s="16">
        <f>VLOOKUP(Table26[[#This Row],[Applicable Safety mechanism]], Table3[], 6,FALSE)</f>
        <v>0</v>
      </c>
      <c r="P108" s="126">
        <f>IF(Table26[[#This Row],[Failure mode that has the potential to violate the safety goal in absence of safety mechanism?]]="Yes", Table26[[#This Row],[Failure mode rate]]*(1-Table26[[#This Row],[Failure mode coverage wrt. violation of safety goals]]), 0)</f>
        <v>0</v>
      </c>
      <c r="Q108" s="318" t="s">
        <v>36</v>
      </c>
      <c r="R108" s="122"/>
      <c r="S108" s="318"/>
      <c r="T108" s="170"/>
      <c r="U108" s="16"/>
      <c r="V108" s="127">
        <f>IF(Table26[[#This Row],[Failure mode that may lead to the violation of safety goals in combination with an independent failure of another block ?]]="Yes",(1-Table26[[#This Row],[Failure mode coverage with respect to latent failures]])*Table26[[#This Row],[Failure mode rate]], 0)</f>
        <v>0</v>
      </c>
      <c r="W108" s="123"/>
      <c r="X108" s="339"/>
      <c r="Y108" s="21">
        <f>IF(Table26[[#This Row],[SR]]="Yes",Table26[[#This Row],[λ]], 0)</f>
        <v>0</v>
      </c>
    </row>
    <row r="109" spans="1:25" outlineLevel="1">
      <c r="A109" s="18" t="s">
        <v>941</v>
      </c>
      <c r="B109" s="123" t="s">
        <v>128</v>
      </c>
      <c r="C109" s="123"/>
      <c r="D109" s="123"/>
      <c r="E109" s="123"/>
      <c r="F109" s="125">
        <f>VLOOKUP(Table26[Function], Table1[], 5, FALSE)</f>
        <v>0.46367979341510651</v>
      </c>
      <c r="G109" s="19" t="s">
        <v>187</v>
      </c>
      <c r="H109" s="318" t="s">
        <v>36</v>
      </c>
      <c r="I109" s="122" t="s">
        <v>63</v>
      </c>
      <c r="J109" s="124">
        <f>1/5</f>
        <v>0.2</v>
      </c>
      <c r="K109" s="125">
        <f>Table26[[#This Row],[λ]]*Table26[[#This Row],[Failure rate distribution]]</f>
        <v>9.2735958683021313E-2</v>
      </c>
      <c r="L109" s="318" t="s">
        <v>63</v>
      </c>
      <c r="M109" s="20" t="str">
        <f>VLOOKUP(Table26[[#This Row],[Applicable Safety mechanism]],Table3[],2,FALSE)</f>
        <v>Not applicable</v>
      </c>
      <c r="N109" s="21" t="str">
        <f>VLOOKUP(Table26[[#This Row],[Applicable Safety mechanism]], Table3[], 3,FALSE)</f>
        <v>-</v>
      </c>
      <c r="O109" s="16">
        <f>VLOOKUP(Table26[[#This Row],[Applicable Safety mechanism]], Table3[], 6,FALSE)</f>
        <v>0</v>
      </c>
      <c r="P109" s="126">
        <f>IF(Table26[[#This Row],[Failure mode that has the potential to violate the safety goal in absence of safety mechanism?]]="Yes", Table26[[#This Row],[Failure mode rate]]*(1-Table26[[#This Row],[Failure mode coverage wrt. violation of safety goals]]), 0)</f>
        <v>0</v>
      </c>
      <c r="Q109" s="318" t="s">
        <v>36</v>
      </c>
      <c r="R109" s="122"/>
      <c r="S109" s="318"/>
      <c r="T109" s="170"/>
      <c r="U109" s="16"/>
      <c r="V109" s="127">
        <f>IF(Table26[[#This Row],[Failure mode that may lead to the violation of safety goals in combination with an independent failure of another block ?]]="Yes",(1-Table26[[#This Row],[Failure mode coverage with respect to latent failures]])*Table26[[#This Row],[Failure mode rate]], 0)</f>
        <v>0</v>
      </c>
      <c r="W109" s="123"/>
      <c r="X109" s="339"/>
      <c r="Y109" s="21">
        <f>IF(Table26[[#This Row],[SR]]="Yes",Table26[[#This Row],[λ]], 0)</f>
        <v>0</v>
      </c>
    </row>
    <row r="110" spans="1:25" outlineLevel="1">
      <c r="A110" s="128" t="s">
        <v>942</v>
      </c>
      <c r="B110" s="123" t="s">
        <v>128</v>
      </c>
      <c r="C110" s="123"/>
      <c r="D110" s="123"/>
      <c r="E110" s="123"/>
      <c r="F110" s="125">
        <f>VLOOKUP(Table26[Function], Table1[], 5, FALSE)</f>
        <v>0.46367979341510651</v>
      </c>
      <c r="G110" s="19" t="s">
        <v>188</v>
      </c>
      <c r="H110" s="320" t="s">
        <v>36</v>
      </c>
      <c r="I110" s="122" t="s">
        <v>63</v>
      </c>
      <c r="J110" s="124">
        <f>1/5</f>
        <v>0.2</v>
      </c>
      <c r="K110" s="70">
        <f>Table26[[#This Row],[λ]]*Table26[[#This Row],[Failure rate distribution]]</f>
        <v>9.2735958683021313E-2</v>
      </c>
      <c r="L110" s="318" t="s">
        <v>63</v>
      </c>
      <c r="M110" s="26" t="str">
        <f>VLOOKUP(Table26[[#This Row],[Applicable Safety mechanism]],Table3[],2,FALSE)</f>
        <v>Not applicable</v>
      </c>
      <c r="N110" s="27" t="str">
        <f>VLOOKUP(Table26[[#This Row],[Applicable Safety mechanism]], Table3[], 3,FALSE)</f>
        <v>-</v>
      </c>
      <c r="O110" s="28">
        <f>VLOOKUP(Table26[[#This Row],[Applicable Safety mechanism]], Table3[], 6,FALSE)</f>
        <v>0</v>
      </c>
      <c r="P110" s="29">
        <f>IF(Table26[[#This Row],[Failure mode that has the potential to violate the safety goal in absence of safety mechanism?]]="Yes", Table26[[#This Row],[Failure mode rate]]*(1-Table26[[#This Row],[Failure mode coverage wrt. violation of safety goals]]), 0)</f>
        <v>0</v>
      </c>
      <c r="Q110" s="318" t="s">
        <v>36</v>
      </c>
      <c r="R110" s="122"/>
      <c r="S110" s="318"/>
      <c r="T110" s="170"/>
      <c r="U110" s="16"/>
      <c r="V110" s="127">
        <f>IF(Table26[[#This Row],[Failure mode that may lead to the violation of safety goals in combination with an independent failure of another block ?]]="Yes",(1-Table26[[#This Row],[Failure mode coverage with respect to latent failures]])*Table26[[#This Row],[Failure mode rate]], 0)</f>
        <v>0</v>
      </c>
      <c r="W110" s="123"/>
      <c r="X110" s="339"/>
      <c r="Y110" s="21">
        <f>IF(Table26[[#This Row],[SR]]="Yes",Table26[[#This Row],[λ]], 0)</f>
        <v>0</v>
      </c>
    </row>
    <row r="111" spans="1:25" ht="28.8">
      <c r="A111" s="18" t="s">
        <v>943</v>
      </c>
      <c r="B111" s="130" t="s">
        <v>128</v>
      </c>
      <c r="C111" s="130" t="s">
        <v>129</v>
      </c>
      <c r="D111" s="122" t="s">
        <v>63</v>
      </c>
      <c r="E111" s="122"/>
      <c r="F111" s="125">
        <f>VLOOKUP(Table26[Function], Table1[], 5, FALSE)</f>
        <v>0.46367979341510651</v>
      </c>
      <c r="G111" s="122" t="s">
        <v>63</v>
      </c>
      <c r="H111" s="318" t="s">
        <v>63</v>
      </c>
      <c r="I111" s="122" t="s">
        <v>63</v>
      </c>
      <c r="J111" s="122" t="s">
        <v>63</v>
      </c>
      <c r="K111" s="125" t="s">
        <v>63</v>
      </c>
      <c r="L111" s="318" t="s">
        <v>63</v>
      </c>
      <c r="M111" s="122" t="s">
        <v>63</v>
      </c>
      <c r="N111" s="122" t="s">
        <v>63</v>
      </c>
      <c r="O111" s="122" t="s">
        <v>63</v>
      </c>
      <c r="P111" s="122" t="s">
        <v>63</v>
      </c>
      <c r="Q111" s="318" t="s">
        <v>63</v>
      </c>
      <c r="R111" s="122"/>
      <c r="S111" s="318"/>
      <c r="T111" s="170"/>
      <c r="U111" s="122"/>
      <c r="V111" s="122"/>
      <c r="W111" s="122"/>
      <c r="X111" s="339"/>
      <c r="Y111" s="21"/>
    </row>
    <row r="112" spans="1:25" ht="28.8" outlineLevel="1">
      <c r="A112" s="128" t="s">
        <v>944</v>
      </c>
      <c r="B112" s="123" t="s">
        <v>230</v>
      </c>
      <c r="C112" s="123" t="s">
        <v>132</v>
      </c>
      <c r="D112" s="123" t="s">
        <v>213</v>
      </c>
      <c r="E112" s="123" t="s">
        <v>211</v>
      </c>
      <c r="F112" s="125">
        <f>VLOOKUP(Table26[Function], Table1[], 5, FALSE)</f>
        <v>1.2699289864428662</v>
      </c>
      <c r="G112" s="152" t="s">
        <v>336</v>
      </c>
      <c r="H112" s="318" t="s">
        <v>36</v>
      </c>
      <c r="I112" s="122" t="s">
        <v>63</v>
      </c>
      <c r="J112" s="124">
        <f>1/5</f>
        <v>0.2</v>
      </c>
      <c r="K112" s="125">
        <f>Table26[[#This Row],[λ]]*Table26[[#This Row],[Failure rate distribution]]</f>
        <v>0.25398579728857323</v>
      </c>
      <c r="L112" s="318" t="s">
        <v>63</v>
      </c>
      <c r="M112" s="20" t="str">
        <f>VLOOKUP(Table26[[#This Row],[Applicable Safety mechanism]],Table3[],2,FALSE)</f>
        <v>Not applicable</v>
      </c>
      <c r="N112" s="21" t="str">
        <f>VLOOKUP(Table26[[#This Row],[Applicable Safety mechanism]], Table3[], 3,FALSE)</f>
        <v>-</v>
      </c>
      <c r="O112" s="16">
        <f>VLOOKUP(Table26[[#This Row],[Applicable Safety mechanism]], Table3[], 6,FALSE)</f>
        <v>0</v>
      </c>
      <c r="P112" s="126">
        <f>IF(Table26[[#This Row],[Failure mode that has the potential to violate the safety goal in absence of safety mechanism?]]="Yes", Table26[[#This Row],[Failure mode rate]]*(1-Table26[[#This Row],[Failure mode coverage wrt. violation of safety goals]]), 0)</f>
        <v>0</v>
      </c>
      <c r="Q112" s="318" t="s">
        <v>36</v>
      </c>
      <c r="R112" s="122"/>
      <c r="S112" s="318"/>
      <c r="T112" s="170"/>
      <c r="U112" s="16"/>
      <c r="V112" s="125">
        <f>IF(Table26[[#This Row],[Failure mode that may lead to the violation of safety goals in combination with an independent failure of another block ?]]="Yes",(1-Table26[[#This Row],[Failure mode coverage with respect to latent failures]])*Table26[[#This Row],[Failure mode rate]], 0)</f>
        <v>0</v>
      </c>
      <c r="W112" s="123"/>
      <c r="X112" s="339" t="s">
        <v>36</v>
      </c>
      <c r="Y112" s="21">
        <f>IF(Table26[[#This Row],[SR]]="Yes",Table26[[#This Row],[λ]], 0)</f>
        <v>0</v>
      </c>
    </row>
    <row r="113" spans="1:25" outlineLevel="1">
      <c r="A113" s="18" t="s">
        <v>945</v>
      </c>
      <c r="B113" s="123" t="s">
        <v>230</v>
      </c>
      <c r="C113" s="123" t="s">
        <v>132</v>
      </c>
      <c r="D113" s="123"/>
      <c r="E113" s="123"/>
      <c r="F113" s="125">
        <f>VLOOKUP(Table26[Function], Table1[], 5, FALSE)</f>
        <v>1.2699289864428662</v>
      </c>
      <c r="G113" s="152" t="s">
        <v>130</v>
      </c>
      <c r="H113" s="318" t="s">
        <v>36</v>
      </c>
      <c r="I113" s="122" t="s">
        <v>63</v>
      </c>
      <c r="J113" s="124">
        <f t="shared" ref="J113:J116" si="5">1/5</f>
        <v>0.2</v>
      </c>
      <c r="K113" s="125">
        <f>Table26[[#This Row],[λ]]*Table26[[#This Row],[Failure rate distribution]]</f>
        <v>0.25398579728857323</v>
      </c>
      <c r="L113" s="318" t="s">
        <v>63</v>
      </c>
      <c r="M113" s="20" t="str">
        <f>VLOOKUP(Table26[[#This Row],[Applicable Safety mechanism]],Table3[],2,FALSE)</f>
        <v>Not applicable</v>
      </c>
      <c r="N113" s="21" t="str">
        <f>VLOOKUP(Table26[[#This Row],[Applicable Safety mechanism]], Table3[], 3,FALSE)</f>
        <v>-</v>
      </c>
      <c r="O113" s="16">
        <f>VLOOKUP(Table26[[#This Row],[Applicable Safety mechanism]], Table3[], 6,FALSE)</f>
        <v>0</v>
      </c>
      <c r="P113" s="126">
        <f>IF(Table26[[#This Row],[Failure mode that has the potential to violate the safety goal in absence of safety mechanism?]]="Yes", Table26[[#This Row],[Failure mode rate]]*(1-Table26[[#This Row],[Failure mode coverage wrt. violation of safety goals]]), 0)</f>
        <v>0</v>
      </c>
      <c r="Q113" s="318" t="s">
        <v>36</v>
      </c>
      <c r="R113" s="122"/>
      <c r="S113" s="318"/>
      <c r="T113" s="170"/>
      <c r="U113" s="16"/>
      <c r="V113" s="125">
        <f>IF(Table26[[#This Row],[Failure mode that may lead to the violation of safety goals in combination with an independent failure of another block ?]]="Yes",(1-Table26[[#This Row],[Failure mode coverage with respect to latent failures]])*Table26[[#This Row],[Failure mode rate]], 0)</f>
        <v>0</v>
      </c>
      <c r="W113" s="170"/>
      <c r="X113" s="339"/>
      <c r="Y113" s="21">
        <f>IF(Table26[[#This Row],[SR]]="Yes",Table26[[#This Row],[λ]], 0)</f>
        <v>0</v>
      </c>
    </row>
    <row r="114" spans="1:25" outlineLevel="1">
      <c r="A114" s="128" t="s">
        <v>946</v>
      </c>
      <c r="B114" s="123" t="s">
        <v>230</v>
      </c>
      <c r="C114" s="123" t="s">
        <v>132</v>
      </c>
      <c r="D114" s="123"/>
      <c r="E114" s="123"/>
      <c r="F114" s="125">
        <f>VLOOKUP(Table26[Function], Table1[], 5, FALSE)</f>
        <v>1.2699289864428662</v>
      </c>
      <c r="G114" s="19" t="s">
        <v>480</v>
      </c>
      <c r="H114" s="318" t="s">
        <v>36</v>
      </c>
      <c r="I114" s="122" t="s">
        <v>63</v>
      </c>
      <c r="J114" s="124">
        <f t="shared" si="5"/>
        <v>0.2</v>
      </c>
      <c r="K114" s="125">
        <f>Table26[[#This Row],[λ]]*Table26[[#This Row],[Failure rate distribution]]</f>
        <v>0.25398579728857323</v>
      </c>
      <c r="L114" s="318" t="s">
        <v>63</v>
      </c>
      <c r="M114" s="20" t="str">
        <f>VLOOKUP(Table26[[#This Row],[Applicable Safety mechanism]],Table3[],2,FALSE)</f>
        <v>Not applicable</v>
      </c>
      <c r="N114" s="21" t="str">
        <f>VLOOKUP(Table26[[#This Row],[Applicable Safety mechanism]], Table3[], 3,FALSE)</f>
        <v>-</v>
      </c>
      <c r="O114" s="16">
        <f>VLOOKUP(Table26[[#This Row],[Applicable Safety mechanism]], Table3[], 6,FALSE)</f>
        <v>0</v>
      </c>
      <c r="P114" s="126">
        <f>IF(Table26[[#This Row],[Failure mode that has the potential to violate the safety goal in absence of safety mechanism?]]="Yes", Table26[[#This Row],[Failure mode rate]]*(1-Table26[[#This Row],[Failure mode coverage wrt. violation of safety goals]]), 0)</f>
        <v>0</v>
      </c>
      <c r="Q114" s="318" t="s">
        <v>36</v>
      </c>
      <c r="R114" s="122"/>
      <c r="S114" s="318"/>
      <c r="T114" s="170"/>
      <c r="U114" s="16"/>
      <c r="V114" s="125">
        <f>IF(Table26[[#This Row],[Failure mode that may lead to the violation of safety goals in combination with an independent failure of another block ?]]="Yes",(1-Table26[[#This Row],[Failure mode coverage with respect to latent failures]])*Table26[[#This Row],[Failure mode rate]], 0)</f>
        <v>0</v>
      </c>
      <c r="W114" s="170"/>
      <c r="X114" s="339"/>
      <c r="Y114" s="21">
        <f>IF(Table26[[#This Row],[SR]]="Yes",Table26[[#This Row],[λ]], 0)</f>
        <v>0</v>
      </c>
    </row>
    <row r="115" spans="1:25" outlineLevel="1">
      <c r="A115" s="18" t="s">
        <v>947</v>
      </c>
      <c r="B115" s="123" t="s">
        <v>230</v>
      </c>
      <c r="C115" s="123" t="s">
        <v>132</v>
      </c>
      <c r="D115" s="123"/>
      <c r="E115" s="123"/>
      <c r="F115" s="125">
        <f>VLOOKUP(Table26[Function], Table1[], 5, FALSE)</f>
        <v>1.2699289864428662</v>
      </c>
      <c r="G115" s="19" t="s">
        <v>131</v>
      </c>
      <c r="H115" s="318" t="s">
        <v>36</v>
      </c>
      <c r="I115" s="122" t="s">
        <v>63</v>
      </c>
      <c r="J115" s="124">
        <f t="shared" si="5"/>
        <v>0.2</v>
      </c>
      <c r="K115" s="125">
        <f>Table26[[#This Row],[λ]]*Table26[[#This Row],[Failure rate distribution]]</f>
        <v>0.25398579728857323</v>
      </c>
      <c r="L115" s="318" t="s">
        <v>63</v>
      </c>
      <c r="M115" s="20" t="str">
        <f>VLOOKUP(Table26[[#This Row],[Applicable Safety mechanism]],Table3[],2,FALSE)</f>
        <v>Not applicable</v>
      </c>
      <c r="N115" s="21" t="str">
        <f>VLOOKUP(Table26[[#This Row],[Applicable Safety mechanism]], Table3[], 3,FALSE)</f>
        <v>-</v>
      </c>
      <c r="O115" s="16">
        <f>VLOOKUP(Table26[[#This Row],[Applicable Safety mechanism]], Table3[], 6,FALSE)</f>
        <v>0</v>
      </c>
      <c r="P115" s="126">
        <f>IF(Table26[[#This Row],[Failure mode that has the potential to violate the safety goal in absence of safety mechanism?]]="Yes", Table26[[#This Row],[Failure mode rate]]*(1-Table26[[#This Row],[Failure mode coverage wrt. violation of safety goals]]), 0)</f>
        <v>0</v>
      </c>
      <c r="Q115" s="318" t="s">
        <v>36</v>
      </c>
      <c r="R115" s="122"/>
      <c r="S115" s="318"/>
      <c r="T115" s="170"/>
      <c r="U115" s="16"/>
      <c r="V115" s="125">
        <f>IF(Table26[[#This Row],[Failure mode that may lead to the violation of safety goals in combination with an independent failure of another block ?]]="Yes",(1-Table26[[#This Row],[Failure mode coverage with respect to latent failures]])*Table26[[#This Row],[Failure mode rate]], 0)</f>
        <v>0</v>
      </c>
      <c r="W115" s="123"/>
      <c r="X115" s="339"/>
      <c r="Y115" s="21">
        <f>IF(Table26[[#This Row],[SR]]="Yes",Table26[[#This Row],[λ]], 0)</f>
        <v>0</v>
      </c>
    </row>
    <row r="116" spans="1:25" ht="28.8" outlineLevel="1">
      <c r="A116" s="128" t="s">
        <v>948</v>
      </c>
      <c r="B116" s="123" t="s">
        <v>230</v>
      </c>
      <c r="C116" s="123" t="s">
        <v>132</v>
      </c>
      <c r="D116" s="123"/>
      <c r="E116" s="123"/>
      <c r="F116" s="125">
        <f>VLOOKUP(Table26[Function], Table1[], 5, FALSE)</f>
        <v>1.2699289864428662</v>
      </c>
      <c r="G116" s="168" t="s">
        <v>360</v>
      </c>
      <c r="H116" s="318" t="s">
        <v>36</v>
      </c>
      <c r="I116" s="122" t="s">
        <v>63</v>
      </c>
      <c r="J116" s="124">
        <f t="shared" si="5"/>
        <v>0.2</v>
      </c>
      <c r="K116" s="125">
        <f>Table26[[#This Row],[λ]]*Table26[[#This Row],[Failure rate distribution]]</f>
        <v>0.25398579728857323</v>
      </c>
      <c r="L116" s="318" t="s">
        <v>63</v>
      </c>
      <c r="M116" s="20" t="str">
        <f>VLOOKUP(Table26[[#This Row],[Applicable Safety mechanism]],Table3[],2,FALSE)</f>
        <v>Not applicable</v>
      </c>
      <c r="N116" s="21" t="str">
        <f>VLOOKUP(Table26[[#This Row],[Applicable Safety mechanism]], Table3[], 3,FALSE)</f>
        <v>-</v>
      </c>
      <c r="O116" s="16">
        <f>VLOOKUP(Table26[[#This Row],[Applicable Safety mechanism]], Table3[], 6,FALSE)</f>
        <v>0</v>
      </c>
      <c r="P116" s="126">
        <f>IF(Table26[[#This Row],[Failure mode that has the potential to violate the safety goal in absence of safety mechanism?]]="Yes", Table26[[#This Row],[Failure mode rate]]*(1-Table26[[#This Row],[Failure mode coverage wrt. violation of safety goals]]), 0)</f>
        <v>0</v>
      </c>
      <c r="Q116" s="318" t="s">
        <v>36</v>
      </c>
      <c r="R116" s="122"/>
      <c r="S116" s="318"/>
      <c r="T116" s="170"/>
      <c r="U116" s="16"/>
      <c r="V116" s="125">
        <f>IF(Table26[[#This Row],[Failure mode that may lead to the violation of safety goals in combination with an independent failure of another block ?]]="Yes",(1-Table26[[#This Row],[Failure mode coverage with respect to latent failures]])*Table26[[#This Row],[Failure mode rate]], 0)</f>
        <v>0</v>
      </c>
      <c r="W116" s="123"/>
      <c r="X116" s="339"/>
      <c r="Y116" s="21">
        <f>IF(Table26[[#This Row],[SR]]="Yes",Table26[[#This Row],[λ]], 0)</f>
        <v>0</v>
      </c>
    </row>
    <row r="117" spans="1:25" ht="28.8">
      <c r="A117" s="18" t="s">
        <v>949</v>
      </c>
      <c r="B117" s="130" t="s">
        <v>230</v>
      </c>
      <c r="C117" s="130" t="s">
        <v>132</v>
      </c>
      <c r="D117" s="122" t="s">
        <v>63</v>
      </c>
      <c r="E117" s="122"/>
      <c r="F117" s="125">
        <f>VLOOKUP(Table26[Function], Table1[], 5, FALSE)</f>
        <v>1.2699289864428662</v>
      </c>
      <c r="G117" s="122" t="s">
        <v>63</v>
      </c>
      <c r="H117" s="318" t="s">
        <v>63</v>
      </c>
      <c r="I117" s="122" t="s">
        <v>63</v>
      </c>
      <c r="J117" s="122" t="s">
        <v>63</v>
      </c>
      <c r="K117" s="125" t="s">
        <v>63</v>
      </c>
      <c r="L117" s="318" t="s">
        <v>63</v>
      </c>
      <c r="M117" s="122" t="s">
        <v>63</v>
      </c>
      <c r="N117" s="122" t="s">
        <v>63</v>
      </c>
      <c r="O117" s="122" t="s">
        <v>63</v>
      </c>
      <c r="P117" s="122" t="s">
        <v>63</v>
      </c>
      <c r="Q117" s="318" t="s">
        <v>63</v>
      </c>
      <c r="R117" s="122"/>
      <c r="S117" s="318"/>
      <c r="T117" s="170"/>
      <c r="U117" s="122"/>
      <c r="V117" s="122"/>
      <c r="W117" s="122"/>
      <c r="X117" s="339"/>
      <c r="Y117" s="21"/>
    </row>
    <row r="118" spans="1:25" ht="43.2" outlineLevel="1">
      <c r="A118" s="128" t="s">
        <v>950</v>
      </c>
      <c r="B118" s="34" t="s">
        <v>231</v>
      </c>
      <c r="C118" s="123" t="s">
        <v>133</v>
      </c>
      <c r="D118" s="123" t="s">
        <v>214</v>
      </c>
      <c r="E118" s="123" t="s">
        <v>211</v>
      </c>
      <c r="F118" s="125">
        <f>VLOOKUP(Table26[Function], Table1[], 5, FALSE)</f>
        <v>1.2699289864428662</v>
      </c>
      <c r="G118" s="19" t="s">
        <v>337</v>
      </c>
      <c r="H118" s="318" t="s">
        <v>36</v>
      </c>
      <c r="I118" s="122" t="s">
        <v>63</v>
      </c>
      <c r="J118" s="124">
        <f>1/7</f>
        <v>0.14285714285714285</v>
      </c>
      <c r="K118" s="125">
        <f>Table26[[#This Row],[λ]]*Table26[[#This Row],[Failure rate distribution]]</f>
        <v>0.18141842663469515</v>
      </c>
      <c r="L118" s="318" t="s">
        <v>63</v>
      </c>
      <c r="M118" s="20" t="str">
        <f>VLOOKUP(Table26[[#This Row],[Applicable Safety mechanism]],Table3[],2,FALSE)</f>
        <v>Not applicable</v>
      </c>
      <c r="N118" s="21" t="str">
        <f>VLOOKUP(Table26[[#This Row],[Applicable Safety mechanism]], Table3[], 3,FALSE)</f>
        <v>-</v>
      </c>
      <c r="O118" s="16">
        <f>VLOOKUP(Table26[[#This Row],[Applicable Safety mechanism]], Table3[], 6,FALSE)</f>
        <v>0</v>
      </c>
      <c r="P118" s="126">
        <f>IF(Table26[[#This Row],[Failure mode that has the potential to violate the safety goal in absence of safety mechanism?]]="Yes", Table26[[#This Row],[Failure mode rate]]*(1-Table26[[#This Row],[Failure mode coverage wrt. violation of safety goals]]), 0)</f>
        <v>0</v>
      </c>
      <c r="Q118" s="318" t="s">
        <v>35</v>
      </c>
      <c r="R118" s="122" t="s">
        <v>465</v>
      </c>
      <c r="S118" s="318" t="s">
        <v>46</v>
      </c>
      <c r="T118" s="171" t="str">
        <f>VLOOKUP(Table26[[#This Row],[Detection means ? Safety mechanism(s) allowing to prevent the failure mode from being latent ?]],Table3[],2,FALSE)</f>
        <v>Voltage supervisor
(Monitoring of output voltage) logical level</v>
      </c>
      <c r="U118" s="16">
        <f>VLOOKUP(Table26[[#This Row],[Detection means ? Safety mechanism(s) allowing to prevent the failure mode from being latent ?]], Table3[], 6,FALSE)</f>
        <v>0.99</v>
      </c>
      <c r="V118" s="125">
        <f>IF(Table26[[#This Row],[Failure mode that may lead to the violation of safety goals in combination with an independent failure of another block ?]]="Yes",(1-Table26[[#This Row],[Failure mode coverage with respect to latent failures]])*Table26[[#This Row],[Failure mode rate]], 0)</f>
        <v>1.8141842663469531E-3</v>
      </c>
      <c r="W118" s="123"/>
      <c r="X118" s="339" t="s">
        <v>35</v>
      </c>
      <c r="Y118" s="125">
        <f>IF(Table26[[#This Row],[SR]]="Yes",Table26[[#This Row],[λ]], 0)</f>
        <v>1.2699289864428662</v>
      </c>
    </row>
    <row r="119" spans="1:25" outlineLevel="1">
      <c r="A119" s="18" t="s">
        <v>951</v>
      </c>
      <c r="B119" s="123" t="s">
        <v>231</v>
      </c>
      <c r="C119" s="123" t="s">
        <v>133</v>
      </c>
      <c r="D119" s="123"/>
      <c r="E119" s="123"/>
      <c r="F119" s="125">
        <f>VLOOKUP(Table26[Function], Table1[], 5, FALSE)</f>
        <v>1.2699289864428662</v>
      </c>
      <c r="G119" s="152" t="s">
        <v>536</v>
      </c>
      <c r="H119" s="318" t="s">
        <v>36</v>
      </c>
      <c r="I119" s="122" t="s">
        <v>63</v>
      </c>
      <c r="J119" s="124">
        <f t="shared" ref="J119:J124" si="6">1/7</f>
        <v>0.14285714285714285</v>
      </c>
      <c r="K119" s="125">
        <f>Table26[[#This Row],[λ]]*Table26[[#This Row],[Failure rate distribution]]</f>
        <v>0.18141842663469515</v>
      </c>
      <c r="L119" s="318" t="s">
        <v>63</v>
      </c>
      <c r="M119" s="20" t="str">
        <f>VLOOKUP(Table26[[#This Row],[Applicable Safety mechanism]],Table3[],2,FALSE)</f>
        <v>Not applicable</v>
      </c>
      <c r="N119" s="21" t="str">
        <f>VLOOKUP(Table26[[#This Row],[Applicable Safety mechanism]], Table3[], 3,FALSE)</f>
        <v>-</v>
      </c>
      <c r="O119" s="16">
        <f>VLOOKUP(Table26[[#This Row],[Applicable Safety mechanism]], Table3[], 6,FALSE)</f>
        <v>0</v>
      </c>
      <c r="P119" s="126">
        <f>IF(Table26[[#This Row],[Failure mode that has the potential to violate the safety goal in absence of safety mechanism?]]="Yes", Table26[[#This Row],[Failure mode rate]]*(1-Table26[[#This Row],[Failure mode coverage wrt. violation of safety goals]]), 0)</f>
        <v>0</v>
      </c>
      <c r="Q119" s="318" t="s">
        <v>36</v>
      </c>
      <c r="R119" s="122"/>
      <c r="S119" s="318"/>
      <c r="T119" s="170"/>
      <c r="U119" s="16"/>
      <c r="V119" s="125">
        <f>IF(Table26[[#This Row],[Failure mode that may lead to the violation of safety goals in combination with an independent failure of another block ?]]="Yes",(1-Table26[[#This Row],[Failure mode coverage with respect to latent failures]])*Table26[[#This Row],[Failure mode rate]], 0)</f>
        <v>0</v>
      </c>
      <c r="W119" s="123"/>
      <c r="X119" s="339"/>
      <c r="Y119" s="21">
        <f>IF(Table26[[#This Row],[SR]]="Yes",Table26[[#This Row],[λ]], 0)</f>
        <v>0</v>
      </c>
    </row>
    <row r="120" spans="1:25" outlineLevel="1">
      <c r="A120" s="128" t="s">
        <v>952</v>
      </c>
      <c r="B120" s="123" t="s">
        <v>231</v>
      </c>
      <c r="C120" s="123" t="s">
        <v>133</v>
      </c>
      <c r="D120" s="123"/>
      <c r="E120" s="123"/>
      <c r="F120" s="125">
        <f>VLOOKUP(Table26[Function], Table1[], 5, FALSE)</f>
        <v>1.2699289864428662</v>
      </c>
      <c r="G120" s="19" t="s">
        <v>134</v>
      </c>
      <c r="H120" s="318" t="s">
        <v>36</v>
      </c>
      <c r="I120" s="122" t="s">
        <v>63</v>
      </c>
      <c r="J120" s="124">
        <f t="shared" si="6"/>
        <v>0.14285714285714285</v>
      </c>
      <c r="K120" s="125">
        <f>Table26[[#This Row],[λ]]*Table26[[#This Row],[Failure rate distribution]]</f>
        <v>0.18141842663469515</v>
      </c>
      <c r="L120" s="318" t="s">
        <v>63</v>
      </c>
      <c r="M120" s="20" t="str">
        <f>VLOOKUP(Table26[[#This Row],[Applicable Safety mechanism]],Table3[],2,FALSE)</f>
        <v>Not applicable</v>
      </c>
      <c r="N120" s="21" t="str">
        <f>VLOOKUP(Table26[[#This Row],[Applicable Safety mechanism]], Table3[], 3,FALSE)</f>
        <v>-</v>
      </c>
      <c r="O120" s="16">
        <f>VLOOKUP(Table26[[#This Row],[Applicable Safety mechanism]], Table3[], 6,FALSE)</f>
        <v>0</v>
      </c>
      <c r="P120" s="126">
        <f>IF(Table26[[#This Row],[Failure mode that has the potential to violate the safety goal in absence of safety mechanism?]]="Yes", Table26[[#This Row],[Failure mode rate]]*(1-Table26[[#This Row],[Failure mode coverage wrt. violation of safety goals]]), 0)</f>
        <v>0</v>
      </c>
      <c r="Q120" s="318" t="s">
        <v>36</v>
      </c>
      <c r="R120" s="122"/>
      <c r="S120" s="318"/>
      <c r="T120" s="170"/>
      <c r="U120" s="16"/>
      <c r="V120" s="125">
        <f>IF(Table26[[#This Row],[Failure mode that may lead to the violation of safety goals in combination with an independent failure of another block ?]]="Yes",(1-Table26[[#This Row],[Failure mode coverage with respect to latent failures]])*Table26[[#This Row],[Failure mode rate]], 0)</f>
        <v>0</v>
      </c>
      <c r="W120" s="123"/>
      <c r="X120" s="339"/>
      <c r="Y120" s="21">
        <f>IF(Table26[[#This Row],[SR]]="Yes",Table26[[#This Row],[λ]], 0)</f>
        <v>0</v>
      </c>
    </row>
    <row r="121" spans="1:25" outlineLevel="1">
      <c r="A121" s="18" t="s">
        <v>953</v>
      </c>
      <c r="B121" s="123" t="s">
        <v>231</v>
      </c>
      <c r="C121" s="123" t="s">
        <v>133</v>
      </c>
      <c r="D121" s="123"/>
      <c r="E121" s="123"/>
      <c r="F121" s="125">
        <f>VLOOKUP(Table26[Function], Table1[], 5, FALSE)</f>
        <v>1.2699289864428662</v>
      </c>
      <c r="G121" s="19" t="s">
        <v>481</v>
      </c>
      <c r="H121" s="318" t="s">
        <v>36</v>
      </c>
      <c r="I121" s="122" t="s">
        <v>63</v>
      </c>
      <c r="J121" s="124">
        <f t="shared" si="6"/>
        <v>0.14285714285714285</v>
      </c>
      <c r="K121" s="125">
        <f>Table26[[#This Row],[λ]]*Table26[[#This Row],[Failure rate distribution]]</f>
        <v>0.18141842663469515</v>
      </c>
      <c r="L121" s="318" t="s">
        <v>63</v>
      </c>
      <c r="M121" s="20" t="str">
        <f>VLOOKUP(Table26[[#This Row],[Applicable Safety mechanism]],Table3[],2,FALSE)</f>
        <v>Not applicable</v>
      </c>
      <c r="N121" s="21" t="str">
        <f>VLOOKUP(Table26[[#This Row],[Applicable Safety mechanism]], Table3[], 3,FALSE)</f>
        <v>-</v>
      </c>
      <c r="O121" s="16">
        <f>VLOOKUP(Table26[[#This Row],[Applicable Safety mechanism]], Table3[], 6,FALSE)</f>
        <v>0</v>
      </c>
      <c r="P121" s="126">
        <f>IF(Table26[[#This Row],[Failure mode that has the potential to violate the safety goal in absence of safety mechanism?]]="Yes", Table26[[#This Row],[Failure mode rate]]*(1-Table26[[#This Row],[Failure mode coverage wrt. violation of safety goals]]), 0)</f>
        <v>0</v>
      </c>
      <c r="Q121" s="318" t="s">
        <v>36</v>
      </c>
      <c r="R121" s="122"/>
      <c r="S121" s="318"/>
      <c r="T121" s="170"/>
      <c r="U121" s="16"/>
      <c r="V121" s="125">
        <f>IF(Table26[[#This Row],[Failure mode that may lead to the violation of safety goals in combination with an independent failure of another block ?]]="Yes",(1-Table26[[#This Row],[Failure mode coverage with respect to latent failures]])*Table26[[#This Row],[Failure mode rate]], 0)</f>
        <v>0</v>
      </c>
      <c r="W121" s="170"/>
      <c r="X121" s="339"/>
      <c r="Y121" s="21">
        <f>IF(Table26[[#This Row],[SR]]="Yes",Table26[[#This Row],[λ]], 0)</f>
        <v>0</v>
      </c>
    </row>
    <row r="122" spans="1:25" ht="43.2" outlineLevel="1">
      <c r="A122" s="128" t="s">
        <v>954</v>
      </c>
      <c r="B122" s="123" t="s">
        <v>231</v>
      </c>
      <c r="C122" s="123" t="s">
        <v>133</v>
      </c>
      <c r="D122" s="123"/>
      <c r="E122" s="123"/>
      <c r="F122" s="125">
        <f>VLOOKUP(Table26[Function], Table1[], 5, FALSE)</f>
        <v>1.2699289864428662</v>
      </c>
      <c r="G122" s="33" t="s">
        <v>244</v>
      </c>
      <c r="H122" s="318" t="s">
        <v>36</v>
      </c>
      <c r="I122" s="122" t="s">
        <v>63</v>
      </c>
      <c r="J122" s="124">
        <f t="shared" si="6"/>
        <v>0.14285714285714285</v>
      </c>
      <c r="K122" s="125">
        <f>Table26[[#This Row],[λ]]*Table26[[#This Row],[Failure rate distribution]]</f>
        <v>0.18141842663469515</v>
      </c>
      <c r="L122" s="318" t="s">
        <v>63</v>
      </c>
      <c r="M122" s="20" t="str">
        <f>VLOOKUP(Table26[[#This Row],[Applicable Safety mechanism]],Table3[],2,FALSE)</f>
        <v>Not applicable</v>
      </c>
      <c r="N122" s="21" t="str">
        <f>VLOOKUP(Table26[[#This Row],[Applicable Safety mechanism]], Table3[], 3,FALSE)</f>
        <v>-</v>
      </c>
      <c r="O122" s="16">
        <f>VLOOKUP(Table26[[#This Row],[Applicable Safety mechanism]], Table3[], 6,FALSE)</f>
        <v>0</v>
      </c>
      <c r="P122" s="126">
        <f>IF(Table26[[#This Row],[Failure mode that has the potential to violate the safety goal in absence of safety mechanism?]]="Yes", Table26[[#This Row],[Failure mode rate]]*(1-Table26[[#This Row],[Failure mode coverage wrt. violation of safety goals]]), 0)</f>
        <v>0</v>
      </c>
      <c r="Q122" s="318" t="s">
        <v>35</v>
      </c>
      <c r="R122" s="122" t="s">
        <v>465</v>
      </c>
      <c r="S122" s="318" t="s">
        <v>46</v>
      </c>
      <c r="T122" s="171" t="str">
        <f>VLOOKUP(Table26[[#This Row],[Detection means ? Safety mechanism(s) allowing to prevent the failure mode from being latent ?]],Table3[],2,FALSE)</f>
        <v>Voltage supervisor
(Monitoring of output voltage) logical level</v>
      </c>
      <c r="U122" s="16">
        <f>VLOOKUP(Table26[[#This Row],[Detection means ? Safety mechanism(s) allowing to prevent the failure mode from being latent ?]], Table3[], 6,FALSE)</f>
        <v>0.99</v>
      </c>
      <c r="V122" s="125">
        <f>IF(Table26[[#This Row],[Failure mode that may lead to the violation of safety goals in combination with an independent failure of another block ?]]="Yes",(1-Table26[[#This Row],[Failure mode coverage with respect to latent failures]])*Table26[[#This Row],[Failure mode rate]], 0)</f>
        <v>1.8141842663469531E-3</v>
      </c>
      <c r="W122" s="123"/>
      <c r="X122" s="339"/>
      <c r="Y122" s="21">
        <f>IF(Table26[[#This Row],[SR]]="Yes",Table26[[#This Row],[λ]], 0)</f>
        <v>0</v>
      </c>
    </row>
    <row r="123" spans="1:25" ht="43.2" outlineLevel="1">
      <c r="A123" s="18" t="s">
        <v>955</v>
      </c>
      <c r="B123" s="123" t="s">
        <v>231</v>
      </c>
      <c r="C123" s="123" t="s">
        <v>133</v>
      </c>
      <c r="D123" s="123"/>
      <c r="E123" s="123"/>
      <c r="F123" s="125">
        <f>VLOOKUP(Table26[Function], Table1[], 5, FALSE)</f>
        <v>1.2699289864428662</v>
      </c>
      <c r="G123" s="19" t="s">
        <v>135</v>
      </c>
      <c r="H123" s="318" t="s">
        <v>36</v>
      </c>
      <c r="I123" s="122" t="s">
        <v>63</v>
      </c>
      <c r="J123" s="124">
        <f t="shared" si="6"/>
        <v>0.14285714285714285</v>
      </c>
      <c r="K123" s="125">
        <f>Table26[[#This Row],[λ]]*Table26[[#This Row],[Failure rate distribution]]</f>
        <v>0.18141842663469515</v>
      </c>
      <c r="L123" s="318" t="s">
        <v>63</v>
      </c>
      <c r="M123" s="20" t="str">
        <f>VLOOKUP(Table26[[#This Row],[Applicable Safety mechanism]],Table3[],2,FALSE)</f>
        <v>Not applicable</v>
      </c>
      <c r="N123" s="21" t="str">
        <f>VLOOKUP(Table26[[#This Row],[Applicable Safety mechanism]], Table3[], 3,FALSE)</f>
        <v>-</v>
      </c>
      <c r="O123" s="16">
        <f>VLOOKUP(Table26[[#This Row],[Applicable Safety mechanism]], Table3[], 6,FALSE)</f>
        <v>0</v>
      </c>
      <c r="P123" s="126">
        <f>IF(Table26[[#This Row],[Failure mode that has the potential to violate the safety goal in absence of safety mechanism?]]="Yes", Table26[[#This Row],[Failure mode rate]]*(1-Table26[[#This Row],[Failure mode coverage wrt. violation of safety goals]]), 0)</f>
        <v>0</v>
      </c>
      <c r="Q123" s="318" t="s">
        <v>35</v>
      </c>
      <c r="R123" s="122" t="s">
        <v>465</v>
      </c>
      <c r="S123" s="318" t="s">
        <v>46</v>
      </c>
      <c r="T123" s="171" t="str">
        <f>VLOOKUP(Table26[[#This Row],[Detection means ? Safety mechanism(s) allowing to prevent the failure mode from being latent ?]],Table3[],2,FALSE)</f>
        <v>Voltage supervisor
(Monitoring of output voltage) logical level</v>
      </c>
      <c r="U123" s="16">
        <f>VLOOKUP(Table26[[#This Row],[Detection means ? Safety mechanism(s) allowing to prevent the failure mode from being latent ?]], Table3[], 6,FALSE)</f>
        <v>0.99</v>
      </c>
      <c r="V123" s="125">
        <f>IF(Table26[[#This Row],[Failure mode that may lead to the violation of safety goals in combination with an independent failure of another block ?]]="Yes",(1-Table26[[#This Row],[Failure mode coverage with respect to latent failures]])*Table26[[#This Row],[Failure mode rate]], 0)</f>
        <v>1.8141842663469531E-3</v>
      </c>
      <c r="W123" s="123"/>
      <c r="X123" s="339"/>
      <c r="Y123" s="21">
        <f>IF(Table26[[#This Row],[SR]]="Yes",Table26[[#This Row],[λ]], 0)</f>
        <v>0</v>
      </c>
    </row>
    <row r="124" spans="1:25" ht="43.2" outlineLevel="1">
      <c r="A124" s="128" t="s">
        <v>956</v>
      </c>
      <c r="B124" s="123" t="s">
        <v>231</v>
      </c>
      <c r="C124" s="123" t="s">
        <v>133</v>
      </c>
      <c r="D124" s="123"/>
      <c r="E124" s="123"/>
      <c r="F124" s="125">
        <f>VLOOKUP(Table26[Function], Table1[], 5, FALSE)</f>
        <v>1.2699289864428662</v>
      </c>
      <c r="G124" s="168" t="s">
        <v>359</v>
      </c>
      <c r="H124" s="318" t="s">
        <v>36</v>
      </c>
      <c r="I124" s="122" t="s">
        <v>63</v>
      </c>
      <c r="J124" s="124">
        <f t="shared" si="6"/>
        <v>0.14285714285714285</v>
      </c>
      <c r="K124" s="125">
        <f>Table26[[#This Row],[λ]]*Table26[[#This Row],[Failure rate distribution]]</f>
        <v>0.18141842663469515</v>
      </c>
      <c r="L124" s="318" t="s">
        <v>63</v>
      </c>
      <c r="M124" s="20" t="str">
        <f>VLOOKUP(Table26[[#This Row],[Applicable Safety mechanism]],Table3[],2,FALSE)</f>
        <v>Not applicable</v>
      </c>
      <c r="N124" s="21" t="str">
        <f>VLOOKUP(Table26[[#This Row],[Applicable Safety mechanism]], Table3[], 3,FALSE)</f>
        <v>-</v>
      </c>
      <c r="O124" s="16">
        <f>VLOOKUP(Table26[[#This Row],[Applicable Safety mechanism]], Table3[], 6,FALSE)</f>
        <v>0</v>
      </c>
      <c r="P124" s="126">
        <f>IF(Table26[[#This Row],[Failure mode that has the potential to violate the safety goal in absence of safety mechanism?]]="Yes", Table26[[#This Row],[Failure mode rate]]*(1-Table26[[#This Row],[Failure mode coverage wrt. violation of safety goals]]), 0)</f>
        <v>0</v>
      </c>
      <c r="Q124" s="318" t="s">
        <v>35</v>
      </c>
      <c r="R124" s="122" t="s">
        <v>465</v>
      </c>
      <c r="S124" s="318" t="s">
        <v>46</v>
      </c>
      <c r="T124" s="171" t="str">
        <f>VLOOKUP(Table26[[#This Row],[Detection means ? Safety mechanism(s) allowing to prevent the failure mode from being latent ?]],Table3[],2,FALSE)</f>
        <v>Voltage supervisor
(Monitoring of output voltage) logical level</v>
      </c>
      <c r="U124" s="16">
        <f>VLOOKUP(Table26[[#This Row],[Detection means ? Safety mechanism(s) allowing to prevent the failure mode from being latent ?]], Table3[], 6,FALSE)</f>
        <v>0.99</v>
      </c>
      <c r="V124" s="125">
        <f>IF(Table26[[#This Row],[Failure mode that may lead to the violation of safety goals in combination with an independent failure of another block ?]]="Yes",(1-Table26[[#This Row],[Failure mode coverage with respect to latent failures]])*Table26[[#This Row],[Failure mode rate]], 0)</f>
        <v>1.8141842663469531E-3</v>
      </c>
      <c r="W124" s="123"/>
      <c r="X124" s="339"/>
      <c r="Y124" s="21">
        <f>IF(Table26[[#This Row],[SR]]="Yes",Table26[[#This Row],[λ]], 0)</f>
        <v>0</v>
      </c>
    </row>
    <row r="125" spans="1:25" ht="28.8">
      <c r="A125" s="18" t="s">
        <v>957</v>
      </c>
      <c r="B125" s="130" t="s">
        <v>231</v>
      </c>
      <c r="C125" s="130" t="s">
        <v>133</v>
      </c>
      <c r="D125" s="123" t="s">
        <v>63</v>
      </c>
      <c r="E125" s="123"/>
      <c r="F125" s="125"/>
      <c r="G125" s="190" t="s">
        <v>63</v>
      </c>
      <c r="H125" s="318" t="s">
        <v>63</v>
      </c>
      <c r="I125" s="122" t="s">
        <v>63</v>
      </c>
      <c r="J125" s="124" t="s">
        <v>63</v>
      </c>
      <c r="K125" s="125" t="s">
        <v>63</v>
      </c>
      <c r="L125" s="318" t="s">
        <v>63</v>
      </c>
      <c r="M125" s="21" t="s">
        <v>63</v>
      </c>
      <c r="N125" s="21" t="s">
        <v>63</v>
      </c>
      <c r="O125" s="16" t="s">
        <v>63</v>
      </c>
      <c r="P125" s="126" t="s">
        <v>63</v>
      </c>
      <c r="Q125" s="318" t="s">
        <v>63</v>
      </c>
      <c r="R125" s="122"/>
      <c r="S125" s="318"/>
      <c r="T125" s="171"/>
      <c r="U125" s="122"/>
      <c r="V125" s="122"/>
      <c r="W125" s="122"/>
      <c r="X125" s="339"/>
      <c r="Y125" s="21"/>
    </row>
    <row r="126" spans="1:25" ht="43.2" outlineLevel="1">
      <c r="A126" s="128" t="s">
        <v>958</v>
      </c>
      <c r="B126" s="34" t="s">
        <v>397</v>
      </c>
      <c r="C126" s="123" t="s">
        <v>413</v>
      </c>
      <c r="D126" s="123" t="s">
        <v>494</v>
      </c>
      <c r="E126" s="123" t="s">
        <v>211</v>
      </c>
      <c r="F126" s="125">
        <f>VLOOKUP(Table26[Function], Table1[], 5, FALSE)</f>
        <v>1.3391349257585539</v>
      </c>
      <c r="G126" s="168" t="s">
        <v>417</v>
      </c>
      <c r="H126" s="318" t="s">
        <v>36</v>
      </c>
      <c r="I126" s="122" t="s">
        <v>63</v>
      </c>
      <c r="J126" s="124">
        <f>1/7</f>
        <v>0.14285714285714285</v>
      </c>
      <c r="K126" s="125">
        <f>Table26[[#This Row],[λ]]*Table26[[#This Row],[Failure rate distribution]]</f>
        <v>0.19130498939407911</v>
      </c>
      <c r="L126" s="318" t="s">
        <v>63</v>
      </c>
      <c r="M126" s="20" t="str">
        <f>VLOOKUP(Table26[[#This Row],[Applicable Safety mechanism]],Table3[],2,FALSE)</f>
        <v>Not applicable</v>
      </c>
      <c r="N126" s="21" t="str">
        <f>VLOOKUP(Table26[[#This Row],[Applicable Safety mechanism]], Table3[], 3,FALSE)</f>
        <v>-</v>
      </c>
      <c r="O126" s="16">
        <f>VLOOKUP(Table26[[#This Row],[Applicable Safety mechanism]], Table3[], 6,FALSE)</f>
        <v>0</v>
      </c>
      <c r="P126" s="126">
        <f>IF(Table26[[#This Row],[Failure mode that has the potential to violate the safety goal in absence of safety mechanism?]]="Yes", Table26[[#This Row],[Failure mode rate]]*(1-Table26[[#This Row],[Failure mode coverage wrt. violation of safety goals]]), 0)</f>
        <v>0</v>
      </c>
      <c r="Q126" s="332" t="str">
        <f>'Safety Mechanisms'!E12</f>
        <v>Yes</v>
      </c>
      <c r="R126" s="122" t="s">
        <v>465</v>
      </c>
      <c r="S126" s="318" t="s">
        <v>46</v>
      </c>
      <c r="T126" s="171" t="str">
        <f>VLOOKUP(Table26[[#This Row],[Detection means ? Safety mechanism(s) allowing to prevent the failure mode from being latent ?]],Table3[],2,FALSE)</f>
        <v>Voltage supervisor
(Monitoring of output voltage) logical level</v>
      </c>
      <c r="U126" s="16">
        <f>VLOOKUP(Table26[[#This Row],[Detection means ? Safety mechanism(s) allowing to prevent the failure mode from being latent ?]], Table3[], 6,FALSE)</f>
        <v>0.99</v>
      </c>
      <c r="V126" s="125">
        <f>IF(Table26[[#This Row],[Failure mode that may lead to the violation of safety goals in combination with an independent failure of another block ?]]="Yes",(1-Table26[[#This Row],[Failure mode coverage with respect to latent failures]])*Table26[[#This Row],[Failure mode rate]], 0)</f>
        <v>1.9130498939407929E-3</v>
      </c>
      <c r="W126" s="123"/>
      <c r="X126" s="332" t="str">
        <f>'Safety Mechanisms'!E12</f>
        <v>Yes</v>
      </c>
      <c r="Y126" s="125">
        <f>IF(Table26[[#This Row],[SR]]="Yes",Table26[[#This Row],[λ]], 0)</f>
        <v>1.3391349257585539</v>
      </c>
    </row>
    <row r="127" spans="1:25" outlineLevel="1">
      <c r="A127" s="18" t="s">
        <v>959</v>
      </c>
      <c r="B127" s="123" t="s">
        <v>397</v>
      </c>
      <c r="C127" s="123" t="s">
        <v>413</v>
      </c>
      <c r="D127" s="123"/>
      <c r="E127" s="123"/>
      <c r="F127" s="125">
        <f>VLOOKUP(Table26[Function], Table1[], 5, FALSE)</f>
        <v>1.3391349257585539</v>
      </c>
      <c r="G127" s="19" t="s">
        <v>414</v>
      </c>
      <c r="H127" s="318" t="s">
        <v>36</v>
      </c>
      <c r="I127" s="122" t="s">
        <v>63</v>
      </c>
      <c r="J127" s="124">
        <f t="shared" ref="J127:J132" si="7">1/7</f>
        <v>0.14285714285714285</v>
      </c>
      <c r="K127" s="125">
        <f>Table26[[#This Row],[λ]]*Table26[[#This Row],[Failure rate distribution]]</f>
        <v>0.19130498939407911</v>
      </c>
      <c r="L127" s="318" t="s">
        <v>63</v>
      </c>
      <c r="M127" s="20" t="str">
        <f>VLOOKUP(Table26[[#This Row],[Applicable Safety mechanism]],Table3[],2,FALSE)</f>
        <v>Not applicable</v>
      </c>
      <c r="N127" s="21" t="str">
        <f>VLOOKUP(Table26[[#This Row],[Applicable Safety mechanism]], Table3[], 3,FALSE)</f>
        <v>-</v>
      </c>
      <c r="O127" s="16">
        <f>VLOOKUP(Table26[[#This Row],[Applicable Safety mechanism]], Table3[], 6,FALSE)</f>
        <v>0</v>
      </c>
      <c r="P127" s="126">
        <f>IF(Table26[[#This Row],[Failure mode that has the potential to violate the safety goal in absence of safety mechanism?]]="Yes", Table26[[#This Row],[Failure mode rate]]*(1-Table26[[#This Row],[Failure mode coverage wrt. violation of safety goals]]), 0)</f>
        <v>0</v>
      </c>
      <c r="Q127" s="318" t="s">
        <v>36</v>
      </c>
      <c r="R127" s="122"/>
      <c r="S127" s="318"/>
      <c r="T127" s="170"/>
      <c r="U127" s="16"/>
      <c r="V127" s="125">
        <f>IF(Table26[[#This Row],[Failure mode that may lead to the violation of safety goals in combination with an independent failure of another block ?]]="Yes",(1-Table26[[#This Row],[Failure mode coverage with respect to latent failures]])*Table26[[#This Row],[Failure mode rate]], 0)</f>
        <v>0</v>
      </c>
      <c r="W127" s="123"/>
      <c r="X127" s="339"/>
      <c r="Y127" s="21">
        <f>IF(Table26[[#This Row],[SR]]="Yes",Table26[[#This Row],[λ]], 0)</f>
        <v>0</v>
      </c>
    </row>
    <row r="128" spans="1:25" ht="43.2" outlineLevel="1">
      <c r="A128" s="128" t="s">
        <v>960</v>
      </c>
      <c r="B128" s="123" t="s">
        <v>397</v>
      </c>
      <c r="C128" s="123" t="s">
        <v>413</v>
      </c>
      <c r="D128" s="123"/>
      <c r="E128" s="123"/>
      <c r="F128" s="125">
        <f>VLOOKUP(Table26[Function], Table1[], 5, FALSE)</f>
        <v>1.3391349257585539</v>
      </c>
      <c r="G128" s="19" t="s">
        <v>491</v>
      </c>
      <c r="H128" s="318" t="s">
        <v>36</v>
      </c>
      <c r="I128" s="122" t="s">
        <v>63</v>
      </c>
      <c r="J128" s="124">
        <f t="shared" si="7"/>
        <v>0.14285714285714285</v>
      </c>
      <c r="K128" s="125">
        <f>Table26[[#This Row],[λ]]*Table26[[#This Row],[Failure rate distribution]]</f>
        <v>0.19130498939407911</v>
      </c>
      <c r="L128" s="318" t="s">
        <v>63</v>
      </c>
      <c r="M128" s="20" t="str">
        <f>VLOOKUP(Table26[[#This Row],[Applicable Safety mechanism]],Table3[],2,FALSE)</f>
        <v>Not applicable</v>
      </c>
      <c r="N128" s="21" t="str">
        <f>VLOOKUP(Table26[[#This Row],[Applicable Safety mechanism]], Table3[], 3,FALSE)</f>
        <v>-</v>
      </c>
      <c r="O128" s="16">
        <f>VLOOKUP(Table26[[#This Row],[Applicable Safety mechanism]], Table3[], 6,FALSE)</f>
        <v>0</v>
      </c>
      <c r="P128" s="126">
        <f>IF(Table26[[#This Row],[Failure mode that has the potential to violate the safety goal in absence of safety mechanism?]]="Yes", Table26[[#This Row],[Failure mode rate]]*(1-Table26[[#This Row],[Failure mode coverage wrt. violation of safety goals]]), 0)</f>
        <v>0</v>
      </c>
      <c r="Q128" s="332" t="str">
        <f>'Safety Mechanisms'!E12</f>
        <v>Yes</v>
      </c>
      <c r="R128" s="122" t="s">
        <v>465</v>
      </c>
      <c r="S128" s="318" t="s">
        <v>46</v>
      </c>
      <c r="T128" s="171" t="str">
        <f>VLOOKUP(Table26[[#This Row],[Detection means ? Safety mechanism(s) allowing to prevent the failure mode from being latent ?]],Table3[],2,FALSE)</f>
        <v>Voltage supervisor
(Monitoring of output voltage) logical level</v>
      </c>
      <c r="U128" s="16">
        <f>VLOOKUP(Table26[[#This Row],[Detection means ? Safety mechanism(s) allowing to prevent the failure mode from being latent ?]], Table3[], 6,FALSE)</f>
        <v>0.99</v>
      </c>
      <c r="V128" s="125">
        <f>IF(Table26[[#This Row],[Failure mode that may lead to the violation of safety goals in combination with an independent failure of another block ?]]="Yes",(1-Table26[[#This Row],[Failure mode coverage with respect to latent failures]])*Table26[[#This Row],[Failure mode rate]], 0)</f>
        <v>1.9130498939407929E-3</v>
      </c>
      <c r="W128" s="123"/>
      <c r="X128" s="339"/>
      <c r="Y128" s="21">
        <f>IF(Table26[[#This Row],[SR]]="Yes",Table26[[#This Row],[λ]], 0)</f>
        <v>0</v>
      </c>
    </row>
    <row r="129" spans="1:25" ht="43.2" outlineLevel="1">
      <c r="A129" s="18" t="s">
        <v>961</v>
      </c>
      <c r="B129" s="123" t="s">
        <v>397</v>
      </c>
      <c r="C129" s="123" t="s">
        <v>413</v>
      </c>
      <c r="D129" s="123"/>
      <c r="E129" s="123"/>
      <c r="F129" s="125">
        <f>VLOOKUP(Table26[Function], Table1[], 5, FALSE)</f>
        <v>1.3391349257585539</v>
      </c>
      <c r="G129" s="168" t="s">
        <v>415</v>
      </c>
      <c r="H129" s="318" t="s">
        <v>36</v>
      </c>
      <c r="I129" s="122" t="s">
        <v>63</v>
      </c>
      <c r="J129" s="124">
        <f t="shared" si="7"/>
        <v>0.14285714285714285</v>
      </c>
      <c r="K129" s="125">
        <f>Table26[[#This Row],[λ]]*Table26[[#This Row],[Failure rate distribution]]</f>
        <v>0.19130498939407911</v>
      </c>
      <c r="L129" s="318" t="s">
        <v>63</v>
      </c>
      <c r="M129" s="20" t="str">
        <f>VLOOKUP(Table26[[#This Row],[Applicable Safety mechanism]],Table3[],2,FALSE)</f>
        <v>Not applicable</v>
      </c>
      <c r="N129" s="21" t="str">
        <f>VLOOKUP(Table26[[#This Row],[Applicable Safety mechanism]], Table3[], 3,FALSE)</f>
        <v>-</v>
      </c>
      <c r="O129" s="16">
        <f>VLOOKUP(Table26[[#This Row],[Applicable Safety mechanism]], Table3[], 6,FALSE)</f>
        <v>0</v>
      </c>
      <c r="P129" s="126">
        <f>IF(Table26[[#This Row],[Failure mode that has the potential to violate the safety goal in absence of safety mechanism?]]="Yes", Table26[[#This Row],[Failure mode rate]]*(1-Table26[[#This Row],[Failure mode coverage wrt. violation of safety goals]]), 0)</f>
        <v>0</v>
      </c>
      <c r="Q129" s="332" t="str">
        <f>'Safety Mechanisms'!E12</f>
        <v>Yes</v>
      </c>
      <c r="R129" s="122" t="s">
        <v>465</v>
      </c>
      <c r="S129" s="318" t="s">
        <v>46</v>
      </c>
      <c r="T129" s="171" t="str">
        <f>VLOOKUP(Table26[[#This Row],[Detection means ? Safety mechanism(s) allowing to prevent the failure mode from being latent ?]],Table3[],2,FALSE)</f>
        <v>Voltage supervisor
(Monitoring of output voltage) logical level</v>
      </c>
      <c r="U129" s="16">
        <f>VLOOKUP(Table26[[#This Row],[Detection means ? Safety mechanism(s) allowing to prevent the failure mode from being latent ?]], Table3[], 6,FALSE)</f>
        <v>0.99</v>
      </c>
      <c r="V129" s="125">
        <f>IF(Table26[[#This Row],[Failure mode that may lead to the violation of safety goals in combination with an independent failure of another block ?]]="Yes",(1-Table26[[#This Row],[Failure mode coverage with respect to latent failures]])*Table26[[#This Row],[Failure mode rate]], 0)</f>
        <v>1.9130498939407929E-3</v>
      </c>
      <c r="W129" s="123"/>
      <c r="X129" s="339"/>
      <c r="Y129" s="21">
        <f>IF(Table26[[#This Row],[SR]]="Yes",Table26[[#This Row],[λ]], 0)</f>
        <v>0</v>
      </c>
    </row>
    <row r="130" spans="1:25" ht="43.2" outlineLevel="1">
      <c r="A130" s="128" t="s">
        <v>962</v>
      </c>
      <c r="B130" s="123" t="s">
        <v>397</v>
      </c>
      <c r="C130" s="123" t="s">
        <v>413</v>
      </c>
      <c r="D130" s="123"/>
      <c r="E130" s="123"/>
      <c r="F130" s="125">
        <f>VLOOKUP(Table26[Function], Table1[], 5, FALSE)</f>
        <v>1.3391349257585539</v>
      </c>
      <c r="G130" s="19" t="s">
        <v>416</v>
      </c>
      <c r="H130" s="318" t="s">
        <v>36</v>
      </c>
      <c r="I130" s="122" t="s">
        <v>63</v>
      </c>
      <c r="J130" s="124">
        <f t="shared" si="7"/>
        <v>0.14285714285714285</v>
      </c>
      <c r="K130" s="125">
        <f>Table26[[#This Row],[λ]]*Table26[[#This Row],[Failure rate distribution]]</f>
        <v>0.19130498939407911</v>
      </c>
      <c r="L130" s="318" t="s">
        <v>63</v>
      </c>
      <c r="M130" s="20" t="str">
        <f>VLOOKUP(Table26[[#This Row],[Applicable Safety mechanism]],Table3[],2,FALSE)</f>
        <v>Not applicable</v>
      </c>
      <c r="N130" s="21" t="str">
        <f>VLOOKUP(Table26[[#This Row],[Applicable Safety mechanism]], Table3[], 3,FALSE)</f>
        <v>-</v>
      </c>
      <c r="O130" s="16">
        <f>VLOOKUP(Table26[[#This Row],[Applicable Safety mechanism]], Table3[], 6,FALSE)</f>
        <v>0</v>
      </c>
      <c r="P130" s="126">
        <f>IF(Table26[[#This Row],[Failure mode that has the potential to violate the safety goal in absence of safety mechanism?]]="Yes", Table26[[#This Row],[Failure mode rate]]*(1-Table26[[#This Row],[Failure mode coverage wrt. violation of safety goals]]), 0)</f>
        <v>0</v>
      </c>
      <c r="Q130" s="332" t="str">
        <f>'Safety Mechanisms'!E12</f>
        <v>Yes</v>
      </c>
      <c r="R130" s="122" t="s">
        <v>465</v>
      </c>
      <c r="S130" s="318" t="s">
        <v>46</v>
      </c>
      <c r="T130" s="171" t="str">
        <f>VLOOKUP(Table26[[#This Row],[Detection means ? Safety mechanism(s) allowing to prevent the failure mode from being latent ?]],Table3[],2,FALSE)</f>
        <v>Voltage supervisor
(Monitoring of output voltage) logical level</v>
      </c>
      <c r="U130" s="16">
        <f>VLOOKUP(Table26[[#This Row],[Detection means ? Safety mechanism(s) allowing to prevent the failure mode from being latent ?]], Table3[], 6,FALSE)</f>
        <v>0.99</v>
      </c>
      <c r="V130" s="125">
        <f>IF(Table26[[#This Row],[Failure mode that may lead to the violation of safety goals in combination with an independent failure of another block ?]]="Yes",(1-Table26[[#This Row],[Failure mode coverage with respect to latent failures]])*Table26[[#This Row],[Failure mode rate]], 0)</f>
        <v>1.9130498939407929E-3</v>
      </c>
      <c r="W130" s="123"/>
      <c r="X130" s="339"/>
      <c r="Y130" s="21">
        <f>IF(Table26[[#This Row],[SR]]="Yes",Table26[[#This Row],[λ]], 0)</f>
        <v>0</v>
      </c>
    </row>
    <row r="131" spans="1:25" ht="28.8" outlineLevel="1">
      <c r="A131" s="18" t="s">
        <v>963</v>
      </c>
      <c r="B131" s="123" t="s">
        <v>397</v>
      </c>
      <c r="C131" s="123" t="s">
        <v>413</v>
      </c>
      <c r="D131" s="123"/>
      <c r="E131" s="123"/>
      <c r="F131" s="125">
        <f>VLOOKUP(Table26[Function], Table1[], 5, FALSE)</f>
        <v>1.3391349257585539</v>
      </c>
      <c r="G131" s="152" t="s">
        <v>594</v>
      </c>
      <c r="H131" s="318" t="s">
        <v>36</v>
      </c>
      <c r="I131" s="122" t="s">
        <v>63</v>
      </c>
      <c r="J131" s="124">
        <f t="shared" si="7"/>
        <v>0.14285714285714285</v>
      </c>
      <c r="K131" s="125">
        <f>Table26[[#This Row],[λ]]*Table26[[#This Row],[Failure rate distribution]]</f>
        <v>0.19130498939407911</v>
      </c>
      <c r="L131" s="318" t="s">
        <v>63</v>
      </c>
      <c r="M131" s="20" t="str">
        <f>VLOOKUP(Table26[[#This Row],[Applicable Safety mechanism]],Table3[],2,FALSE)</f>
        <v>Not applicable</v>
      </c>
      <c r="N131" s="21" t="str">
        <f>VLOOKUP(Table26[[#This Row],[Applicable Safety mechanism]], Table3[], 3,FALSE)</f>
        <v>-</v>
      </c>
      <c r="O131" s="16">
        <f>VLOOKUP(Table26[[#This Row],[Applicable Safety mechanism]], Table3[], 6,FALSE)</f>
        <v>0</v>
      </c>
      <c r="P131" s="126">
        <f>IF(Table26[[#This Row],[Failure mode that has the potential to violate the safety goal in absence of safety mechanism?]]="Yes", Table26[[#This Row],[Failure mode rate]]*(1-Table26[[#This Row],[Failure mode coverage wrt. violation of safety goals]]), 0)</f>
        <v>0</v>
      </c>
      <c r="Q131" s="318" t="s">
        <v>36</v>
      </c>
      <c r="R131" s="122"/>
      <c r="S131" s="318"/>
      <c r="T131" s="170"/>
      <c r="U131" s="16"/>
      <c r="V131" s="125">
        <f>IF(Table26[[#This Row],[Failure mode that may lead to the violation of safety goals in combination with an independent failure of another block ?]]="Yes",(1-Table26[[#This Row],[Failure mode coverage with respect to latent failures]])*Table26[[#This Row],[Failure mode rate]], 0)</f>
        <v>0</v>
      </c>
      <c r="W131" s="123"/>
      <c r="X131" s="339"/>
      <c r="Y131" s="21">
        <f>IF(Table26[[#This Row],[SR]]="Yes",Table26[[#This Row],[λ]], 0)</f>
        <v>0</v>
      </c>
    </row>
    <row r="132" spans="1:25" ht="28.8" outlineLevel="1">
      <c r="A132" s="128" t="s">
        <v>964</v>
      </c>
      <c r="B132" s="123" t="s">
        <v>397</v>
      </c>
      <c r="C132" s="123" t="s">
        <v>413</v>
      </c>
      <c r="D132" s="123"/>
      <c r="E132" s="123"/>
      <c r="F132" s="125">
        <f>VLOOKUP(Table26[Function], Table1[], 5, FALSE)</f>
        <v>1.3391349257585539</v>
      </c>
      <c r="G132" s="152" t="s">
        <v>592</v>
      </c>
      <c r="H132" s="318" t="s">
        <v>36</v>
      </c>
      <c r="I132" s="122" t="s">
        <v>63</v>
      </c>
      <c r="J132" s="124">
        <f t="shared" si="7"/>
        <v>0.14285714285714285</v>
      </c>
      <c r="K132" s="125">
        <f>Table26[[#This Row],[λ]]*Table26[[#This Row],[Failure rate distribution]]</f>
        <v>0.19130498939407911</v>
      </c>
      <c r="L132" s="318" t="s">
        <v>63</v>
      </c>
      <c r="M132" s="20" t="str">
        <f>VLOOKUP(Table26[[#This Row],[Applicable Safety mechanism]],Table3[],2,FALSE)</f>
        <v>Not applicable</v>
      </c>
      <c r="N132" s="21" t="str">
        <f>VLOOKUP(Table26[[#This Row],[Applicable Safety mechanism]], Table3[], 3,FALSE)</f>
        <v>-</v>
      </c>
      <c r="O132" s="16">
        <f>VLOOKUP(Table26[[#This Row],[Applicable Safety mechanism]], Table3[], 6,FALSE)</f>
        <v>0</v>
      </c>
      <c r="P132" s="126">
        <f>IF(Table26[[#This Row],[Failure mode that has the potential to violate the safety goal in absence of safety mechanism?]]="Yes", Table26[[#This Row],[Failure mode rate]]*(1-Table26[[#This Row],[Failure mode coverage wrt. violation of safety goals]]), 0)</f>
        <v>0</v>
      </c>
      <c r="Q132" s="318" t="s">
        <v>36</v>
      </c>
      <c r="R132" s="122"/>
      <c r="S132" s="318"/>
      <c r="T132" s="170"/>
      <c r="U132" s="16"/>
      <c r="V132" s="125">
        <f>IF(Table26[[#This Row],[Failure mode that may lead to the violation of safety goals in combination with an independent failure of another block ?]]="Yes",(1-Table26[[#This Row],[Failure mode coverage with respect to latent failures]])*Table26[[#This Row],[Failure mode rate]], 0)</f>
        <v>0</v>
      </c>
      <c r="W132" s="123"/>
      <c r="X132" s="339"/>
      <c r="Y132" s="21">
        <f>IF(Table26[[#This Row],[SR]]="Yes",Table26[[#This Row],[λ]], 0)</f>
        <v>0</v>
      </c>
    </row>
    <row r="133" spans="1:25" ht="28.8">
      <c r="A133" s="18" t="s">
        <v>965</v>
      </c>
      <c r="B133" s="130" t="s">
        <v>397</v>
      </c>
      <c r="C133" s="130" t="s">
        <v>413</v>
      </c>
      <c r="D133" s="123" t="s">
        <v>63</v>
      </c>
      <c r="E133" s="123"/>
      <c r="F133" s="125"/>
      <c r="G133" s="190" t="s">
        <v>63</v>
      </c>
      <c r="H133" s="318" t="s">
        <v>63</v>
      </c>
      <c r="I133" s="122" t="s">
        <v>63</v>
      </c>
      <c r="J133" s="124" t="s">
        <v>63</v>
      </c>
      <c r="K133" s="125" t="s">
        <v>63</v>
      </c>
      <c r="L133" s="318" t="s">
        <v>63</v>
      </c>
      <c r="M133" s="21" t="s">
        <v>63</v>
      </c>
      <c r="N133" s="21" t="s">
        <v>63</v>
      </c>
      <c r="O133" s="16" t="s">
        <v>63</v>
      </c>
      <c r="P133" s="126" t="s">
        <v>63</v>
      </c>
      <c r="Q133" s="318" t="s">
        <v>63</v>
      </c>
      <c r="R133" s="122"/>
      <c r="S133" s="318"/>
      <c r="T133" s="171"/>
      <c r="U133" s="122"/>
      <c r="V133" s="122"/>
      <c r="W133" s="122"/>
      <c r="X133" s="339"/>
      <c r="Y133" s="21"/>
    </row>
    <row r="134" spans="1:25" ht="28.8" outlineLevel="1">
      <c r="A134" s="128" t="s">
        <v>966</v>
      </c>
      <c r="B134" s="34" t="s">
        <v>406</v>
      </c>
      <c r="C134" s="123" t="s">
        <v>420</v>
      </c>
      <c r="D134" s="123" t="s">
        <v>497</v>
      </c>
      <c r="E134" s="123" t="s">
        <v>207</v>
      </c>
      <c r="F134" s="125">
        <f>VLOOKUP(Table26[Function], Table1[], 5, FALSE)</f>
        <v>0.38063266623628145</v>
      </c>
      <c r="G134" s="168" t="s">
        <v>423</v>
      </c>
      <c r="H134" s="318" t="s">
        <v>36</v>
      </c>
      <c r="I134" s="122" t="s">
        <v>63</v>
      </c>
      <c r="J134" s="124">
        <f>1/3</f>
        <v>0.33333333333333331</v>
      </c>
      <c r="K134" s="125">
        <f>Table26[[#This Row],[λ]]*Table26[[#This Row],[Failure rate distribution]]</f>
        <v>0.12687755541209381</v>
      </c>
      <c r="L134" s="318" t="s">
        <v>63</v>
      </c>
      <c r="M134" s="20" t="str">
        <f>VLOOKUP(Table26[[#This Row],[Applicable Safety mechanism]],Table3[],2,FALSE)</f>
        <v>Not applicable</v>
      </c>
      <c r="N134" s="21" t="str">
        <f>VLOOKUP(Table26[[#This Row],[Applicable Safety mechanism]], Table3[], 3,FALSE)</f>
        <v>-</v>
      </c>
      <c r="O134" s="16">
        <f>VLOOKUP(Table26[[#This Row],[Applicable Safety mechanism]], Table3[], 6,FALSE)</f>
        <v>0</v>
      </c>
      <c r="P134" s="126">
        <f>IF(Table26[[#This Row],[Failure mode that has the potential to violate the safety goal in absence of safety mechanism?]]="Yes", Table26[[#This Row],[Failure mode rate]]*(1-Table26[[#This Row],[Failure mode coverage wrt. violation of safety goals]]), 0)</f>
        <v>0</v>
      </c>
      <c r="Q134" s="318" t="s">
        <v>36</v>
      </c>
      <c r="R134" s="122"/>
      <c r="S134" s="318"/>
      <c r="T134" s="170"/>
      <c r="U134" s="16"/>
      <c r="V134" s="125">
        <f>IF(Table26[[#This Row],[Failure mode that may lead to the violation of safety goals in combination with an independent failure of another block ?]]="Yes",(1-Table26[[#This Row],[Failure mode coverage with respect to latent failures]])*Table26[[#This Row],[Failure mode rate]], 0)</f>
        <v>0</v>
      </c>
      <c r="W134" s="123"/>
      <c r="X134" s="339" t="s">
        <v>36</v>
      </c>
      <c r="Y134" s="21">
        <f>IF(Table26[[#This Row],[SR]]="Yes",Table26[[#This Row],[λ]], 0)</f>
        <v>0</v>
      </c>
    </row>
    <row r="135" spans="1:25" outlineLevel="1">
      <c r="A135" s="18" t="s">
        <v>967</v>
      </c>
      <c r="B135" s="189" t="s">
        <v>406</v>
      </c>
      <c r="C135" s="123" t="s">
        <v>420</v>
      </c>
      <c r="D135" s="123"/>
      <c r="E135" s="123"/>
      <c r="F135" s="125">
        <f>VLOOKUP(Table26[Function], Table1[], 5, FALSE)</f>
        <v>0.38063266623628145</v>
      </c>
      <c r="G135" s="19" t="s">
        <v>492</v>
      </c>
      <c r="H135" s="318" t="s">
        <v>36</v>
      </c>
      <c r="I135" s="122" t="s">
        <v>63</v>
      </c>
      <c r="J135" s="124">
        <f>1/3</f>
        <v>0.33333333333333331</v>
      </c>
      <c r="K135" s="125">
        <f>Table26[[#This Row],[λ]]*Table26[[#This Row],[Failure rate distribution]]</f>
        <v>0.12687755541209381</v>
      </c>
      <c r="L135" s="318" t="s">
        <v>63</v>
      </c>
      <c r="M135" s="20" t="str">
        <f>VLOOKUP(Table26[[#This Row],[Applicable Safety mechanism]],Table3[],2,FALSE)</f>
        <v>Not applicable</v>
      </c>
      <c r="N135" s="21" t="str">
        <f>VLOOKUP(Table26[[#This Row],[Applicable Safety mechanism]], Table3[], 3,FALSE)</f>
        <v>-</v>
      </c>
      <c r="O135" s="16">
        <f>VLOOKUP(Table26[[#This Row],[Applicable Safety mechanism]], Table3[], 6,FALSE)</f>
        <v>0</v>
      </c>
      <c r="P135" s="126">
        <f>IF(Table26[[#This Row],[Failure mode that has the potential to violate the safety goal in absence of safety mechanism?]]="Yes", Table26[[#This Row],[Failure mode rate]]*(1-Table26[[#This Row],[Failure mode coverage wrt. violation of safety goals]]), 0)</f>
        <v>0</v>
      </c>
      <c r="Q135" s="318" t="s">
        <v>36</v>
      </c>
      <c r="R135" s="122"/>
      <c r="S135" s="318"/>
      <c r="T135" s="170"/>
      <c r="U135" s="16"/>
      <c r="V135" s="127">
        <f>IF(Table26[[#This Row],[Failure mode that may lead to the violation of safety goals in combination with an independent failure of another block ?]]="Yes",(1-Table26[[#This Row],[Failure mode coverage with respect to latent failures]])*Table26[[#This Row],[Failure mode rate]], 0)</f>
        <v>0</v>
      </c>
      <c r="W135" s="123"/>
      <c r="X135" s="339"/>
      <c r="Y135" s="21">
        <f>IF(Table26[[#This Row],[SR]]="Yes",Table26[[#This Row],[λ]], 0)</f>
        <v>0</v>
      </c>
    </row>
    <row r="136" spans="1:25" outlineLevel="1">
      <c r="A136" s="128" t="s">
        <v>968</v>
      </c>
      <c r="B136" s="189" t="s">
        <v>406</v>
      </c>
      <c r="C136" s="123" t="s">
        <v>420</v>
      </c>
      <c r="D136" s="123"/>
      <c r="E136" s="123"/>
      <c r="F136" s="125">
        <f>VLOOKUP(Table26[Function], Table1[], 5, FALSE)</f>
        <v>0.38063266623628145</v>
      </c>
      <c r="G136" s="19" t="s">
        <v>493</v>
      </c>
      <c r="H136" s="318" t="s">
        <v>36</v>
      </c>
      <c r="I136" s="122" t="s">
        <v>63</v>
      </c>
      <c r="J136" s="124">
        <f>1/3</f>
        <v>0.33333333333333331</v>
      </c>
      <c r="K136" s="125">
        <f>Table26[[#This Row],[λ]]*Table26[[#This Row],[Failure rate distribution]]</f>
        <v>0.12687755541209381</v>
      </c>
      <c r="L136" s="318" t="s">
        <v>63</v>
      </c>
      <c r="M136" s="20" t="str">
        <f>VLOOKUP(Table26[[#This Row],[Applicable Safety mechanism]],Table3[],2,FALSE)</f>
        <v>Not applicable</v>
      </c>
      <c r="N136" s="21" t="str">
        <f>VLOOKUP(Table26[[#This Row],[Applicable Safety mechanism]], Table3[], 3,FALSE)</f>
        <v>-</v>
      </c>
      <c r="O136" s="16">
        <f>VLOOKUP(Table26[[#This Row],[Applicable Safety mechanism]], Table3[], 6,FALSE)</f>
        <v>0</v>
      </c>
      <c r="P136" s="126">
        <f>IF(Table26[[#This Row],[Failure mode that has the potential to violate the safety goal in absence of safety mechanism?]]="Yes", Table26[[#This Row],[Failure mode rate]]*(1-Table26[[#This Row],[Failure mode coverage wrt. violation of safety goals]]), 0)</f>
        <v>0</v>
      </c>
      <c r="Q136" s="318" t="s">
        <v>36</v>
      </c>
      <c r="R136" s="122"/>
      <c r="S136" s="318"/>
      <c r="T136" s="170"/>
      <c r="U136" s="16"/>
      <c r="V136" s="127">
        <f>IF(Table26[[#This Row],[Failure mode that may lead to the violation of safety goals in combination with an independent failure of another block ?]]="Yes",(1-Table26[[#This Row],[Failure mode coverage with respect to latent failures]])*Table26[[#This Row],[Failure mode rate]], 0)</f>
        <v>0</v>
      </c>
      <c r="W136" s="123"/>
      <c r="X136" s="339"/>
      <c r="Y136" s="21">
        <f>IF(Table26[[#This Row],[SR]]="Yes",Table26[[#This Row],[λ]], 0)</f>
        <v>0</v>
      </c>
    </row>
    <row r="137" spans="1:25" ht="28.8">
      <c r="A137" s="18" t="s">
        <v>969</v>
      </c>
      <c r="B137" s="130" t="s">
        <v>406</v>
      </c>
      <c r="C137" s="130" t="s">
        <v>420</v>
      </c>
      <c r="D137" s="123" t="s">
        <v>63</v>
      </c>
      <c r="E137" s="123"/>
      <c r="F137" s="125"/>
      <c r="G137" s="190" t="s">
        <v>63</v>
      </c>
      <c r="H137" s="318" t="s">
        <v>63</v>
      </c>
      <c r="I137" s="122" t="s">
        <v>63</v>
      </c>
      <c r="J137" s="124" t="s">
        <v>63</v>
      </c>
      <c r="K137" s="125" t="s">
        <v>63</v>
      </c>
      <c r="L137" s="318" t="s">
        <v>63</v>
      </c>
      <c r="M137" s="21" t="s">
        <v>63</v>
      </c>
      <c r="N137" s="21" t="s">
        <v>63</v>
      </c>
      <c r="O137" s="16" t="s">
        <v>63</v>
      </c>
      <c r="P137" s="126" t="s">
        <v>63</v>
      </c>
      <c r="Q137" s="318" t="s">
        <v>63</v>
      </c>
      <c r="R137" s="122"/>
      <c r="S137" s="318"/>
      <c r="T137" s="170"/>
      <c r="U137" s="122"/>
      <c r="V137" s="122"/>
      <c r="W137" s="122"/>
      <c r="X137" s="339"/>
      <c r="Y137" s="21"/>
    </row>
    <row r="138" spans="1:25" ht="28.8" outlineLevel="1">
      <c r="A138" s="128" t="s">
        <v>970</v>
      </c>
      <c r="B138" s="34" t="s">
        <v>405</v>
      </c>
      <c r="C138" s="123" t="s">
        <v>422</v>
      </c>
      <c r="D138" s="123" t="s">
        <v>495</v>
      </c>
      <c r="E138" s="123" t="s">
        <v>207</v>
      </c>
      <c r="F138" s="125">
        <f>VLOOKUP(Table26[Function], Table1[], 5, FALSE)</f>
        <v>0.38063266623628145</v>
      </c>
      <c r="G138" s="168" t="s">
        <v>27</v>
      </c>
      <c r="H138" s="318" t="s">
        <v>36</v>
      </c>
      <c r="I138" s="122" t="s">
        <v>63</v>
      </c>
      <c r="J138" s="124">
        <f>1/9</f>
        <v>0.1111111111111111</v>
      </c>
      <c r="K138" s="125">
        <f>Table26[[#This Row],[λ]]*Table26[[#This Row],[Failure rate distribution]]</f>
        <v>4.2292518470697933E-2</v>
      </c>
      <c r="L138" s="318" t="s">
        <v>63</v>
      </c>
      <c r="M138" s="20" t="str">
        <f>VLOOKUP(Table26[[#This Row],[Applicable Safety mechanism]],Table3[],2,FALSE)</f>
        <v>Not applicable</v>
      </c>
      <c r="N138" s="21" t="str">
        <f>VLOOKUP(Table26[[#This Row],[Applicable Safety mechanism]], Table3[], 3,FALSE)</f>
        <v>-</v>
      </c>
      <c r="O138" s="16">
        <f>VLOOKUP(Table26[[#This Row],[Applicable Safety mechanism]], Table3[], 6,FALSE)</f>
        <v>0</v>
      </c>
      <c r="P138" s="126">
        <f>IF(Table26[[#This Row],[Failure mode that has the potential to violate the safety goal in absence of safety mechanism?]]="Yes", Table26[[#This Row],[Failure mode rate]]*(1-Table26[[#This Row],[Failure mode coverage wrt. violation of safety goals]]), 0)</f>
        <v>0</v>
      </c>
      <c r="Q138" s="318" t="s">
        <v>36</v>
      </c>
      <c r="R138" s="122"/>
      <c r="S138" s="318"/>
      <c r="T138" s="170"/>
      <c r="U138" s="16"/>
      <c r="V138" s="125">
        <f>IF(Table26[[#This Row],[Failure mode that may lead to the violation of safety goals in combination with an independent failure of another block ?]]="Yes",(1-Table26[[#This Row],[Failure mode coverage with respect to latent failures]])*Table26[[#This Row],[Failure mode rate]], 0)</f>
        <v>0</v>
      </c>
      <c r="W138" s="123"/>
      <c r="X138" s="339" t="s">
        <v>36</v>
      </c>
      <c r="Y138" s="21">
        <f>IF(Table26[[#This Row],[SR]]="Yes",Table26[[#This Row],[λ]], 0)</f>
        <v>0</v>
      </c>
    </row>
    <row r="139" spans="1:25" outlineLevel="1">
      <c r="A139" s="18" t="s">
        <v>971</v>
      </c>
      <c r="B139" s="123" t="s">
        <v>405</v>
      </c>
      <c r="C139" s="123" t="s">
        <v>422</v>
      </c>
      <c r="D139" s="123"/>
      <c r="E139" s="123"/>
      <c r="F139" s="125">
        <f>VLOOKUP(Table26[Function], Table1[], 5, FALSE)</f>
        <v>0.38063266623628145</v>
      </c>
      <c r="G139" s="19" t="s">
        <v>28</v>
      </c>
      <c r="H139" s="318" t="s">
        <v>36</v>
      </c>
      <c r="I139" s="122" t="s">
        <v>63</v>
      </c>
      <c r="J139" s="124">
        <f t="shared" ref="J139:J146" si="8">1/9</f>
        <v>0.1111111111111111</v>
      </c>
      <c r="K139" s="125">
        <f>Table26[[#This Row],[λ]]*Table26[[#This Row],[Failure rate distribution]]</f>
        <v>4.2292518470697933E-2</v>
      </c>
      <c r="L139" s="318" t="s">
        <v>63</v>
      </c>
      <c r="M139" s="20" t="str">
        <f>VLOOKUP(Table26[[#This Row],[Applicable Safety mechanism]],Table3[],2,FALSE)</f>
        <v>Not applicable</v>
      </c>
      <c r="N139" s="21" t="str">
        <f>VLOOKUP(Table26[[#This Row],[Applicable Safety mechanism]], Table3[], 3,FALSE)</f>
        <v>-</v>
      </c>
      <c r="O139" s="16">
        <f>VLOOKUP(Table26[[#This Row],[Applicable Safety mechanism]], Table3[], 6,FALSE)</f>
        <v>0</v>
      </c>
      <c r="P139" s="126">
        <f>IF(Table26[[#This Row],[Failure mode that has the potential to violate the safety goal in absence of safety mechanism?]]="Yes", Table26[[#This Row],[Failure mode rate]]*(1-Table26[[#This Row],[Failure mode coverage wrt. violation of safety goals]]), 0)</f>
        <v>0</v>
      </c>
      <c r="Q139" s="318" t="s">
        <v>36</v>
      </c>
      <c r="R139" s="122"/>
      <c r="S139" s="318"/>
      <c r="T139" s="170"/>
      <c r="U139" s="16"/>
      <c r="V139" s="125">
        <f>IF(Table26[[#This Row],[Failure mode that may lead to the violation of safety goals in combination with an independent failure of another block ?]]="Yes",(1-Table26[[#This Row],[Failure mode coverage with respect to latent failures]])*Table26[[#This Row],[Failure mode rate]], 0)</f>
        <v>0</v>
      </c>
      <c r="W139" s="123"/>
      <c r="X139" s="339"/>
      <c r="Y139" s="21">
        <f>IF(Table26[[#This Row],[SR]]="Yes",Table26[[#This Row],[λ]], 0)</f>
        <v>0</v>
      </c>
    </row>
    <row r="140" spans="1:25" outlineLevel="1">
      <c r="A140" s="128" t="s">
        <v>972</v>
      </c>
      <c r="B140" s="123" t="s">
        <v>405</v>
      </c>
      <c r="C140" s="123" t="s">
        <v>422</v>
      </c>
      <c r="D140" s="123"/>
      <c r="E140" s="123"/>
      <c r="F140" s="125">
        <f>VLOOKUP(Table26[Function], Table1[], 5, FALSE)</f>
        <v>0.38063266623628145</v>
      </c>
      <c r="G140" s="168" t="s">
        <v>64</v>
      </c>
      <c r="H140" s="318" t="s">
        <v>36</v>
      </c>
      <c r="I140" s="122" t="s">
        <v>63</v>
      </c>
      <c r="J140" s="124">
        <f t="shared" si="8"/>
        <v>0.1111111111111111</v>
      </c>
      <c r="K140" s="125">
        <f>Table26[[#This Row],[λ]]*Table26[[#This Row],[Failure rate distribution]]</f>
        <v>4.2292518470697933E-2</v>
      </c>
      <c r="L140" s="318" t="s">
        <v>63</v>
      </c>
      <c r="M140" s="20" t="str">
        <f>VLOOKUP(Table26[[#This Row],[Applicable Safety mechanism]],Table3[],2,FALSE)</f>
        <v>Not applicable</v>
      </c>
      <c r="N140" s="21" t="str">
        <f>VLOOKUP(Table26[[#This Row],[Applicable Safety mechanism]], Table3[], 3,FALSE)</f>
        <v>-</v>
      </c>
      <c r="O140" s="16">
        <f>VLOOKUP(Table26[[#This Row],[Applicable Safety mechanism]], Table3[], 6,FALSE)</f>
        <v>0</v>
      </c>
      <c r="P140" s="126">
        <f>IF(Table26[[#This Row],[Failure mode that has the potential to violate the safety goal in absence of safety mechanism?]]="Yes", Table26[[#This Row],[Failure mode rate]]*(1-Table26[[#This Row],[Failure mode coverage wrt. violation of safety goals]]), 0)</f>
        <v>0</v>
      </c>
      <c r="Q140" s="318" t="s">
        <v>36</v>
      </c>
      <c r="R140" s="122"/>
      <c r="S140" s="318"/>
      <c r="T140" s="170"/>
      <c r="U140" s="16"/>
      <c r="V140" s="125">
        <f>IF(Table26[[#This Row],[Failure mode that may lead to the violation of safety goals in combination with an independent failure of another block ?]]="Yes",(1-Table26[[#This Row],[Failure mode coverage with respect to latent failures]])*Table26[[#This Row],[Failure mode rate]], 0)</f>
        <v>0</v>
      </c>
      <c r="W140" s="123"/>
      <c r="X140" s="339"/>
      <c r="Y140" s="21">
        <f>IF(Table26[[#This Row],[SR]]="Yes",Table26[[#This Row],[λ]], 0)</f>
        <v>0</v>
      </c>
    </row>
    <row r="141" spans="1:25" outlineLevel="1">
      <c r="A141" s="18" t="s">
        <v>973</v>
      </c>
      <c r="B141" s="123" t="s">
        <v>405</v>
      </c>
      <c r="C141" s="123" t="s">
        <v>422</v>
      </c>
      <c r="D141" s="123"/>
      <c r="E141" s="123"/>
      <c r="F141" s="125">
        <f>VLOOKUP(Table26[Function], Table1[], 5, FALSE)</f>
        <v>0.38063266623628145</v>
      </c>
      <c r="G141" s="19" t="s">
        <v>65</v>
      </c>
      <c r="H141" s="318" t="s">
        <v>36</v>
      </c>
      <c r="I141" s="122" t="s">
        <v>63</v>
      </c>
      <c r="J141" s="124">
        <f t="shared" si="8"/>
        <v>0.1111111111111111</v>
      </c>
      <c r="K141" s="125">
        <f>Table26[[#This Row],[λ]]*Table26[[#This Row],[Failure rate distribution]]</f>
        <v>4.2292518470697933E-2</v>
      </c>
      <c r="L141" s="318" t="s">
        <v>63</v>
      </c>
      <c r="M141" s="20" t="str">
        <f>VLOOKUP(Table26[[#This Row],[Applicable Safety mechanism]],Table3[],2,FALSE)</f>
        <v>Not applicable</v>
      </c>
      <c r="N141" s="21" t="str">
        <f>VLOOKUP(Table26[[#This Row],[Applicable Safety mechanism]], Table3[], 3,FALSE)</f>
        <v>-</v>
      </c>
      <c r="O141" s="16">
        <f>VLOOKUP(Table26[[#This Row],[Applicable Safety mechanism]], Table3[], 6,FALSE)</f>
        <v>0</v>
      </c>
      <c r="P141" s="126">
        <f>IF(Table26[[#This Row],[Failure mode that has the potential to violate the safety goal in absence of safety mechanism?]]="Yes", Table26[[#This Row],[Failure mode rate]]*(1-Table26[[#This Row],[Failure mode coverage wrt. violation of safety goals]]), 0)</f>
        <v>0</v>
      </c>
      <c r="Q141" s="318" t="s">
        <v>36</v>
      </c>
      <c r="R141" s="122"/>
      <c r="S141" s="318"/>
      <c r="T141" s="170"/>
      <c r="U141" s="16"/>
      <c r="V141" s="125">
        <f>IF(Table26[[#This Row],[Failure mode that may lead to the violation of safety goals in combination with an independent failure of another block ?]]="Yes",(1-Table26[[#This Row],[Failure mode coverage with respect to latent failures]])*Table26[[#This Row],[Failure mode rate]], 0)</f>
        <v>0</v>
      </c>
      <c r="W141" s="123"/>
      <c r="X141" s="339"/>
      <c r="Y141" s="21">
        <f>IF(Table26[[#This Row],[SR]]="Yes",Table26[[#This Row],[λ]], 0)</f>
        <v>0</v>
      </c>
    </row>
    <row r="142" spans="1:25" outlineLevel="1">
      <c r="A142" s="128" t="s">
        <v>974</v>
      </c>
      <c r="B142" s="123" t="s">
        <v>405</v>
      </c>
      <c r="C142" s="123" t="s">
        <v>422</v>
      </c>
      <c r="D142" s="123"/>
      <c r="E142" s="123"/>
      <c r="F142" s="125">
        <f>VLOOKUP(Table26[Function], Table1[], 5, FALSE)</f>
        <v>0.38063266623628145</v>
      </c>
      <c r="G142" s="168" t="s">
        <v>69</v>
      </c>
      <c r="H142" s="318" t="s">
        <v>36</v>
      </c>
      <c r="I142" s="122" t="s">
        <v>63</v>
      </c>
      <c r="J142" s="124">
        <f t="shared" si="8"/>
        <v>0.1111111111111111</v>
      </c>
      <c r="K142" s="125">
        <f>Table26[[#This Row],[λ]]*Table26[[#This Row],[Failure rate distribution]]</f>
        <v>4.2292518470697933E-2</v>
      </c>
      <c r="L142" s="318" t="s">
        <v>63</v>
      </c>
      <c r="M142" s="20" t="str">
        <f>VLOOKUP(Table26[[#This Row],[Applicable Safety mechanism]],Table3[],2,FALSE)</f>
        <v>Not applicable</v>
      </c>
      <c r="N142" s="21" t="str">
        <f>VLOOKUP(Table26[[#This Row],[Applicable Safety mechanism]], Table3[], 3,FALSE)</f>
        <v>-</v>
      </c>
      <c r="O142" s="16">
        <f>VLOOKUP(Table26[[#This Row],[Applicable Safety mechanism]], Table3[], 6,FALSE)</f>
        <v>0</v>
      </c>
      <c r="P142" s="126">
        <f>IF(Table26[[#This Row],[Failure mode that has the potential to violate the safety goal in absence of safety mechanism?]]="Yes", Table26[[#This Row],[Failure mode rate]]*(1-Table26[[#This Row],[Failure mode coverage wrt. violation of safety goals]]), 0)</f>
        <v>0</v>
      </c>
      <c r="Q142" s="318" t="s">
        <v>36</v>
      </c>
      <c r="R142" s="122"/>
      <c r="S142" s="318"/>
      <c r="T142" s="170"/>
      <c r="U142" s="16"/>
      <c r="V142" s="125">
        <f>IF(Table26[[#This Row],[Failure mode that may lead to the violation of safety goals in combination with an independent failure of another block ?]]="Yes",(1-Table26[[#This Row],[Failure mode coverage with respect to latent failures]])*Table26[[#This Row],[Failure mode rate]], 0)</f>
        <v>0</v>
      </c>
      <c r="W142" s="123"/>
      <c r="X142" s="339"/>
      <c r="Y142" s="21">
        <f>IF(Table26[[#This Row],[SR]]="Yes",Table26[[#This Row],[λ]], 0)</f>
        <v>0</v>
      </c>
    </row>
    <row r="143" spans="1:25" outlineLevel="1">
      <c r="A143" s="18" t="s">
        <v>975</v>
      </c>
      <c r="B143" s="123" t="s">
        <v>405</v>
      </c>
      <c r="C143" s="123" t="s">
        <v>422</v>
      </c>
      <c r="D143" s="123"/>
      <c r="E143" s="123"/>
      <c r="F143" s="125">
        <f>VLOOKUP(Table26[Function], Table1[], 5, FALSE)</f>
        <v>0.38063266623628145</v>
      </c>
      <c r="G143" s="19" t="s">
        <v>424</v>
      </c>
      <c r="H143" s="318" t="s">
        <v>36</v>
      </c>
      <c r="I143" s="122" t="s">
        <v>63</v>
      </c>
      <c r="J143" s="124">
        <f t="shared" si="8"/>
        <v>0.1111111111111111</v>
      </c>
      <c r="K143" s="125">
        <f>Table26[[#This Row],[λ]]*Table26[[#This Row],[Failure rate distribution]]</f>
        <v>4.2292518470697933E-2</v>
      </c>
      <c r="L143" s="318" t="s">
        <v>63</v>
      </c>
      <c r="M143" s="20" t="str">
        <f>VLOOKUP(Table26[[#This Row],[Applicable Safety mechanism]],Table3[],2,FALSE)</f>
        <v>Not applicable</v>
      </c>
      <c r="N143" s="21" t="str">
        <f>VLOOKUP(Table26[[#This Row],[Applicable Safety mechanism]], Table3[], 3,FALSE)</f>
        <v>-</v>
      </c>
      <c r="O143" s="16">
        <f>VLOOKUP(Table26[[#This Row],[Applicable Safety mechanism]], Table3[], 6,FALSE)</f>
        <v>0</v>
      </c>
      <c r="P143" s="126">
        <f>IF(Table26[[#This Row],[Failure mode that has the potential to violate the safety goal in absence of safety mechanism?]]="Yes", Table26[[#This Row],[Failure mode rate]]*(1-Table26[[#This Row],[Failure mode coverage wrt. violation of safety goals]]), 0)</f>
        <v>0</v>
      </c>
      <c r="Q143" s="318" t="s">
        <v>36</v>
      </c>
      <c r="R143" s="122"/>
      <c r="S143" s="318"/>
      <c r="T143" s="170"/>
      <c r="U143" s="16"/>
      <c r="V143" s="125">
        <f>IF(Table26[[#This Row],[Failure mode that may lead to the violation of safety goals in combination with an independent failure of another block ?]]="Yes",(1-Table26[[#This Row],[Failure mode coverage with respect to latent failures]])*Table26[[#This Row],[Failure mode rate]], 0)</f>
        <v>0</v>
      </c>
      <c r="W143" s="123"/>
      <c r="X143" s="339"/>
      <c r="Y143" s="21">
        <f>IF(Table26[[#This Row],[SR]]="Yes",Table26[[#This Row],[λ]], 0)</f>
        <v>0</v>
      </c>
    </row>
    <row r="144" spans="1:25" outlineLevel="1">
      <c r="A144" s="128" t="s">
        <v>976</v>
      </c>
      <c r="B144" s="123" t="s">
        <v>405</v>
      </c>
      <c r="C144" s="123" t="s">
        <v>422</v>
      </c>
      <c r="D144" s="123"/>
      <c r="E144" s="123"/>
      <c r="F144" s="125">
        <f>VLOOKUP(Table26[Function], Table1[], 5, FALSE)</f>
        <v>0.38063266623628145</v>
      </c>
      <c r="G144" s="168" t="s">
        <v>425</v>
      </c>
      <c r="H144" s="318" t="s">
        <v>36</v>
      </c>
      <c r="I144" s="122" t="s">
        <v>63</v>
      </c>
      <c r="J144" s="124">
        <f t="shared" si="8"/>
        <v>0.1111111111111111</v>
      </c>
      <c r="K144" s="125">
        <f>Table26[[#This Row],[λ]]*Table26[[#This Row],[Failure rate distribution]]</f>
        <v>4.2292518470697933E-2</v>
      </c>
      <c r="L144" s="318" t="s">
        <v>63</v>
      </c>
      <c r="M144" s="20" t="str">
        <f>VLOOKUP(Table26[[#This Row],[Applicable Safety mechanism]],Table3[],2,FALSE)</f>
        <v>Not applicable</v>
      </c>
      <c r="N144" s="21" t="str">
        <f>VLOOKUP(Table26[[#This Row],[Applicable Safety mechanism]], Table3[], 3,FALSE)</f>
        <v>-</v>
      </c>
      <c r="O144" s="16">
        <f>VLOOKUP(Table26[[#This Row],[Applicable Safety mechanism]], Table3[], 6,FALSE)</f>
        <v>0</v>
      </c>
      <c r="P144" s="126">
        <f>IF(Table26[[#This Row],[Failure mode that has the potential to violate the safety goal in absence of safety mechanism?]]="Yes", Table26[[#This Row],[Failure mode rate]]*(1-Table26[[#This Row],[Failure mode coverage wrt. violation of safety goals]]), 0)</f>
        <v>0</v>
      </c>
      <c r="Q144" s="318" t="s">
        <v>36</v>
      </c>
      <c r="R144" s="122"/>
      <c r="S144" s="318"/>
      <c r="T144" s="170"/>
      <c r="U144" s="16"/>
      <c r="V144" s="125">
        <f>IF(Table26[[#This Row],[Failure mode that may lead to the violation of safety goals in combination with an independent failure of another block ?]]="Yes",(1-Table26[[#This Row],[Failure mode coverage with respect to latent failures]])*Table26[[#This Row],[Failure mode rate]], 0)</f>
        <v>0</v>
      </c>
      <c r="W144" s="123"/>
      <c r="X144" s="339"/>
      <c r="Y144" s="21">
        <f>IF(Table26[[#This Row],[SR]]="Yes",Table26[[#This Row],[λ]], 0)</f>
        <v>0</v>
      </c>
    </row>
    <row r="145" spans="1:25" outlineLevel="1">
      <c r="A145" s="18" t="s">
        <v>977</v>
      </c>
      <c r="B145" s="123" t="s">
        <v>405</v>
      </c>
      <c r="C145" s="123" t="s">
        <v>422</v>
      </c>
      <c r="D145" s="123"/>
      <c r="E145" s="123"/>
      <c r="F145" s="125">
        <f>VLOOKUP(Table26[Function], Table1[], 5, FALSE)</f>
        <v>0.38063266623628145</v>
      </c>
      <c r="G145" s="19" t="s">
        <v>426</v>
      </c>
      <c r="H145" s="318" t="s">
        <v>36</v>
      </c>
      <c r="I145" s="122" t="s">
        <v>63</v>
      </c>
      <c r="J145" s="124">
        <f t="shared" si="8"/>
        <v>0.1111111111111111</v>
      </c>
      <c r="K145" s="125">
        <f>Table26[[#This Row],[λ]]*Table26[[#This Row],[Failure rate distribution]]</f>
        <v>4.2292518470697933E-2</v>
      </c>
      <c r="L145" s="318" t="s">
        <v>63</v>
      </c>
      <c r="M145" s="20" t="str">
        <f>VLOOKUP(Table26[[#This Row],[Applicable Safety mechanism]],Table3[],2,FALSE)</f>
        <v>Not applicable</v>
      </c>
      <c r="N145" s="21" t="str">
        <f>VLOOKUP(Table26[[#This Row],[Applicable Safety mechanism]], Table3[], 3,FALSE)</f>
        <v>-</v>
      </c>
      <c r="O145" s="16">
        <f>VLOOKUP(Table26[[#This Row],[Applicable Safety mechanism]], Table3[], 6,FALSE)</f>
        <v>0</v>
      </c>
      <c r="P145" s="126">
        <f>IF(Table26[[#This Row],[Failure mode that has the potential to violate the safety goal in absence of safety mechanism?]]="Yes", Table26[[#This Row],[Failure mode rate]]*(1-Table26[[#This Row],[Failure mode coverage wrt. violation of safety goals]]), 0)</f>
        <v>0</v>
      </c>
      <c r="Q145" s="318" t="s">
        <v>36</v>
      </c>
      <c r="R145" s="122"/>
      <c r="S145" s="318"/>
      <c r="T145" s="170"/>
      <c r="U145" s="16"/>
      <c r="V145" s="125">
        <f>IF(Table26[[#This Row],[Failure mode that may lead to the violation of safety goals in combination with an independent failure of another block ?]]="Yes",(1-Table26[[#This Row],[Failure mode coverage with respect to latent failures]])*Table26[[#This Row],[Failure mode rate]], 0)</f>
        <v>0</v>
      </c>
      <c r="W145" s="123"/>
      <c r="X145" s="339"/>
      <c r="Y145" s="21">
        <f>IF(Table26[[#This Row],[SR]]="Yes",Table26[[#This Row],[λ]], 0)</f>
        <v>0</v>
      </c>
    </row>
    <row r="146" spans="1:25" outlineLevel="1">
      <c r="A146" s="128" t="s">
        <v>978</v>
      </c>
      <c r="B146" s="123" t="s">
        <v>405</v>
      </c>
      <c r="C146" s="123" t="s">
        <v>422</v>
      </c>
      <c r="D146" s="123"/>
      <c r="E146" s="123"/>
      <c r="F146" s="125">
        <f>VLOOKUP(Table26[Function], Table1[], 5, FALSE)</f>
        <v>0.38063266623628145</v>
      </c>
      <c r="G146" s="168" t="s">
        <v>427</v>
      </c>
      <c r="H146" s="318" t="s">
        <v>36</v>
      </c>
      <c r="I146" s="122" t="s">
        <v>63</v>
      </c>
      <c r="J146" s="124">
        <f t="shared" si="8"/>
        <v>0.1111111111111111</v>
      </c>
      <c r="K146" s="125">
        <f>Table26[[#This Row],[λ]]*Table26[[#This Row],[Failure rate distribution]]</f>
        <v>4.2292518470697933E-2</v>
      </c>
      <c r="L146" s="318" t="s">
        <v>63</v>
      </c>
      <c r="M146" s="20" t="str">
        <f>VLOOKUP(Table26[[#This Row],[Applicable Safety mechanism]],Table3[],2,FALSE)</f>
        <v>Not applicable</v>
      </c>
      <c r="N146" s="21" t="str">
        <f>VLOOKUP(Table26[[#This Row],[Applicable Safety mechanism]], Table3[], 3,FALSE)</f>
        <v>-</v>
      </c>
      <c r="O146" s="16">
        <f>VLOOKUP(Table26[[#This Row],[Applicable Safety mechanism]], Table3[], 6,FALSE)</f>
        <v>0</v>
      </c>
      <c r="P146" s="126">
        <f>IF(Table26[[#This Row],[Failure mode that has the potential to violate the safety goal in absence of safety mechanism?]]="Yes", Table26[[#This Row],[Failure mode rate]]*(1-Table26[[#This Row],[Failure mode coverage wrt. violation of safety goals]]), 0)</f>
        <v>0</v>
      </c>
      <c r="Q146" s="318" t="s">
        <v>36</v>
      </c>
      <c r="R146" s="122"/>
      <c r="S146" s="318"/>
      <c r="T146" s="170"/>
      <c r="U146" s="16"/>
      <c r="V146" s="125">
        <f>IF(Table26[[#This Row],[Failure mode that may lead to the violation of safety goals in combination with an independent failure of another block ?]]="Yes",(1-Table26[[#This Row],[Failure mode coverage with respect to latent failures]])*Table26[[#This Row],[Failure mode rate]], 0)</f>
        <v>0</v>
      </c>
      <c r="W146" s="123"/>
      <c r="X146" s="339"/>
      <c r="Y146" s="21">
        <f>IF(Table26[[#This Row],[SR]]="Yes",Table26[[#This Row],[λ]], 0)</f>
        <v>0</v>
      </c>
    </row>
    <row r="147" spans="1:25" ht="28.8">
      <c r="A147" s="18" t="s">
        <v>979</v>
      </c>
      <c r="B147" s="130" t="s">
        <v>405</v>
      </c>
      <c r="C147" s="130" t="s">
        <v>422</v>
      </c>
      <c r="D147" s="123" t="s">
        <v>63</v>
      </c>
      <c r="E147" s="123"/>
      <c r="F147" s="125"/>
      <c r="G147" s="190" t="s">
        <v>63</v>
      </c>
      <c r="H147" s="318" t="s">
        <v>63</v>
      </c>
      <c r="I147" s="122" t="s">
        <v>63</v>
      </c>
      <c r="J147" s="124" t="s">
        <v>63</v>
      </c>
      <c r="K147" s="125" t="s">
        <v>63</v>
      </c>
      <c r="L147" s="318" t="s">
        <v>63</v>
      </c>
      <c r="M147" s="21" t="s">
        <v>63</v>
      </c>
      <c r="N147" s="21" t="s">
        <v>63</v>
      </c>
      <c r="O147" s="16" t="s">
        <v>63</v>
      </c>
      <c r="P147" s="126" t="s">
        <v>63</v>
      </c>
      <c r="Q147" s="318" t="s">
        <v>63</v>
      </c>
      <c r="R147" s="122"/>
      <c r="S147" s="318"/>
      <c r="T147" s="171"/>
      <c r="U147" s="122"/>
      <c r="V147" s="122"/>
      <c r="W147" s="122"/>
      <c r="X147" s="339"/>
      <c r="Y147" s="21"/>
    </row>
    <row r="148" spans="1:25" ht="43.2" outlineLevel="1">
      <c r="A148" s="128" t="s">
        <v>980</v>
      </c>
      <c r="B148" s="34" t="s">
        <v>418</v>
      </c>
      <c r="C148" s="34" t="s">
        <v>155</v>
      </c>
      <c r="D148" s="123" t="s">
        <v>215</v>
      </c>
      <c r="E148" s="123" t="s">
        <v>216</v>
      </c>
      <c r="F148" s="125">
        <f>VLOOKUP(Table26[Function], Table1[], 5, FALSE)</f>
        <v>0.50866365397030333</v>
      </c>
      <c r="G148" s="19" t="s">
        <v>136</v>
      </c>
      <c r="H148" s="318" t="s">
        <v>36</v>
      </c>
      <c r="I148" s="122" t="s">
        <v>63</v>
      </c>
      <c r="J148" s="131">
        <f>1/9</f>
        <v>0.1111111111111111</v>
      </c>
      <c r="K148" s="70">
        <f>Table26[[#This Row],[λ]]*Table26[[#This Row],[Failure rate distribution]]</f>
        <v>5.6518183774478148E-2</v>
      </c>
      <c r="L148" s="318" t="s">
        <v>63</v>
      </c>
      <c r="M148" s="26" t="str">
        <f>VLOOKUP(Table26[[#This Row],[Applicable Safety mechanism]],Table3[],2,FALSE)</f>
        <v>Not applicable</v>
      </c>
      <c r="N148" s="27" t="str">
        <f>VLOOKUP(Table26[[#This Row],[Applicable Safety mechanism]], Table3[], 3,FALSE)</f>
        <v>-</v>
      </c>
      <c r="O148" s="28">
        <f>VLOOKUP(Table26[[#This Row],[Applicable Safety mechanism]], Table3[], 6,FALSE)</f>
        <v>0</v>
      </c>
      <c r="P148" s="29">
        <f>IF(Table26[[#This Row],[Failure mode that has the potential to violate the safety goal in absence of safety mechanism?]]="Yes", Table26[[#This Row],[Failure mode rate]]*(1-Table26[[#This Row],[Failure mode coverage wrt. violation of safety goals]]), 0)</f>
        <v>0</v>
      </c>
      <c r="Q148" s="320" t="s">
        <v>36</v>
      </c>
      <c r="R148" s="68"/>
      <c r="S148" s="318"/>
      <c r="T148" s="170"/>
      <c r="U148" s="16"/>
      <c r="V148" s="125">
        <f>IF(Table26[[#This Row],[Failure mode that may lead to the violation of safety goals in combination with an independent failure of another block ?]]="Yes",(1-Table26[[#This Row],[Failure mode coverage with respect to latent failures]])*Table26[[#This Row],[Failure mode rate]], 0)</f>
        <v>0</v>
      </c>
      <c r="W148" s="123"/>
      <c r="X148" s="339" t="s">
        <v>35</v>
      </c>
      <c r="Y148" s="125">
        <f>IF(Table26[[#This Row],[SR]]="Yes",Table26[[#This Row],[λ]], 0)</f>
        <v>0.50866365397030333</v>
      </c>
    </row>
    <row r="149" spans="1:25" outlineLevel="1">
      <c r="A149" s="18" t="s">
        <v>981</v>
      </c>
      <c r="B149" s="34" t="s">
        <v>418</v>
      </c>
      <c r="C149" s="123" t="s">
        <v>155</v>
      </c>
      <c r="D149" s="123"/>
      <c r="E149" s="123"/>
      <c r="F149" s="125">
        <f>VLOOKUP(Table26[Function], Table1[], 5, FALSE)</f>
        <v>0.50866365397030333</v>
      </c>
      <c r="G149" s="19" t="s">
        <v>137</v>
      </c>
      <c r="H149" s="318" t="s">
        <v>36</v>
      </c>
      <c r="I149" s="122" t="s">
        <v>63</v>
      </c>
      <c r="J149" s="131">
        <f t="shared" ref="J149:J156" si="9">1/9</f>
        <v>0.1111111111111111</v>
      </c>
      <c r="K149" s="125">
        <f>Table26[[#This Row],[λ]]*Table26[[#This Row],[Failure rate distribution]]</f>
        <v>5.6518183774478148E-2</v>
      </c>
      <c r="L149" s="318" t="s">
        <v>63</v>
      </c>
      <c r="M149" s="20" t="str">
        <f>VLOOKUP(Table26[[#This Row],[Applicable Safety mechanism]],Table3[],2,FALSE)</f>
        <v>Not applicable</v>
      </c>
      <c r="N149" s="21" t="str">
        <f>VLOOKUP(Table26[[#This Row],[Applicable Safety mechanism]], Table3[], 3,FALSE)</f>
        <v>-</v>
      </c>
      <c r="O149" s="16">
        <f>VLOOKUP(Table26[[#This Row],[Applicable Safety mechanism]], Table3[], 6,FALSE)</f>
        <v>0</v>
      </c>
      <c r="P149" s="126">
        <f>IF(Table26[[#This Row],[Failure mode that has the potential to violate the safety goal in absence of safety mechanism?]]="Yes", Table26[[#This Row],[Failure mode rate]]*(1-Table26[[#This Row],[Failure mode coverage wrt. violation of safety goals]]), 0)</f>
        <v>0</v>
      </c>
      <c r="Q149" s="320" t="s">
        <v>36</v>
      </c>
      <c r="R149" s="68"/>
      <c r="S149" s="318"/>
      <c r="T149" s="170"/>
      <c r="U149" s="16"/>
      <c r="V149" s="125">
        <f>IF(Table26[[#This Row],[Failure mode that may lead to the violation of safety goals in combination with an independent failure of another block ?]]="Yes",(1-Table26[[#This Row],[Failure mode coverage with respect to latent failures]])*Table26[[#This Row],[Failure mode rate]], 0)</f>
        <v>0</v>
      </c>
      <c r="W149" s="123"/>
      <c r="X149" s="339"/>
      <c r="Y149" s="21">
        <f>IF(Table26[[#This Row],[SR]]="Yes",Table26[[#This Row],[λ]], 0)</f>
        <v>0</v>
      </c>
    </row>
    <row r="150" spans="1:25" ht="28.8" outlineLevel="1">
      <c r="A150" s="128" t="s">
        <v>982</v>
      </c>
      <c r="B150" s="34" t="s">
        <v>418</v>
      </c>
      <c r="C150" s="123" t="s">
        <v>155</v>
      </c>
      <c r="D150" s="123"/>
      <c r="E150" s="123"/>
      <c r="F150" s="125">
        <f>VLOOKUP(Table26[Function], Table1[], 5, FALSE)</f>
        <v>0.50866365397030333</v>
      </c>
      <c r="G150" s="19" t="s">
        <v>356</v>
      </c>
      <c r="H150" s="318" t="s">
        <v>36</v>
      </c>
      <c r="I150" s="122" t="s">
        <v>63</v>
      </c>
      <c r="J150" s="131">
        <f t="shared" si="9"/>
        <v>0.1111111111111111</v>
      </c>
      <c r="K150" s="125">
        <f>Table26[[#This Row],[λ]]*Table26[[#This Row],[Failure rate distribution]]</f>
        <v>5.6518183774478148E-2</v>
      </c>
      <c r="L150" s="318" t="s">
        <v>63</v>
      </c>
      <c r="M150" s="20" t="str">
        <f>VLOOKUP(Table26[[#This Row],[Applicable Safety mechanism]],Table3[],2,FALSE)</f>
        <v>Not applicable</v>
      </c>
      <c r="N150" s="21" t="str">
        <f>VLOOKUP(Table26[[#This Row],[Applicable Safety mechanism]], Table3[], 3,FALSE)</f>
        <v>-</v>
      </c>
      <c r="O150" s="16">
        <f>VLOOKUP(Table26[[#This Row],[Applicable Safety mechanism]], Table3[], 6,FALSE)</f>
        <v>0</v>
      </c>
      <c r="P150" s="126">
        <f>IF(Table26[[#This Row],[Failure mode that has the potential to violate the safety goal in absence of safety mechanism?]]="Yes", Table26[[#This Row],[Failure mode rate]]*(1-Table26[[#This Row],[Failure mode coverage wrt. violation of safety goals]]), 0)</f>
        <v>0</v>
      </c>
      <c r="Q150" s="320" t="s">
        <v>36</v>
      </c>
      <c r="R150" s="122"/>
      <c r="S150" s="318"/>
      <c r="T150" s="170"/>
      <c r="U150" s="16"/>
      <c r="V150" s="125">
        <f>IF(Table26[[#This Row],[Failure mode that may lead to the violation of safety goals in combination with an independent failure of another block ?]]="Yes",(1-Table26[[#This Row],[Failure mode coverage with respect to latent failures]])*Table26[[#This Row],[Failure mode rate]], 0)</f>
        <v>0</v>
      </c>
      <c r="W150" s="123"/>
      <c r="X150" s="339"/>
      <c r="Y150" s="21">
        <f>IF(Table26[[#This Row],[SR]]="Yes",Table26[[#This Row],[λ]], 0)</f>
        <v>0</v>
      </c>
    </row>
    <row r="151" spans="1:25" outlineLevel="1">
      <c r="A151" s="18" t="s">
        <v>983</v>
      </c>
      <c r="B151" s="34" t="s">
        <v>418</v>
      </c>
      <c r="C151" s="123" t="s">
        <v>155</v>
      </c>
      <c r="D151" s="123"/>
      <c r="E151" s="123"/>
      <c r="F151" s="125">
        <f>VLOOKUP(Table26[Function], Table1[], 5, FALSE)</f>
        <v>0.50866365397030333</v>
      </c>
      <c r="G151" s="19" t="s">
        <v>139</v>
      </c>
      <c r="H151" s="318" t="s">
        <v>36</v>
      </c>
      <c r="I151" s="122" t="s">
        <v>63</v>
      </c>
      <c r="J151" s="131">
        <f t="shared" si="9"/>
        <v>0.1111111111111111</v>
      </c>
      <c r="K151" s="125">
        <f>Table26[[#This Row],[λ]]*Table26[[#This Row],[Failure rate distribution]]</f>
        <v>5.6518183774478148E-2</v>
      </c>
      <c r="L151" s="318" t="s">
        <v>63</v>
      </c>
      <c r="M151" s="20" t="str">
        <f>VLOOKUP(Table26[[#This Row],[Applicable Safety mechanism]],Table3[],2,FALSE)</f>
        <v>Not applicable</v>
      </c>
      <c r="N151" s="21" t="str">
        <f>VLOOKUP(Table26[[#This Row],[Applicable Safety mechanism]], Table3[], 3,FALSE)</f>
        <v>-</v>
      </c>
      <c r="O151" s="16">
        <f>VLOOKUP(Table26[[#This Row],[Applicable Safety mechanism]], Table3[], 6,FALSE)</f>
        <v>0</v>
      </c>
      <c r="P151" s="126">
        <f>IF(Table26[[#This Row],[Failure mode that has the potential to violate the safety goal in absence of safety mechanism?]]="Yes", Table26[[#This Row],[Failure mode rate]]*(1-Table26[[#This Row],[Failure mode coverage wrt. violation of safety goals]]), 0)</f>
        <v>0</v>
      </c>
      <c r="Q151" s="320" t="s">
        <v>36</v>
      </c>
      <c r="R151" s="68"/>
      <c r="S151" s="318"/>
      <c r="T151" s="170"/>
      <c r="U151" s="16"/>
      <c r="V151" s="125">
        <f>IF(Table26[[#This Row],[Failure mode that may lead to the violation of safety goals in combination with an independent failure of another block ?]]="Yes",(1-Table26[[#This Row],[Failure mode coverage with respect to latent failures]])*Table26[[#This Row],[Failure mode rate]], 0)</f>
        <v>0</v>
      </c>
      <c r="W151" s="123"/>
      <c r="X151" s="339"/>
      <c r="Y151" s="21">
        <f>IF(Table26[[#This Row],[SR]]="Yes",Table26[[#This Row],[λ]], 0)</f>
        <v>0</v>
      </c>
    </row>
    <row r="152" spans="1:25" outlineLevel="1">
      <c r="A152" s="128" t="s">
        <v>984</v>
      </c>
      <c r="B152" s="34" t="s">
        <v>418</v>
      </c>
      <c r="C152" s="123" t="s">
        <v>155</v>
      </c>
      <c r="D152" s="123"/>
      <c r="E152" s="123"/>
      <c r="F152" s="125">
        <f>VLOOKUP(Table26[Function], Table1[], 5, FALSE)</f>
        <v>0.50866365397030333</v>
      </c>
      <c r="G152" s="19" t="s">
        <v>140</v>
      </c>
      <c r="H152" s="318" t="s">
        <v>36</v>
      </c>
      <c r="I152" s="122" t="s">
        <v>63</v>
      </c>
      <c r="J152" s="131">
        <f t="shared" si="9"/>
        <v>0.1111111111111111</v>
      </c>
      <c r="K152" s="125">
        <f>Table26[[#This Row],[λ]]*Table26[[#This Row],[Failure rate distribution]]</f>
        <v>5.6518183774478148E-2</v>
      </c>
      <c r="L152" s="318" t="s">
        <v>63</v>
      </c>
      <c r="M152" s="20" t="str">
        <f>VLOOKUP(Table26[[#This Row],[Applicable Safety mechanism]],Table3[],2,FALSE)</f>
        <v>Not applicable</v>
      </c>
      <c r="N152" s="21" t="str">
        <f>VLOOKUP(Table26[[#This Row],[Applicable Safety mechanism]], Table3[], 3,FALSE)</f>
        <v>-</v>
      </c>
      <c r="O152" s="16">
        <f>VLOOKUP(Table26[[#This Row],[Applicable Safety mechanism]], Table3[], 6,FALSE)</f>
        <v>0</v>
      </c>
      <c r="P152" s="126">
        <f>IF(Table26[[#This Row],[Failure mode that has the potential to violate the safety goal in absence of safety mechanism?]]="Yes", Table26[[#This Row],[Failure mode rate]]*(1-Table26[[#This Row],[Failure mode coverage wrt. violation of safety goals]]), 0)</f>
        <v>0</v>
      </c>
      <c r="Q152" s="320" t="s">
        <v>36</v>
      </c>
      <c r="R152" s="122"/>
      <c r="S152" s="318"/>
      <c r="T152" s="170"/>
      <c r="U152" s="16"/>
      <c r="V152" s="125">
        <f>IF(Table26[[#This Row],[Failure mode that may lead to the violation of safety goals in combination with an independent failure of another block ?]]="Yes",(1-Table26[[#This Row],[Failure mode coverage with respect to latent failures]])*Table26[[#This Row],[Failure mode rate]], 0)</f>
        <v>0</v>
      </c>
      <c r="W152" s="123"/>
      <c r="X152" s="339"/>
      <c r="Y152" s="21">
        <f>IF(Table26[[#This Row],[SR]]="Yes",Table26[[#This Row],[λ]], 0)</f>
        <v>0</v>
      </c>
    </row>
    <row r="153" spans="1:25" outlineLevel="1">
      <c r="A153" s="18" t="s">
        <v>985</v>
      </c>
      <c r="B153" s="34" t="s">
        <v>418</v>
      </c>
      <c r="C153" s="123" t="s">
        <v>155</v>
      </c>
      <c r="D153" s="123"/>
      <c r="E153" s="123"/>
      <c r="F153" s="125">
        <f>VLOOKUP(Table26[Function], Table1[], 5, FALSE)</f>
        <v>0.50866365397030333</v>
      </c>
      <c r="G153" s="19" t="s">
        <v>141</v>
      </c>
      <c r="H153" s="318" t="s">
        <v>36</v>
      </c>
      <c r="I153" s="122" t="s">
        <v>63</v>
      </c>
      <c r="J153" s="131">
        <f t="shared" si="9"/>
        <v>0.1111111111111111</v>
      </c>
      <c r="K153" s="125">
        <f>Table26[[#This Row],[λ]]*Table26[[#This Row],[Failure rate distribution]]</f>
        <v>5.6518183774478148E-2</v>
      </c>
      <c r="L153" s="318" t="s">
        <v>63</v>
      </c>
      <c r="M153" s="20" t="str">
        <f>VLOOKUP(Table26[[#This Row],[Applicable Safety mechanism]],Table3[],2,FALSE)</f>
        <v>Not applicable</v>
      </c>
      <c r="N153" s="21" t="str">
        <f>VLOOKUP(Table26[[#This Row],[Applicable Safety mechanism]], Table3[], 3,FALSE)</f>
        <v>-</v>
      </c>
      <c r="O153" s="16">
        <f>VLOOKUP(Table26[[#This Row],[Applicable Safety mechanism]], Table3[], 6,FALSE)</f>
        <v>0</v>
      </c>
      <c r="P153" s="126">
        <f>IF(Table26[[#This Row],[Failure mode that has the potential to violate the safety goal in absence of safety mechanism?]]="Yes", Table26[[#This Row],[Failure mode rate]]*(1-Table26[[#This Row],[Failure mode coverage wrt. violation of safety goals]]), 0)</f>
        <v>0</v>
      </c>
      <c r="Q153" s="320" t="s">
        <v>36</v>
      </c>
      <c r="R153" s="68"/>
      <c r="S153" s="318"/>
      <c r="T153" s="170"/>
      <c r="U153" s="16"/>
      <c r="V153" s="125">
        <f>IF(Table26[[#This Row],[Failure mode that may lead to the violation of safety goals in combination with an independent failure of another block ?]]="Yes",(1-Table26[[#This Row],[Failure mode coverage with respect to latent failures]])*Table26[[#This Row],[Failure mode rate]], 0)</f>
        <v>0</v>
      </c>
      <c r="W153" s="123"/>
      <c r="X153" s="339"/>
      <c r="Y153" s="21">
        <f>IF(Table26[[#This Row],[SR]]="Yes",Table26[[#This Row],[λ]], 0)</f>
        <v>0</v>
      </c>
    </row>
    <row r="154" spans="1:25" outlineLevel="1">
      <c r="A154" s="128" t="s">
        <v>986</v>
      </c>
      <c r="B154" s="34" t="s">
        <v>418</v>
      </c>
      <c r="C154" s="123" t="s">
        <v>155</v>
      </c>
      <c r="D154" s="123"/>
      <c r="E154" s="123"/>
      <c r="F154" s="125">
        <f>VLOOKUP(Table26[Function], Table1[], 5, FALSE)</f>
        <v>0.50866365397030333</v>
      </c>
      <c r="G154" s="19" t="s">
        <v>142</v>
      </c>
      <c r="H154" s="318" t="s">
        <v>36</v>
      </c>
      <c r="I154" s="122" t="s">
        <v>63</v>
      </c>
      <c r="J154" s="131">
        <f t="shared" si="9"/>
        <v>0.1111111111111111</v>
      </c>
      <c r="K154" s="125">
        <f>Table26[[#This Row],[λ]]*Table26[[#This Row],[Failure rate distribution]]</f>
        <v>5.6518183774478148E-2</v>
      </c>
      <c r="L154" s="318" t="s">
        <v>63</v>
      </c>
      <c r="M154" s="20" t="str">
        <f>VLOOKUP(Table26[[#This Row],[Applicable Safety mechanism]],Table3[],2,FALSE)</f>
        <v>Not applicable</v>
      </c>
      <c r="N154" s="21" t="str">
        <f>VLOOKUP(Table26[[#This Row],[Applicable Safety mechanism]], Table3[], 3,FALSE)</f>
        <v>-</v>
      </c>
      <c r="O154" s="16">
        <f>VLOOKUP(Table26[[#This Row],[Applicable Safety mechanism]], Table3[], 6,FALSE)</f>
        <v>0</v>
      </c>
      <c r="P154" s="126">
        <f>IF(Table26[[#This Row],[Failure mode that has the potential to violate the safety goal in absence of safety mechanism?]]="Yes", Table26[[#This Row],[Failure mode rate]]*(1-Table26[[#This Row],[Failure mode coverage wrt. violation of safety goals]]), 0)</f>
        <v>0</v>
      </c>
      <c r="Q154" s="320" t="s">
        <v>36</v>
      </c>
      <c r="R154" s="68"/>
      <c r="S154" s="318"/>
      <c r="T154" s="170"/>
      <c r="U154" s="16"/>
      <c r="V154" s="125">
        <f>IF(Table26[[#This Row],[Failure mode that may lead to the violation of safety goals in combination with an independent failure of another block ?]]="Yes",(1-Table26[[#This Row],[Failure mode coverage with respect to latent failures]])*Table26[[#This Row],[Failure mode rate]], 0)</f>
        <v>0</v>
      </c>
      <c r="W154" s="123"/>
      <c r="X154" s="339"/>
      <c r="Y154" s="21">
        <f>IF(Table26[[#This Row],[SR]]="Yes",Table26[[#This Row],[λ]], 0)</f>
        <v>0</v>
      </c>
    </row>
    <row r="155" spans="1:25" ht="28.8" outlineLevel="1">
      <c r="A155" s="18" t="s">
        <v>987</v>
      </c>
      <c r="B155" s="34" t="s">
        <v>418</v>
      </c>
      <c r="C155" s="123" t="s">
        <v>155</v>
      </c>
      <c r="D155" s="123"/>
      <c r="E155" s="123"/>
      <c r="F155" s="125">
        <f>VLOOKUP(Table26[Function], Table1[], 5, FALSE)</f>
        <v>0.50866365397030333</v>
      </c>
      <c r="G155" s="19" t="s">
        <v>355</v>
      </c>
      <c r="H155" s="318" t="s">
        <v>36</v>
      </c>
      <c r="I155" s="122" t="s">
        <v>63</v>
      </c>
      <c r="J155" s="131">
        <f t="shared" si="9"/>
        <v>0.1111111111111111</v>
      </c>
      <c r="K155" s="125">
        <f>Table26[[#This Row],[λ]]*Table26[[#This Row],[Failure rate distribution]]</f>
        <v>5.6518183774478148E-2</v>
      </c>
      <c r="L155" s="318" t="s">
        <v>63</v>
      </c>
      <c r="M155" s="20" t="str">
        <f>VLOOKUP(Table26[[#This Row],[Applicable Safety mechanism]],Table3[],2,FALSE)</f>
        <v>Not applicable</v>
      </c>
      <c r="N155" s="21" t="str">
        <f>VLOOKUP(Table26[[#This Row],[Applicable Safety mechanism]], Table3[], 3,FALSE)</f>
        <v>-</v>
      </c>
      <c r="O155" s="16">
        <f>VLOOKUP(Table26[[#This Row],[Applicable Safety mechanism]], Table3[], 6,FALSE)</f>
        <v>0</v>
      </c>
      <c r="P155" s="126">
        <f>IF(Table26[[#This Row],[Failure mode that has the potential to violate the safety goal in absence of safety mechanism?]]="Yes", Table26[[#This Row],[Failure mode rate]]*(1-Table26[[#This Row],[Failure mode coverage wrt. violation of safety goals]]), 0)</f>
        <v>0</v>
      </c>
      <c r="Q155" s="320" t="s">
        <v>36</v>
      </c>
      <c r="R155" s="68"/>
      <c r="S155" s="318"/>
      <c r="T155" s="170"/>
      <c r="U155" s="16"/>
      <c r="V155" s="125">
        <f>IF(Table26[[#This Row],[Failure mode that may lead to the violation of safety goals in combination with an independent failure of another block ?]]="Yes",(1-Table26[[#This Row],[Failure mode coverage with respect to latent failures]])*Table26[[#This Row],[Failure mode rate]], 0)</f>
        <v>0</v>
      </c>
      <c r="W155" s="123"/>
      <c r="X155" s="339"/>
      <c r="Y155" s="21">
        <f>IF(Table26[[#This Row],[SR]]="Yes",Table26[[#This Row],[λ]], 0)</f>
        <v>0</v>
      </c>
    </row>
    <row r="156" spans="1:25" outlineLevel="1">
      <c r="A156" s="128" t="s">
        <v>988</v>
      </c>
      <c r="B156" s="34" t="s">
        <v>418</v>
      </c>
      <c r="C156" s="123" t="s">
        <v>155</v>
      </c>
      <c r="D156" s="123"/>
      <c r="E156" s="123"/>
      <c r="F156" s="125">
        <f>VLOOKUP(Table26[Function], Table1[], 5, FALSE)</f>
        <v>0.50866365397030333</v>
      </c>
      <c r="G156" s="129" t="s">
        <v>345</v>
      </c>
      <c r="H156" s="318" t="s">
        <v>36</v>
      </c>
      <c r="I156" s="122" t="s">
        <v>63</v>
      </c>
      <c r="J156" s="131">
        <f t="shared" si="9"/>
        <v>0.1111111111111111</v>
      </c>
      <c r="K156" s="125">
        <f>Table26[[#This Row],[λ]]*Table26[[#This Row],[Failure rate distribution]]</f>
        <v>5.6518183774478148E-2</v>
      </c>
      <c r="L156" s="318" t="s">
        <v>63</v>
      </c>
      <c r="M156" s="20" t="str">
        <f>VLOOKUP(Table26[[#This Row],[Applicable Safety mechanism]],Table3[],2,FALSE)</f>
        <v>Not applicable</v>
      </c>
      <c r="N156" s="21" t="str">
        <f>VLOOKUP(Table26[[#This Row],[Applicable Safety mechanism]], Table3[], 3,FALSE)</f>
        <v>-</v>
      </c>
      <c r="O156" s="16">
        <f>VLOOKUP(Table26[[#This Row],[Applicable Safety mechanism]], Table3[], 6,FALSE)</f>
        <v>0</v>
      </c>
      <c r="P156" s="126">
        <f>IF(Table26[[#This Row],[Failure mode that has the potential to violate the safety goal in absence of safety mechanism?]]="Yes", Table26[[#This Row],[Failure mode rate]]*(1-Table26[[#This Row],[Failure mode coverage wrt. violation of safety goals]]), 0)</f>
        <v>0</v>
      </c>
      <c r="Q156" s="320" t="s">
        <v>36</v>
      </c>
      <c r="R156" s="68"/>
      <c r="S156" s="318"/>
      <c r="T156" s="170"/>
      <c r="U156" s="16"/>
      <c r="V156" s="125">
        <f>IF(Table26[[#This Row],[Failure mode that may lead to the violation of safety goals in combination with an independent failure of another block ?]]="Yes",(1-Table26[[#This Row],[Failure mode coverage with respect to latent failures]])*Table26[[#This Row],[Failure mode rate]], 0)</f>
        <v>0</v>
      </c>
      <c r="W156" s="123"/>
      <c r="X156" s="339"/>
      <c r="Y156" s="21">
        <f>IF(Table26[[#This Row],[SR]]="Yes",Table26[[#This Row],[λ]], 0)</f>
        <v>0</v>
      </c>
    </row>
    <row r="157" spans="1:25" ht="28.8">
      <c r="A157" s="18" t="s">
        <v>989</v>
      </c>
      <c r="B157" s="130" t="s">
        <v>418</v>
      </c>
      <c r="C157" s="130" t="s">
        <v>155</v>
      </c>
      <c r="D157" s="122" t="s">
        <v>63</v>
      </c>
      <c r="E157" s="122"/>
      <c r="F157" s="125">
        <f>VLOOKUP(Table26[Function], Table1[], 5, FALSE)</f>
        <v>0.50866365397030333</v>
      </c>
      <c r="G157" s="122" t="s">
        <v>63</v>
      </c>
      <c r="H157" s="318" t="s">
        <v>63</v>
      </c>
      <c r="I157" s="122" t="s">
        <v>63</v>
      </c>
      <c r="J157" s="122" t="s">
        <v>63</v>
      </c>
      <c r="K157" s="125" t="s">
        <v>63</v>
      </c>
      <c r="L157" s="318" t="s">
        <v>63</v>
      </c>
      <c r="M157" s="122" t="s">
        <v>63</v>
      </c>
      <c r="N157" s="122" t="s">
        <v>63</v>
      </c>
      <c r="O157" s="122" t="s">
        <v>63</v>
      </c>
      <c r="P157" s="122" t="s">
        <v>63</v>
      </c>
      <c r="Q157" s="318" t="s">
        <v>63</v>
      </c>
      <c r="R157" s="122"/>
      <c r="S157" s="318"/>
      <c r="T157" s="170"/>
      <c r="U157" s="122"/>
      <c r="V157" s="122"/>
      <c r="W157" s="122"/>
      <c r="X157" s="339"/>
      <c r="Y157" s="21"/>
    </row>
    <row r="158" spans="1:25" ht="72" outlineLevel="1">
      <c r="A158" s="128" t="s">
        <v>990</v>
      </c>
      <c r="B158" s="34" t="s">
        <v>527</v>
      </c>
      <c r="C158" s="123" t="s">
        <v>531</v>
      </c>
      <c r="D158" s="123" t="s">
        <v>529</v>
      </c>
      <c r="E158" s="123" t="s">
        <v>216</v>
      </c>
      <c r="F158" s="125">
        <f>VLOOKUP(Table26[Function], Table1[], 5, FALSE)</f>
        <v>0.65053582956746281</v>
      </c>
      <c r="G158" s="19" t="s">
        <v>147</v>
      </c>
      <c r="H158" s="320" t="s">
        <v>36</v>
      </c>
      <c r="I158" s="169" t="s">
        <v>63</v>
      </c>
      <c r="J158" s="131">
        <f>1/9</f>
        <v>0.1111111111111111</v>
      </c>
      <c r="K158" s="125">
        <f>Table26[[#This Row],[λ]]*Table26[[#This Row],[Failure rate distribution]]</f>
        <v>7.2281758840829199E-2</v>
      </c>
      <c r="L158" s="318" t="s">
        <v>63</v>
      </c>
      <c r="M158" s="20" t="str">
        <f>VLOOKUP(Table26[[#This Row],[Applicable Safety mechanism]],Table3[],2,FALSE)</f>
        <v>Not applicable</v>
      </c>
      <c r="N158" s="21" t="str">
        <f>VLOOKUP(Table26[[#This Row],[Applicable Safety mechanism]], Table3[], 3,FALSE)</f>
        <v>-</v>
      </c>
      <c r="O158" s="16">
        <f>VLOOKUP(Table26[[#This Row],[Applicable Safety mechanism]], Table3[], 6,FALSE)</f>
        <v>0</v>
      </c>
      <c r="P158" s="126">
        <f>IF(Table26[[#This Row],[Failure mode that has the potential to violate the safety goal in absence of safety mechanism?]]="Yes", Table26[[#This Row],[Failure mode rate]]*(1-Table26[[#This Row],[Failure mode coverage wrt. violation of safety goals]]), 0)</f>
        <v>0</v>
      </c>
      <c r="Q158" s="320" t="s">
        <v>36</v>
      </c>
      <c r="R158" s="25"/>
      <c r="S158" s="332"/>
      <c r="T158" s="171"/>
      <c r="U158" s="16"/>
      <c r="V158" s="16"/>
      <c r="W158" s="16"/>
      <c r="X158" s="332" t="str">
        <f>'Safety Mechanisms'!E13</f>
        <v>Yes</v>
      </c>
      <c r="Y158" s="125">
        <f>IF(Table26[[#This Row],[SR]]="Yes",Table26[[#This Row],[λ]], 0)</f>
        <v>0.65053582956746281</v>
      </c>
    </row>
    <row r="159" spans="1:25" outlineLevel="1">
      <c r="A159" s="18" t="s">
        <v>991</v>
      </c>
      <c r="B159" s="123" t="s">
        <v>527</v>
      </c>
      <c r="C159" s="123" t="s">
        <v>531</v>
      </c>
      <c r="D159" s="123"/>
      <c r="E159" s="123"/>
      <c r="F159" s="125">
        <f>VLOOKUP(Table26[Function], Table1[], 5, FALSE)</f>
        <v>0.65053582956746281</v>
      </c>
      <c r="G159" s="19" t="s">
        <v>148</v>
      </c>
      <c r="H159" s="320" t="s">
        <v>36</v>
      </c>
      <c r="I159" s="169" t="s">
        <v>63</v>
      </c>
      <c r="J159" s="131">
        <f t="shared" ref="J159:J166" si="10">1/9</f>
        <v>0.1111111111111111</v>
      </c>
      <c r="K159" s="125">
        <f>Table26[[#This Row],[λ]]*Table26[[#This Row],[Failure rate distribution]]</f>
        <v>7.2281758840829199E-2</v>
      </c>
      <c r="L159" s="318" t="s">
        <v>63</v>
      </c>
      <c r="M159" s="20" t="str">
        <f>VLOOKUP(Table26[[#This Row],[Applicable Safety mechanism]],Table3[],2,FALSE)</f>
        <v>Not applicable</v>
      </c>
      <c r="N159" s="21" t="str">
        <f>VLOOKUP(Table26[[#This Row],[Applicable Safety mechanism]], Table3[], 3,FALSE)</f>
        <v>-</v>
      </c>
      <c r="O159" s="16">
        <f>VLOOKUP(Table26[[#This Row],[Applicable Safety mechanism]], Table3[], 6,FALSE)</f>
        <v>0</v>
      </c>
      <c r="P159" s="126">
        <f>IF(Table26[[#This Row],[Failure mode that has the potential to violate the safety goal in absence of safety mechanism?]]="Yes", Table26[[#This Row],[Failure mode rate]]*(1-Table26[[#This Row],[Failure mode coverage wrt. violation of safety goals]]), 0)</f>
        <v>0</v>
      </c>
      <c r="Q159" s="320" t="s">
        <v>36</v>
      </c>
      <c r="R159" s="25"/>
      <c r="S159" s="332"/>
      <c r="T159" s="171"/>
      <c r="U159" s="16"/>
      <c r="V159" s="16"/>
      <c r="W159" s="123"/>
      <c r="X159" s="339"/>
      <c r="Y159" s="21">
        <f>IF(Table26[[#This Row],[SR]]="Yes",Table26[[#This Row],[λ]], 0)</f>
        <v>0</v>
      </c>
    </row>
    <row r="160" spans="1:25" outlineLevel="1">
      <c r="A160" s="128" t="s">
        <v>992</v>
      </c>
      <c r="B160" s="123" t="s">
        <v>527</v>
      </c>
      <c r="C160" s="123" t="s">
        <v>531</v>
      </c>
      <c r="D160" s="123"/>
      <c r="E160" s="123"/>
      <c r="F160" s="125">
        <f>VLOOKUP(Table26[Function], Table1[], 5, FALSE)</f>
        <v>0.65053582956746281</v>
      </c>
      <c r="G160" s="19" t="s">
        <v>149</v>
      </c>
      <c r="H160" s="320" t="s">
        <v>36</v>
      </c>
      <c r="I160" s="169" t="s">
        <v>63</v>
      </c>
      <c r="J160" s="131">
        <f t="shared" si="10"/>
        <v>0.1111111111111111</v>
      </c>
      <c r="K160" s="125">
        <f>Table26[[#This Row],[λ]]*Table26[[#This Row],[Failure rate distribution]]</f>
        <v>7.2281758840829199E-2</v>
      </c>
      <c r="L160" s="318" t="s">
        <v>63</v>
      </c>
      <c r="M160" s="20" t="str">
        <f>VLOOKUP(Table26[[#This Row],[Applicable Safety mechanism]],Table3[],2,FALSE)</f>
        <v>Not applicable</v>
      </c>
      <c r="N160" s="21" t="str">
        <f>VLOOKUP(Table26[[#This Row],[Applicable Safety mechanism]], Table3[], 3,FALSE)</f>
        <v>-</v>
      </c>
      <c r="O160" s="16">
        <f>VLOOKUP(Table26[[#This Row],[Applicable Safety mechanism]], Table3[], 6,FALSE)</f>
        <v>0</v>
      </c>
      <c r="P160" s="126">
        <f>IF(Table26[[#This Row],[Failure mode that has the potential to violate the safety goal in absence of safety mechanism?]]="Yes", Table26[[#This Row],[Failure mode rate]]*(1-Table26[[#This Row],[Failure mode coverage wrt. violation of safety goals]]), 0)</f>
        <v>0</v>
      </c>
      <c r="Q160" s="320" t="s">
        <v>36</v>
      </c>
      <c r="R160" s="234"/>
      <c r="S160" s="332"/>
      <c r="T160" s="16"/>
      <c r="U160" s="16"/>
      <c r="V160" s="16"/>
      <c r="W160" s="123"/>
      <c r="X160" s="339"/>
      <c r="Y160" s="21">
        <f>IF(Table26[[#This Row],[SR]]="Yes",Table26[[#This Row],[λ]], 0)</f>
        <v>0</v>
      </c>
    </row>
    <row r="161" spans="1:25" outlineLevel="1">
      <c r="A161" s="18" t="s">
        <v>993</v>
      </c>
      <c r="B161" s="123" t="s">
        <v>527</v>
      </c>
      <c r="C161" s="123" t="s">
        <v>531</v>
      </c>
      <c r="D161" s="123"/>
      <c r="E161" s="123"/>
      <c r="F161" s="125">
        <f>VLOOKUP(Table26[Function], Table1[], 5, FALSE)</f>
        <v>0.65053582956746281</v>
      </c>
      <c r="G161" s="19" t="s">
        <v>150</v>
      </c>
      <c r="H161" s="320" t="s">
        <v>36</v>
      </c>
      <c r="I161" s="169" t="s">
        <v>63</v>
      </c>
      <c r="J161" s="131">
        <f t="shared" si="10"/>
        <v>0.1111111111111111</v>
      </c>
      <c r="K161" s="125">
        <f>Table26[[#This Row],[λ]]*Table26[[#This Row],[Failure rate distribution]]</f>
        <v>7.2281758840829199E-2</v>
      </c>
      <c r="L161" s="318" t="s">
        <v>63</v>
      </c>
      <c r="M161" s="20" t="str">
        <f>VLOOKUP(Table26[[#This Row],[Applicable Safety mechanism]],Table3[],2,FALSE)</f>
        <v>Not applicable</v>
      </c>
      <c r="N161" s="21" t="str">
        <f>VLOOKUP(Table26[[#This Row],[Applicable Safety mechanism]], Table3[], 3,FALSE)</f>
        <v>-</v>
      </c>
      <c r="O161" s="16">
        <f>VLOOKUP(Table26[[#This Row],[Applicable Safety mechanism]], Table3[], 6,FALSE)</f>
        <v>0</v>
      </c>
      <c r="P161" s="126">
        <f>IF(Table26[[#This Row],[Failure mode that has the potential to violate the safety goal in absence of safety mechanism?]]="Yes", Table26[[#This Row],[Failure mode rate]]*(1-Table26[[#This Row],[Failure mode coverage wrt. violation of safety goals]]), 0)</f>
        <v>0</v>
      </c>
      <c r="Q161" s="320" t="s">
        <v>36</v>
      </c>
      <c r="R161" s="234"/>
      <c r="S161" s="332"/>
      <c r="T161" s="16"/>
      <c r="U161" s="16"/>
      <c r="V161" s="16"/>
      <c r="W161" s="123"/>
      <c r="X161" s="339"/>
      <c r="Y161" s="21">
        <f>IF(Table26[[#This Row],[SR]]="Yes",Table26[[#This Row],[λ]], 0)</f>
        <v>0</v>
      </c>
    </row>
    <row r="162" spans="1:25" outlineLevel="1">
      <c r="A162" s="128" t="s">
        <v>994</v>
      </c>
      <c r="B162" s="123" t="s">
        <v>527</v>
      </c>
      <c r="C162" s="123" t="s">
        <v>531</v>
      </c>
      <c r="D162" s="123"/>
      <c r="E162" s="123"/>
      <c r="F162" s="125">
        <f>VLOOKUP(Table26[Function], Table1[], 5, FALSE)</f>
        <v>0.65053582956746281</v>
      </c>
      <c r="G162" s="19" t="s">
        <v>151</v>
      </c>
      <c r="H162" s="320" t="s">
        <v>36</v>
      </c>
      <c r="I162" s="169" t="s">
        <v>63</v>
      </c>
      <c r="J162" s="131">
        <f t="shared" si="10"/>
        <v>0.1111111111111111</v>
      </c>
      <c r="K162" s="125">
        <f>Table26[[#This Row],[λ]]*Table26[[#This Row],[Failure rate distribution]]</f>
        <v>7.2281758840829199E-2</v>
      </c>
      <c r="L162" s="318" t="s">
        <v>63</v>
      </c>
      <c r="M162" s="20" t="str">
        <f>VLOOKUP(Table26[[#This Row],[Applicable Safety mechanism]],Table3[],2,FALSE)</f>
        <v>Not applicable</v>
      </c>
      <c r="N162" s="21" t="str">
        <f>VLOOKUP(Table26[[#This Row],[Applicable Safety mechanism]], Table3[], 3,FALSE)</f>
        <v>-</v>
      </c>
      <c r="O162" s="16">
        <f>VLOOKUP(Table26[[#This Row],[Applicable Safety mechanism]], Table3[], 6,FALSE)</f>
        <v>0</v>
      </c>
      <c r="P162" s="126">
        <f>IF(Table26[[#This Row],[Failure mode that has the potential to violate the safety goal in absence of safety mechanism?]]="Yes", Table26[[#This Row],[Failure mode rate]]*(1-Table26[[#This Row],[Failure mode coverage wrt. violation of safety goals]]), 0)</f>
        <v>0</v>
      </c>
      <c r="Q162" s="320" t="s">
        <v>36</v>
      </c>
      <c r="R162" s="234"/>
      <c r="S162" s="332"/>
      <c r="T162" s="16"/>
      <c r="U162" s="16"/>
      <c r="V162" s="16"/>
      <c r="W162" s="16"/>
      <c r="X162" s="339"/>
      <c r="Y162" s="21">
        <f>IF(Table26[[#This Row],[SR]]="Yes",Table26[[#This Row],[λ]], 0)</f>
        <v>0</v>
      </c>
    </row>
    <row r="163" spans="1:25" outlineLevel="1">
      <c r="A163" s="18" t="s">
        <v>995</v>
      </c>
      <c r="B163" s="123" t="s">
        <v>527</v>
      </c>
      <c r="C163" s="123" t="s">
        <v>531</v>
      </c>
      <c r="D163" s="123"/>
      <c r="E163" s="123"/>
      <c r="F163" s="125">
        <f>VLOOKUP(Table26[Function], Table1[], 5, FALSE)</f>
        <v>0.65053582956746281</v>
      </c>
      <c r="G163" s="19" t="s">
        <v>152</v>
      </c>
      <c r="H163" s="320" t="s">
        <v>36</v>
      </c>
      <c r="I163" s="169" t="s">
        <v>63</v>
      </c>
      <c r="J163" s="131">
        <f t="shared" si="10"/>
        <v>0.1111111111111111</v>
      </c>
      <c r="K163" s="125">
        <f>Table26[[#This Row],[λ]]*Table26[[#This Row],[Failure rate distribution]]</f>
        <v>7.2281758840829199E-2</v>
      </c>
      <c r="L163" s="318" t="s">
        <v>63</v>
      </c>
      <c r="M163" s="20" t="str">
        <f>VLOOKUP(Table26[[#This Row],[Applicable Safety mechanism]],Table3[],2,FALSE)</f>
        <v>Not applicable</v>
      </c>
      <c r="N163" s="21" t="str">
        <f>VLOOKUP(Table26[[#This Row],[Applicable Safety mechanism]], Table3[], 3,FALSE)</f>
        <v>-</v>
      </c>
      <c r="O163" s="16">
        <f>VLOOKUP(Table26[[#This Row],[Applicable Safety mechanism]], Table3[], 6,FALSE)</f>
        <v>0</v>
      </c>
      <c r="P163" s="126">
        <f>IF(Table26[[#This Row],[Failure mode that has the potential to violate the safety goal in absence of safety mechanism?]]="Yes", Table26[[#This Row],[Failure mode rate]]*(1-Table26[[#This Row],[Failure mode coverage wrt. violation of safety goals]]), 0)</f>
        <v>0</v>
      </c>
      <c r="Q163" s="320" t="s">
        <v>36</v>
      </c>
      <c r="R163" s="234"/>
      <c r="S163" s="332"/>
      <c r="T163" s="16"/>
      <c r="U163" s="16"/>
      <c r="V163" s="16"/>
      <c r="W163" s="123"/>
      <c r="X163" s="339"/>
      <c r="Y163" s="21">
        <f>IF(Table26[[#This Row],[SR]]="Yes",Table26[[#This Row],[λ]], 0)</f>
        <v>0</v>
      </c>
    </row>
    <row r="164" spans="1:25" outlineLevel="1">
      <c r="A164" s="128" t="s">
        <v>996</v>
      </c>
      <c r="B164" s="123" t="s">
        <v>527</v>
      </c>
      <c r="C164" s="123" t="s">
        <v>531</v>
      </c>
      <c r="D164" s="123"/>
      <c r="E164" s="123"/>
      <c r="F164" s="125">
        <f>VLOOKUP(Table26[Function], Table1[], 5, FALSE)</f>
        <v>0.65053582956746281</v>
      </c>
      <c r="G164" s="33" t="s">
        <v>153</v>
      </c>
      <c r="H164" s="320" t="s">
        <v>36</v>
      </c>
      <c r="I164" s="169" t="s">
        <v>63</v>
      </c>
      <c r="J164" s="131">
        <f t="shared" si="10"/>
        <v>0.1111111111111111</v>
      </c>
      <c r="K164" s="125">
        <f>Table26[[#This Row],[λ]]*Table26[[#This Row],[Failure rate distribution]]</f>
        <v>7.2281758840829199E-2</v>
      </c>
      <c r="L164" s="318" t="s">
        <v>63</v>
      </c>
      <c r="M164" s="20" t="str">
        <f>VLOOKUP(Table26[[#This Row],[Applicable Safety mechanism]],Table3[],2,FALSE)</f>
        <v>Not applicable</v>
      </c>
      <c r="N164" s="21" t="str">
        <f>VLOOKUP(Table26[[#This Row],[Applicable Safety mechanism]], Table3[], 3,FALSE)</f>
        <v>-</v>
      </c>
      <c r="O164" s="16">
        <f>VLOOKUP(Table26[[#This Row],[Applicable Safety mechanism]], Table3[], 6,FALSE)</f>
        <v>0</v>
      </c>
      <c r="P164" s="126">
        <f>IF(Table26[[#This Row],[Failure mode that has the potential to violate the safety goal in absence of safety mechanism?]]="Yes", Table26[[#This Row],[Failure mode rate]]*(1-Table26[[#This Row],[Failure mode coverage wrt. violation of safety goals]]), 0)</f>
        <v>0</v>
      </c>
      <c r="Q164" s="320" t="s">
        <v>36</v>
      </c>
      <c r="R164" s="234"/>
      <c r="S164" s="332"/>
      <c r="T164" s="16"/>
      <c r="U164" s="16"/>
      <c r="V164" s="16"/>
      <c r="W164" s="123"/>
      <c r="X164" s="339"/>
      <c r="Y164" s="21">
        <f>IF(Table26[[#This Row],[SR]]="Yes",Table26[[#This Row],[λ]], 0)</f>
        <v>0</v>
      </c>
    </row>
    <row r="165" spans="1:25" outlineLevel="1">
      <c r="A165" s="18" t="s">
        <v>997</v>
      </c>
      <c r="B165" s="123" t="s">
        <v>527</v>
      </c>
      <c r="C165" s="123" t="s">
        <v>531</v>
      </c>
      <c r="D165" s="123"/>
      <c r="E165" s="123"/>
      <c r="F165" s="125">
        <f>VLOOKUP(Table26[Function], Table1[], 5, FALSE)</f>
        <v>0.65053582956746281</v>
      </c>
      <c r="G165" s="19" t="s">
        <v>154</v>
      </c>
      <c r="H165" s="320" t="s">
        <v>36</v>
      </c>
      <c r="I165" s="169" t="s">
        <v>63</v>
      </c>
      <c r="J165" s="131">
        <f t="shared" si="10"/>
        <v>0.1111111111111111</v>
      </c>
      <c r="K165" s="125">
        <f>Table26[[#This Row],[λ]]*Table26[[#This Row],[Failure rate distribution]]</f>
        <v>7.2281758840829199E-2</v>
      </c>
      <c r="L165" s="318" t="s">
        <v>63</v>
      </c>
      <c r="M165" s="20" t="str">
        <f>VLOOKUP(Table26[[#This Row],[Applicable Safety mechanism]],Table3[],2,FALSE)</f>
        <v>Not applicable</v>
      </c>
      <c r="N165" s="21" t="str">
        <f>VLOOKUP(Table26[[#This Row],[Applicable Safety mechanism]], Table3[], 3,FALSE)</f>
        <v>-</v>
      </c>
      <c r="O165" s="16">
        <f>VLOOKUP(Table26[[#This Row],[Applicable Safety mechanism]], Table3[], 6,FALSE)</f>
        <v>0</v>
      </c>
      <c r="P165" s="126">
        <f>IF(Table26[[#This Row],[Failure mode that has the potential to violate the safety goal in absence of safety mechanism?]]="Yes", Table26[[#This Row],[Failure mode rate]]*(1-Table26[[#This Row],[Failure mode coverage wrt. violation of safety goals]]), 0)</f>
        <v>0</v>
      </c>
      <c r="Q165" s="320" t="s">
        <v>36</v>
      </c>
      <c r="R165" s="234"/>
      <c r="S165" s="332"/>
      <c r="T165" s="16"/>
      <c r="U165" s="16"/>
      <c r="V165" s="16"/>
      <c r="W165" s="123"/>
      <c r="X165" s="339"/>
      <c r="Y165" s="21">
        <f>IF(Table26[[#This Row],[SR]]="Yes",Table26[[#This Row],[λ]], 0)</f>
        <v>0</v>
      </c>
    </row>
    <row r="166" spans="1:25" outlineLevel="1">
      <c r="A166" s="128" t="s">
        <v>998</v>
      </c>
      <c r="B166" s="123" t="s">
        <v>527</v>
      </c>
      <c r="C166" s="123" t="s">
        <v>531</v>
      </c>
      <c r="D166" s="123"/>
      <c r="E166" s="123"/>
      <c r="F166" s="125">
        <f>VLOOKUP(Table26[Function], Table1[], 5, FALSE)</f>
        <v>0.65053582956746281</v>
      </c>
      <c r="G166" s="129" t="s">
        <v>345</v>
      </c>
      <c r="H166" s="320" t="s">
        <v>36</v>
      </c>
      <c r="I166" s="169" t="s">
        <v>63</v>
      </c>
      <c r="J166" s="131">
        <f t="shared" si="10"/>
        <v>0.1111111111111111</v>
      </c>
      <c r="K166" s="125">
        <f>Table26[[#This Row],[λ]]*Table26[[#This Row],[Failure rate distribution]]</f>
        <v>7.2281758840829199E-2</v>
      </c>
      <c r="L166" s="318" t="s">
        <v>63</v>
      </c>
      <c r="M166" s="20" t="str">
        <f>VLOOKUP(Table26[[#This Row],[Applicable Safety mechanism]],Table3[],2,FALSE)</f>
        <v>Not applicable</v>
      </c>
      <c r="N166" s="21" t="str">
        <f>VLOOKUP(Table26[[#This Row],[Applicable Safety mechanism]], Table3[], 3,FALSE)</f>
        <v>-</v>
      </c>
      <c r="O166" s="16">
        <f>VLOOKUP(Table26[[#This Row],[Applicable Safety mechanism]], Table3[], 6,FALSE)</f>
        <v>0</v>
      </c>
      <c r="P166" s="126">
        <f>IF(Table26[[#This Row],[Failure mode that has the potential to violate the safety goal in absence of safety mechanism?]]="Yes", Table26[[#This Row],[Failure mode rate]]*(1-Table26[[#This Row],[Failure mode coverage wrt. violation of safety goals]]), 0)</f>
        <v>0</v>
      </c>
      <c r="Q166" s="320" t="s">
        <v>36</v>
      </c>
      <c r="R166" s="234"/>
      <c r="S166" s="332"/>
      <c r="T166" s="16"/>
      <c r="U166" s="16"/>
      <c r="V166" s="16"/>
      <c r="W166" s="123"/>
      <c r="X166" s="339"/>
      <c r="Y166" s="21">
        <f>IF(Table26[[#This Row],[SR]]="Yes",Table26[[#This Row],[λ]], 0)</f>
        <v>0</v>
      </c>
    </row>
    <row r="167" spans="1:25" ht="28.8">
      <c r="A167" s="18" t="s">
        <v>999</v>
      </c>
      <c r="B167" s="130" t="s">
        <v>527</v>
      </c>
      <c r="C167" s="130" t="s">
        <v>531</v>
      </c>
      <c r="D167" s="122" t="s">
        <v>63</v>
      </c>
      <c r="E167" s="122"/>
      <c r="F167" s="125">
        <f>VLOOKUP(Table26[Function], Table1[], 5, FALSE)</f>
        <v>0.65053582956746281</v>
      </c>
      <c r="G167" s="122" t="s">
        <v>63</v>
      </c>
      <c r="H167" s="318" t="s">
        <v>63</v>
      </c>
      <c r="I167" s="122" t="s">
        <v>63</v>
      </c>
      <c r="J167" s="122" t="s">
        <v>63</v>
      </c>
      <c r="K167" s="122" t="s">
        <v>63</v>
      </c>
      <c r="L167" s="318" t="s">
        <v>63</v>
      </c>
      <c r="M167" s="122" t="s">
        <v>63</v>
      </c>
      <c r="N167" s="122" t="s">
        <v>63</v>
      </c>
      <c r="O167" s="122" t="s">
        <v>63</v>
      </c>
      <c r="P167" s="122" t="s">
        <v>63</v>
      </c>
      <c r="Q167" s="318" t="s">
        <v>63</v>
      </c>
      <c r="R167" s="122"/>
      <c r="S167" s="318"/>
      <c r="T167" s="170"/>
      <c r="U167" s="122"/>
      <c r="V167" s="122"/>
      <c r="W167" s="122"/>
      <c r="X167" s="339"/>
      <c r="Y167" s="21"/>
    </row>
    <row r="168" spans="1:25" ht="28.8" outlineLevel="2">
      <c r="A168" s="128" t="s">
        <v>1000</v>
      </c>
      <c r="B168" s="123" t="s">
        <v>474</v>
      </c>
      <c r="C168" s="123" t="s">
        <v>474</v>
      </c>
      <c r="D168" s="123" t="s">
        <v>482</v>
      </c>
      <c r="E168" s="123" t="s">
        <v>216</v>
      </c>
      <c r="F168" s="125">
        <f>VLOOKUP(Table26[Function], Table1[], 5, FALSE)</f>
        <v>0.2837443511943189</v>
      </c>
      <c r="G168" s="19" t="s">
        <v>477</v>
      </c>
      <c r="H168" s="320" t="s">
        <v>36</v>
      </c>
      <c r="I168" s="169" t="s">
        <v>63</v>
      </c>
      <c r="J168" s="124">
        <f>1/4</f>
        <v>0.25</v>
      </c>
      <c r="K168" s="125">
        <f>Table26[[#This Row],[λ]]*Table26[[#This Row],[Failure rate distribution]]</f>
        <v>7.0936087798579725E-2</v>
      </c>
      <c r="L168" s="318" t="s">
        <v>63</v>
      </c>
      <c r="M168" s="20" t="str">
        <f>VLOOKUP(Table26[[#This Row],[Applicable Safety mechanism]],Table3[],2,FALSE)</f>
        <v>Not applicable</v>
      </c>
      <c r="N168" s="21" t="str">
        <f>VLOOKUP(Table26[[#This Row],[Applicable Safety mechanism]], Table3[], 3,FALSE)</f>
        <v>-</v>
      </c>
      <c r="O168" s="16">
        <f>VLOOKUP(Table26[[#This Row],[Applicable Safety mechanism]], Table3[], 6,FALSE)</f>
        <v>0</v>
      </c>
      <c r="P168" s="126">
        <f>IF(Table26[[#This Row],[Failure mode that has the potential to violate the safety goal in absence of safety mechanism?]]="Yes", Table26[[#This Row],[Failure mode rate]]*(1-Table26[[#This Row],[Failure mode coverage wrt. violation of safety goals]]), 0)</f>
        <v>0</v>
      </c>
      <c r="Q168" s="318" t="s">
        <v>36</v>
      </c>
      <c r="R168" s="25"/>
      <c r="S168" s="332"/>
      <c r="T168" s="171"/>
      <c r="U168" s="16"/>
      <c r="V168" s="125">
        <f>IF(Table26[[#This Row],[Failure mode that may lead to the violation of safety goals in combination with an independent failure of another block ?]]="Yes",(1-Table26[[#This Row],[Failure mode coverage with respect to latent failures]])*Table26[[#This Row],[Failure mode rate]], 0)</f>
        <v>0</v>
      </c>
      <c r="W168" s="123"/>
      <c r="X168" s="339" t="s">
        <v>35</v>
      </c>
      <c r="Y168" s="125">
        <f>IF(Table26[[#This Row],[SR]]="Yes",Table26[[#This Row],[λ]], 0)</f>
        <v>0.2837443511943189</v>
      </c>
    </row>
    <row r="169" spans="1:25" outlineLevel="2">
      <c r="A169" s="18" t="s">
        <v>1001</v>
      </c>
      <c r="B169" s="123" t="s">
        <v>474</v>
      </c>
      <c r="C169" s="123" t="s">
        <v>474</v>
      </c>
      <c r="D169" s="123"/>
      <c r="E169" s="123"/>
      <c r="F169" s="125">
        <f>VLOOKUP(Table26[Function], Table1[], 5, FALSE)</f>
        <v>0.2837443511943189</v>
      </c>
      <c r="G169" s="19" t="s">
        <v>478</v>
      </c>
      <c r="H169" s="320" t="s">
        <v>36</v>
      </c>
      <c r="I169" s="169" t="s">
        <v>63</v>
      </c>
      <c r="J169" s="124">
        <f t="shared" ref="J169:J171" si="11">1/4</f>
        <v>0.25</v>
      </c>
      <c r="K169" s="125">
        <f>Table26[[#This Row],[λ]]*Table26[[#This Row],[Failure rate distribution]]</f>
        <v>7.0936087798579725E-2</v>
      </c>
      <c r="L169" s="318" t="s">
        <v>63</v>
      </c>
      <c r="M169" s="20" t="str">
        <f>VLOOKUP(Table26[[#This Row],[Applicable Safety mechanism]],Table3[],2,FALSE)</f>
        <v>Not applicable</v>
      </c>
      <c r="N169" s="21" t="str">
        <f>VLOOKUP(Table26[[#This Row],[Applicable Safety mechanism]], Table3[], 3,FALSE)</f>
        <v>-</v>
      </c>
      <c r="O169" s="16">
        <f>VLOOKUP(Table26[[#This Row],[Applicable Safety mechanism]], Table3[], 6,FALSE)</f>
        <v>0</v>
      </c>
      <c r="P169" s="126">
        <f>IF(Table26[[#This Row],[Failure mode that has the potential to violate the safety goal in absence of safety mechanism?]]="Yes", Table26[[#This Row],[Failure mode rate]]*(1-Table26[[#This Row],[Failure mode coverage wrt. violation of safety goals]]), 0)</f>
        <v>0</v>
      </c>
      <c r="Q169" s="318" t="s">
        <v>36</v>
      </c>
      <c r="R169" s="25"/>
      <c r="S169" s="332"/>
      <c r="T169" s="171"/>
      <c r="U169" s="16"/>
      <c r="V169" s="125">
        <f>IF(Table26[[#This Row],[Failure mode that may lead to the violation of safety goals in combination with an independent failure of another block ?]]="Yes",(1-Table26[[#This Row],[Failure mode coverage with respect to latent failures]])*Table26[[#This Row],[Failure mode rate]], 0)</f>
        <v>0</v>
      </c>
      <c r="W169" s="123"/>
      <c r="X169" s="339"/>
      <c r="Y169" s="21">
        <f>IF(Table26[[#This Row],[SR]]="Yes",Table26[[#This Row],[λ]], 0)</f>
        <v>0</v>
      </c>
    </row>
    <row r="170" spans="1:25" outlineLevel="2">
      <c r="A170" s="128" t="s">
        <v>1002</v>
      </c>
      <c r="B170" s="123" t="s">
        <v>474</v>
      </c>
      <c r="C170" s="123" t="s">
        <v>474</v>
      </c>
      <c r="D170" s="123"/>
      <c r="E170" s="123"/>
      <c r="F170" s="125">
        <f>VLOOKUP(Table26[Function], Table1[], 5, FALSE)</f>
        <v>0.2837443511943189</v>
      </c>
      <c r="G170" s="19" t="s">
        <v>479</v>
      </c>
      <c r="H170" s="320" t="s">
        <v>36</v>
      </c>
      <c r="I170" s="169" t="s">
        <v>63</v>
      </c>
      <c r="J170" s="124">
        <f t="shared" si="11"/>
        <v>0.25</v>
      </c>
      <c r="K170" s="125">
        <f>Table26[[#This Row],[λ]]*Table26[[#This Row],[Failure rate distribution]]</f>
        <v>7.0936087798579725E-2</v>
      </c>
      <c r="L170" s="318" t="s">
        <v>63</v>
      </c>
      <c r="M170" s="20" t="str">
        <f>VLOOKUP(Table26[[#This Row],[Applicable Safety mechanism]],Table3[],2,FALSE)</f>
        <v>Not applicable</v>
      </c>
      <c r="N170" s="21" t="str">
        <f>VLOOKUP(Table26[[#This Row],[Applicable Safety mechanism]], Table3[], 3,FALSE)</f>
        <v>-</v>
      </c>
      <c r="O170" s="16">
        <f>VLOOKUP(Table26[[#This Row],[Applicable Safety mechanism]], Table3[], 6,FALSE)</f>
        <v>0</v>
      </c>
      <c r="P170" s="126">
        <f>IF(Table26[[#This Row],[Failure mode that has the potential to violate the safety goal in absence of safety mechanism?]]="Yes", Table26[[#This Row],[Failure mode rate]]*(1-Table26[[#This Row],[Failure mode coverage wrt. violation of safety goals]]), 0)</f>
        <v>0</v>
      </c>
      <c r="Q170" s="318" t="s">
        <v>36</v>
      </c>
      <c r="R170" s="25"/>
      <c r="S170" s="332"/>
      <c r="T170" s="171"/>
      <c r="U170" s="16"/>
      <c r="V170" s="125">
        <f>IF(Table26[[#This Row],[Failure mode that may lead to the violation of safety goals in combination with an independent failure of another block ?]]="Yes",(1-Table26[[#This Row],[Failure mode coverage with respect to latent failures]])*Table26[[#This Row],[Failure mode rate]], 0)</f>
        <v>0</v>
      </c>
      <c r="W170" s="123"/>
      <c r="X170" s="339"/>
      <c r="Y170" s="21">
        <f>IF(Table26[[#This Row],[SR]]="Yes",Table26[[#This Row],[λ]], 0)</f>
        <v>0</v>
      </c>
    </row>
    <row r="171" spans="1:25" outlineLevel="2">
      <c r="A171" s="18" t="s">
        <v>1003</v>
      </c>
      <c r="B171" s="123" t="s">
        <v>474</v>
      </c>
      <c r="C171" s="123" t="s">
        <v>474</v>
      </c>
      <c r="D171" s="123"/>
      <c r="E171" s="123"/>
      <c r="F171" s="125">
        <f>VLOOKUP(Table26[Function], Table1[], 5, FALSE)</f>
        <v>0.2837443511943189</v>
      </c>
      <c r="G171" s="129" t="s">
        <v>345</v>
      </c>
      <c r="H171" s="320" t="s">
        <v>36</v>
      </c>
      <c r="I171" s="169" t="s">
        <v>63</v>
      </c>
      <c r="J171" s="124">
        <f t="shared" si="11"/>
        <v>0.25</v>
      </c>
      <c r="K171" s="125">
        <f>Table26[[#This Row],[λ]]*Table26[[#This Row],[Failure rate distribution]]</f>
        <v>7.0936087798579725E-2</v>
      </c>
      <c r="L171" s="318" t="s">
        <v>63</v>
      </c>
      <c r="M171" s="20" t="str">
        <f>VLOOKUP(Table26[[#This Row],[Applicable Safety mechanism]],Table3[],2,FALSE)</f>
        <v>Not applicable</v>
      </c>
      <c r="N171" s="21" t="str">
        <f>VLOOKUP(Table26[[#This Row],[Applicable Safety mechanism]], Table3[], 3,FALSE)</f>
        <v>-</v>
      </c>
      <c r="O171" s="16">
        <f>VLOOKUP(Table26[[#This Row],[Applicable Safety mechanism]], Table3[], 6,FALSE)</f>
        <v>0</v>
      </c>
      <c r="P171" s="126">
        <f>IF(Table26[[#This Row],[Failure mode that has the potential to violate the safety goal in absence of safety mechanism?]]="Yes", Table26[[#This Row],[Failure mode rate]]*(1-Table26[[#This Row],[Failure mode coverage wrt. violation of safety goals]]), 0)</f>
        <v>0</v>
      </c>
      <c r="Q171" s="320" t="s">
        <v>36</v>
      </c>
      <c r="R171" s="68"/>
      <c r="S171" s="318"/>
      <c r="T171" s="170"/>
      <c r="U171" s="16"/>
      <c r="V171" s="125">
        <f>IF(Table26[[#This Row],[Failure mode that may lead to the violation of safety goals in combination with an independent failure of another block ?]]="Yes",(1-Table26[[#This Row],[Failure mode coverage with respect to latent failures]])*Table26[[#This Row],[Failure mode rate]], 0)</f>
        <v>0</v>
      </c>
      <c r="W171" s="123"/>
      <c r="X171" s="339"/>
      <c r="Y171" s="21">
        <f>IF(Table26[[#This Row],[SR]]="Yes",Table26[[#This Row],[λ]], 0)</f>
        <v>0</v>
      </c>
    </row>
    <row r="172" spans="1:25" ht="28.8">
      <c r="A172" s="128" t="s">
        <v>1004</v>
      </c>
      <c r="B172" s="130" t="s">
        <v>474</v>
      </c>
      <c r="C172" s="130" t="s">
        <v>474</v>
      </c>
      <c r="D172" s="122" t="s">
        <v>63</v>
      </c>
      <c r="E172" s="122"/>
      <c r="F172" s="125">
        <f>VLOOKUP(Table26[Function], Table1[], 5, FALSE)</f>
        <v>0.2837443511943189</v>
      </c>
      <c r="G172" s="122" t="s">
        <v>63</v>
      </c>
      <c r="H172" s="318" t="s">
        <v>63</v>
      </c>
      <c r="I172" s="122" t="s">
        <v>63</v>
      </c>
      <c r="J172" s="122" t="s">
        <v>63</v>
      </c>
      <c r="K172" s="125" t="s">
        <v>63</v>
      </c>
      <c r="L172" s="318" t="s">
        <v>63</v>
      </c>
      <c r="M172" s="122" t="s">
        <v>63</v>
      </c>
      <c r="N172" s="122" t="s">
        <v>63</v>
      </c>
      <c r="O172" s="122" t="s">
        <v>63</v>
      </c>
      <c r="P172" s="122" t="s">
        <v>63</v>
      </c>
      <c r="Q172" s="318" t="s">
        <v>63</v>
      </c>
      <c r="R172" s="122"/>
      <c r="S172" s="318"/>
      <c r="T172" s="170"/>
      <c r="U172" s="122"/>
      <c r="V172" s="122"/>
      <c r="W172" s="122"/>
      <c r="X172" s="339"/>
      <c r="Y172" s="21"/>
    </row>
    <row r="173" spans="1:25" ht="86.4" outlineLevel="1">
      <c r="A173" s="18" t="s">
        <v>1005</v>
      </c>
      <c r="B173" s="123" t="s">
        <v>232</v>
      </c>
      <c r="C173" s="123" t="s">
        <v>156</v>
      </c>
      <c r="D173" s="123" t="s">
        <v>483</v>
      </c>
      <c r="E173" s="123" t="s">
        <v>217</v>
      </c>
      <c r="F173" s="125">
        <f>VLOOKUP(Table26[Function], Table1[], 5, FALSE)</f>
        <v>2.3737637185280827</v>
      </c>
      <c r="G173" s="33" t="s">
        <v>144</v>
      </c>
      <c r="H173" s="318" t="s">
        <v>36</v>
      </c>
      <c r="I173" s="122" t="s">
        <v>63</v>
      </c>
      <c r="J173" s="124">
        <f>1/19</f>
        <v>5.2631578947368418E-2</v>
      </c>
      <c r="K173" s="125">
        <f>Table26[[#This Row],[λ]]*Table26[[#This Row],[Failure rate distribution]]</f>
        <v>0.1249349325541096</v>
      </c>
      <c r="L173" s="318" t="s">
        <v>63</v>
      </c>
      <c r="M173" s="20" t="str">
        <f>VLOOKUP(Table26[[#This Row],[Applicable Safety mechanism]],Table3[],2,FALSE)</f>
        <v>Not applicable</v>
      </c>
      <c r="N173" s="21" t="str">
        <f>VLOOKUP(Table26[[#This Row],[Applicable Safety mechanism]], Table3[], 3,FALSE)</f>
        <v>-</v>
      </c>
      <c r="O173" s="16">
        <f>VLOOKUP(Table26[[#This Row],[Applicable Safety mechanism]], Table3[], 6,FALSE)</f>
        <v>0</v>
      </c>
      <c r="P173" s="126">
        <f>IF(Table26[[#This Row],[Failure mode that has the potential to violate the safety goal in absence of safety mechanism?]]="Yes", Table26[[#This Row],[Failure mode rate]]*(1-Table26[[#This Row],[Failure mode coverage wrt. violation of safety goals]]), 0)</f>
        <v>0</v>
      </c>
      <c r="Q173" s="318" t="s">
        <v>36</v>
      </c>
      <c r="R173" s="122"/>
      <c r="S173" s="318"/>
      <c r="T173" s="170"/>
      <c r="U173" s="16"/>
      <c r="V173" s="127">
        <f>IF(Table26[[#This Row],[Failure mode that may lead to the violation of safety goals in combination with an independent failure of another block ?]]="Yes",(1-Table26[[#This Row],[Failure mode coverage with respect to latent failures]])*Table26[[#This Row],[Failure mode rate]], 0)</f>
        <v>0</v>
      </c>
      <c r="W173" s="123"/>
      <c r="X173" s="339" t="s">
        <v>36</v>
      </c>
      <c r="Y173" s="21">
        <f>IF(Table26[[#This Row],[SR]]="Yes",Table26[[#This Row],[λ]], 0)</f>
        <v>0</v>
      </c>
    </row>
    <row r="174" spans="1:25" outlineLevel="1">
      <c r="A174" s="128" t="s">
        <v>1006</v>
      </c>
      <c r="B174" s="123" t="s">
        <v>232</v>
      </c>
      <c r="C174" s="123" t="s">
        <v>156</v>
      </c>
      <c r="D174" s="123"/>
      <c r="E174" s="123"/>
      <c r="F174" s="125">
        <f>VLOOKUP(Table26[Function], Table1[], 5, FALSE)</f>
        <v>2.3737637185280827</v>
      </c>
      <c r="G174" s="19" t="s">
        <v>145</v>
      </c>
      <c r="H174" s="318" t="s">
        <v>36</v>
      </c>
      <c r="I174" s="122" t="s">
        <v>63</v>
      </c>
      <c r="J174" s="124">
        <f t="shared" ref="J174:J191" si="12">1/19</f>
        <v>5.2631578947368418E-2</v>
      </c>
      <c r="K174" s="125">
        <f>Table26[[#This Row],[λ]]*Table26[[#This Row],[Failure rate distribution]]</f>
        <v>0.1249349325541096</v>
      </c>
      <c r="L174" s="318" t="s">
        <v>63</v>
      </c>
      <c r="M174" s="20" t="str">
        <f>VLOOKUP(Table26[[#This Row],[Applicable Safety mechanism]],Table3[],2,FALSE)</f>
        <v>Not applicable</v>
      </c>
      <c r="N174" s="21" t="str">
        <f>VLOOKUP(Table26[[#This Row],[Applicable Safety mechanism]], Table3[], 3,FALSE)</f>
        <v>-</v>
      </c>
      <c r="O174" s="16">
        <f>VLOOKUP(Table26[[#This Row],[Applicable Safety mechanism]], Table3[], 6,FALSE)</f>
        <v>0</v>
      </c>
      <c r="P174" s="126">
        <f>IF(Table26[[#This Row],[Failure mode that has the potential to violate the safety goal in absence of safety mechanism?]]="Yes", Table26[[#This Row],[Failure mode rate]]*(1-Table26[[#This Row],[Failure mode coverage wrt. violation of safety goals]]), 0)</f>
        <v>0</v>
      </c>
      <c r="Q174" s="318" t="s">
        <v>36</v>
      </c>
      <c r="R174" s="122"/>
      <c r="S174" s="318"/>
      <c r="T174" s="170"/>
      <c r="U174" s="16"/>
      <c r="V174" s="127">
        <f>IF(Table26[[#This Row],[Failure mode that may lead to the violation of safety goals in combination with an independent failure of another block ?]]="Yes",(1-Table26[[#This Row],[Failure mode coverage with respect to latent failures]])*Table26[[#This Row],[Failure mode rate]], 0)</f>
        <v>0</v>
      </c>
      <c r="W174" s="123"/>
      <c r="X174" s="339"/>
      <c r="Y174" s="21">
        <f>IF(Table26[[#This Row],[SR]]="Yes",Table26[[#This Row],[λ]], 0)</f>
        <v>0</v>
      </c>
    </row>
    <row r="175" spans="1:25" outlineLevel="1">
      <c r="A175" s="18" t="s">
        <v>1007</v>
      </c>
      <c r="B175" s="123" t="s">
        <v>232</v>
      </c>
      <c r="C175" s="123" t="s">
        <v>156</v>
      </c>
      <c r="D175" s="123"/>
      <c r="E175" s="123"/>
      <c r="F175" s="125">
        <f>VLOOKUP(Table26[Function], Table1[], 5, FALSE)</f>
        <v>2.3737637185280827</v>
      </c>
      <c r="G175" s="19" t="s">
        <v>146</v>
      </c>
      <c r="H175" s="318" t="s">
        <v>36</v>
      </c>
      <c r="I175" s="122" t="s">
        <v>63</v>
      </c>
      <c r="J175" s="124">
        <f t="shared" si="12"/>
        <v>5.2631578947368418E-2</v>
      </c>
      <c r="K175" s="125">
        <f>Table26[[#This Row],[λ]]*Table26[[#This Row],[Failure rate distribution]]</f>
        <v>0.1249349325541096</v>
      </c>
      <c r="L175" s="318" t="s">
        <v>63</v>
      </c>
      <c r="M175" s="20" t="str">
        <f>VLOOKUP(Table26[[#This Row],[Applicable Safety mechanism]],Table3[],2,FALSE)</f>
        <v>Not applicable</v>
      </c>
      <c r="N175" s="21" t="str">
        <f>VLOOKUP(Table26[[#This Row],[Applicable Safety mechanism]], Table3[], 3,FALSE)</f>
        <v>-</v>
      </c>
      <c r="O175" s="16">
        <f>VLOOKUP(Table26[[#This Row],[Applicable Safety mechanism]], Table3[], 6,FALSE)</f>
        <v>0</v>
      </c>
      <c r="P175" s="126">
        <f>IF(Table26[[#This Row],[Failure mode that has the potential to violate the safety goal in absence of safety mechanism?]]="Yes", Table26[[#This Row],[Failure mode rate]]*(1-Table26[[#This Row],[Failure mode coverage wrt. violation of safety goals]]), 0)</f>
        <v>0</v>
      </c>
      <c r="Q175" s="318" t="s">
        <v>36</v>
      </c>
      <c r="R175" s="122"/>
      <c r="S175" s="318"/>
      <c r="T175" s="170"/>
      <c r="U175" s="16"/>
      <c r="V175" s="127">
        <f>IF(Table26[[#This Row],[Failure mode that may lead to the violation of safety goals in combination with an independent failure of another block ?]]="Yes",(1-Table26[[#This Row],[Failure mode coverage with respect to latent failures]])*Table26[[#This Row],[Failure mode rate]], 0)</f>
        <v>0</v>
      </c>
      <c r="W175" s="123"/>
      <c r="X175" s="339"/>
      <c r="Y175" s="21">
        <f>IF(Table26[[#This Row],[SR]]="Yes",Table26[[#This Row],[λ]], 0)</f>
        <v>0</v>
      </c>
    </row>
    <row r="176" spans="1:25" outlineLevel="1">
      <c r="A176" s="128" t="s">
        <v>1008</v>
      </c>
      <c r="B176" s="123" t="s">
        <v>232</v>
      </c>
      <c r="C176" s="123" t="s">
        <v>156</v>
      </c>
      <c r="D176" s="123"/>
      <c r="E176" s="123"/>
      <c r="F176" s="125">
        <f>VLOOKUP(Table26[Function], Table1[], 5, FALSE)</f>
        <v>2.3737637185280827</v>
      </c>
      <c r="G176" s="19" t="s">
        <v>136</v>
      </c>
      <c r="H176" s="318" t="s">
        <v>36</v>
      </c>
      <c r="I176" s="122" t="s">
        <v>63</v>
      </c>
      <c r="J176" s="124">
        <f t="shared" si="12"/>
        <v>5.2631578947368418E-2</v>
      </c>
      <c r="K176" s="125">
        <f>Table26[[#This Row],[λ]]*Table26[[#This Row],[Failure rate distribution]]</f>
        <v>0.1249349325541096</v>
      </c>
      <c r="L176" s="318" t="s">
        <v>63</v>
      </c>
      <c r="M176" s="20" t="str">
        <f>VLOOKUP(Table26[[#This Row],[Applicable Safety mechanism]],Table3[],2,FALSE)</f>
        <v>Not applicable</v>
      </c>
      <c r="N176" s="21" t="str">
        <f>VLOOKUP(Table26[[#This Row],[Applicable Safety mechanism]], Table3[], 3,FALSE)</f>
        <v>-</v>
      </c>
      <c r="O176" s="16">
        <f>VLOOKUP(Table26[[#This Row],[Applicable Safety mechanism]], Table3[], 6,FALSE)</f>
        <v>0</v>
      </c>
      <c r="P176" s="126">
        <f>IF(Table26[[#This Row],[Failure mode that has the potential to violate the safety goal in absence of safety mechanism?]]="Yes", Table26[[#This Row],[Failure mode rate]]*(1-Table26[[#This Row],[Failure mode coverage wrt. violation of safety goals]]), 0)</f>
        <v>0</v>
      </c>
      <c r="Q176" s="318" t="s">
        <v>36</v>
      </c>
      <c r="R176" s="122"/>
      <c r="S176" s="318"/>
      <c r="T176" s="170"/>
      <c r="U176" s="16"/>
      <c r="V176" s="127">
        <f>IF(Table26[[#This Row],[Failure mode that may lead to the violation of safety goals in combination with an independent failure of another block ?]]="Yes",(1-Table26[[#This Row],[Failure mode coverage with respect to latent failures]])*Table26[[#This Row],[Failure mode rate]], 0)</f>
        <v>0</v>
      </c>
      <c r="W176" s="123"/>
      <c r="X176" s="339"/>
      <c r="Y176" s="21">
        <f>IF(Table26[[#This Row],[SR]]="Yes",Table26[[#This Row],[λ]], 0)</f>
        <v>0</v>
      </c>
    </row>
    <row r="177" spans="1:25" outlineLevel="1">
      <c r="A177" s="18" t="s">
        <v>1009</v>
      </c>
      <c r="B177" s="123" t="s">
        <v>232</v>
      </c>
      <c r="C177" s="123" t="s">
        <v>156</v>
      </c>
      <c r="D177" s="123"/>
      <c r="E177" s="123"/>
      <c r="F177" s="125">
        <f>VLOOKUP(Table26[Function], Table1[], 5, FALSE)</f>
        <v>2.3737637185280827</v>
      </c>
      <c r="G177" s="19" t="s">
        <v>137</v>
      </c>
      <c r="H177" s="318" t="s">
        <v>36</v>
      </c>
      <c r="I177" s="122" t="s">
        <v>63</v>
      </c>
      <c r="J177" s="124">
        <f t="shared" si="12"/>
        <v>5.2631578947368418E-2</v>
      </c>
      <c r="K177" s="125">
        <f>Table26[[#This Row],[λ]]*Table26[[#This Row],[Failure rate distribution]]</f>
        <v>0.1249349325541096</v>
      </c>
      <c r="L177" s="318" t="s">
        <v>63</v>
      </c>
      <c r="M177" s="20" t="str">
        <f>VLOOKUP(Table26[[#This Row],[Applicable Safety mechanism]],Table3[],2,FALSE)</f>
        <v>Not applicable</v>
      </c>
      <c r="N177" s="21" t="str">
        <f>VLOOKUP(Table26[[#This Row],[Applicable Safety mechanism]], Table3[], 3,FALSE)</f>
        <v>-</v>
      </c>
      <c r="O177" s="16">
        <f>VLOOKUP(Table26[[#This Row],[Applicable Safety mechanism]], Table3[], 6,FALSE)</f>
        <v>0</v>
      </c>
      <c r="P177" s="126">
        <f>IF(Table26[[#This Row],[Failure mode that has the potential to violate the safety goal in absence of safety mechanism?]]="Yes", Table26[[#This Row],[Failure mode rate]]*(1-Table26[[#This Row],[Failure mode coverage wrt. violation of safety goals]]), 0)</f>
        <v>0</v>
      </c>
      <c r="Q177" s="318" t="s">
        <v>36</v>
      </c>
      <c r="R177" s="122"/>
      <c r="S177" s="318"/>
      <c r="T177" s="170"/>
      <c r="U177" s="16"/>
      <c r="V177" s="127">
        <f>IF(Table26[[#This Row],[Failure mode that may lead to the violation of safety goals in combination with an independent failure of another block ?]]="Yes",(1-Table26[[#This Row],[Failure mode coverage with respect to latent failures]])*Table26[[#This Row],[Failure mode rate]], 0)</f>
        <v>0</v>
      </c>
      <c r="W177" s="123"/>
      <c r="X177" s="339"/>
      <c r="Y177" s="21">
        <f>IF(Table26[[#This Row],[SR]]="Yes",Table26[[#This Row],[λ]], 0)</f>
        <v>0</v>
      </c>
    </row>
    <row r="178" spans="1:25" outlineLevel="1">
      <c r="A178" s="128" t="s">
        <v>1010</v>
      </c>
      <c r="B178" s="123" t="s">
        <v>232</v>
      </c>
      <c r="C178" s="123" t="s">
        <v>156</v>
      </c>
      <c r="D178" s="123"/>
      <c r="E178" s="123"/>
      <c r="F178" s="125">
        <f>VLOOKUP(Table26[Function], Table1[], 5, FALSE)</f>
        <v>2.3737637185280827</v>
      </c>
      <c r="G178" s="19" t="s">
        <v>138</v>
      </c>
      <c r="H178" s="318" t="s">
        <v>36</v>
      </c>
      <c r="I178" s="122" t="s">
        <v>63</v>
      </c>
      <c r="J178" s="124">
        <f t="shared" si="12"/>
        <v>5.2631578947368418E-2</v>
      </c>
      <c r="K178" s="125">
        <f>Table26[[#This Row],[λ]]*Table26[[#This Row],[Failure rate distribution]]</f>
        <v>0.1249349325541096</v>
      </c>
      <c r="L178" s="318" t="s">
        <v>63</v>
      </c>
      <c r="M178" s="20" t="str">
        <f>VLOOKUP(Table26[[#This Row],[Applicable Safety mechanism]],Table3[],2,FALSE)</f>
        <v>Not applicable</v>
      </c>
      <c r="N178" s="21" t="str">
        <f>VLOOKUP(Table26[[#This Row],[Applicable Safety mechanism]], Table3[], 3,FALSE)</f>
        <v>-</v>
      </c>
      <c r="O178" s="16">
        <f>VLOOKUP(Table26[[#This Row],[Applicable Safety mechanism]], Table3[], 6,FALSE)</f>
        <v>0</v>
      </c>
      <c r="P178" s="126">
        <f>IF(Table26[[#This Row],[Failure mode that has the potential to violate the safety goal in absence of safety mechanism?]]="Yes", Table26[[#This Row],[Failure mode rate]]*(1-Table26[[#This Row],[Failure mode coverage wrt. violation of safety goals]]), 0)</f>
        <v>0</v>
      </c>
      <c r="Q178" s="318" t="s">
        <v>36</v>
      </c>
      <c r="R178" s="122"/>
      <c r="S178" s="318"/>
      <c r="T178" s="170"/>
      <c r="U178" s="16"/>
      <c r="V178" s="127">
        <f>IF(Table26[[#This Row],[Failure mode that may lead to the violation of safety goals in combination with an independent failure of another block ?]]="Yes",(1-Table26[[#This Row],[Failure mode coverage with respect to latent failures]])*Table26[[#This Row],[Failure mode rate]], 0)</f>
        <v>0</v>
      </c>
      <c r="W178" s="123"/>
      <c r="X178" s="339"/>
      <c r="Y178" s="21">
        <f>IF(Table26[[#This Row],[SR]]="Yes",Table26[[#This Row],[λ]], 0)</f>
        <v>0</v>
      </c>
    </row>
    <row r="179" spans="1:25" outlineLevel="1">
      <c r="A179" s="18" t="s">
        <v>1011</v>
      </c>
      <c r="B179" s="123" t="s">
        <v>232</v>
      </c>
      <c r="C179" s="123" t="s">
        <v>156</v>
      </c>
      <c r="D179" s="123"/>
      <c r="E179" s="123"/>
      <c r="F179" s="125">
        <f>VLOOKUP(Table26[Function], Table1[], 5, FALSE)</f>
        <v>2.3737637185280827</v>
      </c>
      <c r="G179" s="19" t="s">
        <v>139</v>
      </c>
      <c r="H179" s="318" t="s">
        <v>36</v>
      </c>
      <c r="I179" s="122" t="s">
        <v>63</v>
      </c>
      <c r="J179" s="124">
        <f t="shared" si="12"/>
        <v>5.2631578947368418E-2</v>
      </c>
      <c r="K179" s="125">
        <f>Table26[[#This Row],[λ]]*Table26[[#This Row],[Failure rate distribution]]</f>
        <v>0.1249349325541096</v>
      </c>
      <c r="L179" s="318" t="s">
        <v>63</v>
      </c>
      <c r="M179" s="20" t="str">
        <f>VLOOKUP(Table26[[#This Row],[Applicable Safety mechanism]],Table3[],2,FALSE)</f>
        <v>Not applicable</v>
      </c>
      <c r="N179" s="21" t="str">
        <f>VLOOKUP(Table26[[#This Row],[Applicable Safety mechanism]], Table3[], 3,FALSE)</f>
        <v>-</v>
      </c>
      <c r="O179" s="16">
        <f>VLOOKUP(Table26[[#This Row],[Applicable Safety mechanism]], Table3[], 6,FALSE)</f>
        <v>0</v>
      </c>
      <c r="P179" s="126">
        <f>IF(Table26[[#This Row],[Failure mode that has the potential to violate the safety goal in absence of safety mechanism?]]="Yes", Table26[[#This Row],[Failure mode rate]]*(1-Table26[[#This Row],[Failure mode coverage wrt. violation of safety goals]]), 0)</f>
        <v>0</v>
      </c>
      <c r="Q179" s="318" t="s">
        <v>36</v>
      </c>
      <c r="R179" s="122"/>
      <c r="S179" s="318"/>
      <c r="T179" s="170"/>
      <c r="U179" s="16"/>
      <c r="V179" s="127">
        <f>IF(Table26[[#This Row],[Failure mode that may lead to the violation of safety goals in combination with an independent failure of another block ?]]="Yes",(1-Table26[[#This Row],[Failure mode coverage with respect to latent failures]])*Table26[[#This Row],[Failure mode rate]], 0)</f>
        <v>0</v>
      </c>
      <c r="W179" s="123"/>
      <c r="X179" s="339"/>
      <c r="Y179" s="21">
        <f>IF(Table26[[#This Row],[SR]]="Yes",Table26[[#This Row],[λ]], 0)</f>
        <v>0</v>
      </c>
    </row>
    <row r="180" spans="1:25" outlineLevel="1">
      <c r="A180" s="128" t="s">
        <v>1012</v>
      </c>
      <c r="B180" s="123" t="s">
        <v>232</v>
      </c>
      <c r="C180" s="123" t="s">
        <v>156</v>
      </c>
      <c r="D180" s="123"/>
      <c r="E180" s="123"/>
      <c r="F180" s="125">
        <f>VLOOKUP(Table26[Function], Table1[], 5, FALSE)</f>
        <v>2.3737637185280827</v>
      </c>
      <c r="G180" s="19" t="s">
        <v>140</v>
      </c>
      <c r="H180" s="318" t="s">
        <v>36</v>
      </c>
      <c r="I180" s="122" t="s">
        <v>63</v>
      </c>
      <c r="J180" s="124">
        <f t="shared" si="12"/>
        <v>5.2631578947368418E-2</v>
      </c>
      <c r="K180" s="125">
        <f>Table26[[#This Row],[λ]]*Table26[[#This Row],[Failure rate distribution]]</f>
        <v>0.1249349325541096</v>
      </c>
      <c r="L180" s="318" t="s">
        <v>63</v>
      </c>
      <c r="M180" s="20" t="str">
        <f>VLOOKUP(Table26[[#This Row],[Applicable Safety mechanism]],Table3[],2,FALSE)</f>
        <v>Not applicable</v>
      </c>
      <c r="N180" s="21" t="str">
        <f>VLOOKUP(Table26[[#This Row],[Applicable Safety mechanism]], Table3[], 3,FALSE)</f>
        <v>-</v>
      </c>
      <c r="O180" s="16">
        <f>VLOOKUP(Table26[[#This Row],[Applicable Safety mechanism]], Table3[], 6,FALSE)</f>
        <v>0</v>
      </c>
      <c r="P180" s="126">
        <f>IF(Table26[[#This Row],[Failure mode that has the potential to violate the safety goal in absence of safety mechanism?]]="Yes", Table26[[#This Row],[Failure mode rate]]*(1-Table26[[#This Row],[Failure mode coverage wrt. violation of safety goals]]), 0)</f>
        <v>0</v>
      </c>
      <c r="Q180" s="318" t="s">
        <v>36</v>
      </c>
      <c r="R180" s="122"/>
      <c r="S180" s="318"/>
      <c r="T180" s="170"/>
      <c r="U180" s="16"/>
      <c r="V180" s="127">
        <f>IF(Table26[[#This Row],[Failure mode that may lead to the violation of safety goals in combination with an independent failure of another block ?]]="Yes",(1-Table26[[#This Row],[Failure mode coverage with respect to latent failures]])*Table26[[#This Row],[Failure mode rate]], 0)</f>
        <v>0</v>
      </c>
      <c r="W180" s="123"/>
      <c r="X180" s="339"/>
      <c r="Y180" s="21">
        <f>IF(Table26[[#This Row],[SR]]="Yes",Table26[[#This Row],[λ]], 0)</f>
        <v>0</v>
      </c>
    </row>
    <row r="181" spans="1:25" outlineLevel="1">
      <c r="A181" s="18" t="s">
        <v>1013</v>
      </c>
      <c r="B181" s="123" t="s">
        <v>232</v>
      </c>
      <c r="C181" s="123" t="s">
        <v>156</v>
      </c>
      <c r="D181" s="123"/>
      <c r="E181" s="123"/>
      <c r="F181" s="125">
        <f>VLOOKUP(Table26[Function], Table1[], 5, FALSE)</f>
        <v>2.3737637185280827</v>
      </c>
      <c r="G181" s="19" t="s">
        <v>141</v>
      </c>
      <c r="H181" s="318" t="s">
        <v>36</v>
      </c>
      <c r="I181" s="122" t="s">
        <v>63</v>
      </c>
      <c r="J181" s="124">
        <f t="shared" si="12"/>
        <v>5.2631578947368418E-2</v>
      </c>
      <c r="K181" s="125">
        <f>Table26[[#This Row],[λ]]*Table26[[#This Row],[Failure rate distribution]]</f>
        <v>0.1249349325541096</v>
      </c>
      <c r="L181" s="318" t="s">
        <v>63</v>
      </c>
      <c r="M181" s="20" t="str">
        <f>VLOOKUP(Table26[[#This Row],[Applicable Safety mechanism]],Table3[],2,FALSE)</f>
        <v>Not applicable</v>
      </c>
      <c r="N181" s="21" t="str">
        <f>VLOOKUP(Table26[[#This Row],[Applicable Safety mechanism]], Table3[], 3,FALSE)</f>
        <v>-</v>
      </c>
      <c r="O181" s="16">
        <f>VLOOKUP(Table26[[#This Row],[Applicable Safety mechanism]], Table3[], 6,FALSE)</f>
        <v>0</v>
      </c>
      <c r="P181" s="126">
        <f>IF(Table26[[#This Row],[Failure mode that has the potential to violate the safety goal in absence of safety mechanism?]]="Yes", Table26[[#This Row],[Failure mode rate]]*(1-Table26[[#This Row],[Failure mode coverage wrt. violation of safety goals]]), 0)</f>
        <v>0</v>
      </c>
      <c r="Q181" s="318" t="s">
        <v>36</v>
      </c>
      <c r="R181" s="122"/>
      <c r="S181" s="318"/>
      <c r="T181" s="170"/>
      <c r="U181" s="16"/>
      <c r="V181" s="127">
        <f>IF(Table26[[#This Row],[Failure mode that may lead to the violation of safety goals in combination with an independent failure of another block ?]]="Yes",(1-Table26[[#This Row],[Failure mode coverage with respect to latent failures]])*Table26[[#This Row],[Failure mode rate]], 0)</f>
        <v>0</v>
      </c>
      <c r="W181" s="123"/>
      <c r="X181" s="339"/>
      <c r="Y181" s="21">
        <f>IF(Table26[[#This Row],[SR]]="Yes",Table26[[#This Row],[λ]], 0)</f>
        <v>0</v>
      </c>
    </row>
    <row r="182" spans="1:25" outlineLevel="1">
      <c r="A182" s="128" t="s">
        <v>1014</v>
      </c>
      <c r="B182" s="123" t="s">
        <v>232</v>
      </c>
      <c r="C182" s="123" t="s">
        <v>156</v>
      </c>
      <c r="D182" s="123"/>
      <c r="E182" s="123"/>
      <c r="F182" s="125">
        <f>VLOOKUP(Table26[Function], Table1[], 5, FALSE)</f>
        <v>2.3737637185280827</v>
      </c>
      <c r="G182" s="19" t="s">
        <v>142</v>
      </c>
      <c r="H182" s="318" t="s">
        <v>36</v>
      </c>
      <c r="I182" s="122" t="s">
        <v>63</v>
      </c>
      <c r="J182" s="124">
        <f t="shared" si="12"/>
        <v>5.2631578947368418E-2</v>
      </c>
      <c r="K182" s="125">
        <f>Table26[[#This Row],[λ]]*Table26[[#This Row],[Failure rate distribution]]</f>
        <v>0.1249349325541096</v>
      </c>
      <c r="L182" s="318" t="s">
        <v>63</v>
      </c>
      <c r="M182" s="20" t="str">
        <f>VLOOKUP(Table26[[#This Row],[Applicable Safety mechanism]],Table3[],2,FALSE)</f>
        <v>Not applicable</v>
      </c>
      <c r="N182" s="21" t="str">
        <f>VLOOKUP(Table26[[#This Row],[Applicable Safety mechanism]], Table3[], 3,FALSE)</f>
        <v>-</v>
      </c>
      <c r="O182" s="16">
        <f>VLOOKUP(Table26[[#This Row],[Applicable Safety mechanism]], Table3[], 6,FALSE)</f>
        <v>0</v>
      </c>
      <c r="P182" s="126">
        <f>IF(Table26[[#This Row],[Failure mode that has the potential to violate the safety goal in absence of safety mechanism?]]="Yes", Table26[[#This Row],[Failure mode rate]]*(1-Table26[[#This Row],[Failure mode coverage wrt. violation of safety goals]]), 0)</f>
        <v>0</v>
      </c>
      <c r="Q182" s="318" t="s">
        <v>36</v>
      </c>
      <c r="R182" s="122"/>
      <c r="S182" s="318"/>
      <c r="T182" s="170"/>
      <c r="U182" s="16"/>
      <c r="V182" s="127">
        <f>IF(Table26[[#This Row],[Failure mode that may lead to the violation of safety goals in combination with an independent failure of another block ?]]="Yes",(1-Table26[[#This Row],[Failure mode coverage with respect to latent failures]])*Table26[[#This Row],[Failure mode rate]], 0)</f>
        <v>0</v>
      </c>
      <c r="W182" s="123"/>
      <c r="X182" s="339"/>
      <c r="Y182" s="21">
        <f>IF(Table26[[#This Row],[SR]]="Yes",Table26[[#This Row],[λ]], 0)</f>
        <v>0</v>
      </c>
    </row>
    <row r="183" spans="1:25" outlineLevel="1">
      <c r="A183" s="18" t="s">
        <v>1015</v>
      </c>
      <c r="B183" s="123" t="s">
        <v>232</v>
      </c>
      <c r="C183" s="123" t="s">
        <v>156</v>
      </c>
      <c r="D183" s="123"/>
      <c r="E183" s="123"/>
      <c r="F183" s="125">
        <f>VLOOKUP(Table26[Function], Table1[], 5, FALSE)</f>
        <v>2.3737637185280827</v>
      </c>
      <c r="G183" s="19" t="s">
        <v>143</v>
      </c>
      <c r="H183" s="318" t="s">
        <v>36</v>
      </c>
      <c r="I183" s="122" t="s">
        <v>63</v>
      </c>
      <c r="J183" s="124">
        <f t="shared" si="12"/>
        <v>5.2631578947368418E-2</v>
      </c>
      <c r="K183" s="125">
        <f>Table26[[#This Row],[λ]]*Table26[[#This Row],[Failure rate distribution]]</f>
        <v>0.1249349325541096</v>
      </c>
      <c r="L183" s="318" t="s">
        <v>63</v>
      </c>
      <c r="M183" s="20" t="str">
        <f>VLOOKUP(Table26[[#This Row],[Applicable Safety mechanism]],Table3[],2,FALSE)</f>
        <v>Not applicable</v>
      </c>
      <c r="N183" s="21" t="str">
        <f>VLOOKUP(Table26[[#This Row],[Applicable Safety mechanism]], Table3[], 3,FALSE)</f>
        <v>-</v>
      </c>
      <c r="O183" s="16">
        <f>VLOOKUP(Table26[[#This Row],[Applicable Safety mechanism]], Table3[], 6,FALSE)</f>
        <v>0</v>
      </c>
      <c r="P183" s="126">
        <f>IF(Table26[[#This Row],[Failure mode that has the potential to violate the safety goal in absence of safety mechanism?]]="Yes", Table26[[#This Row],[Failure mode rate]]*(1-Table26[[#This Row],[Failure mode coverage wrt. violation of safety goals]]), 0)</f>
        <v>0</v>
      </c>
      <c r="Q183" s="318" t="s">
        <v>36</v>
      </c>
      <c r="R183" s="122"/>
      <c r="S183" s="318"/>
      <c r="T183" s="170"/>
      <c r="U183" s="16"/>
      <c r="V183" s="127">
        <f>IF(Table26[[#This Row],[Failure mode that may lead to the violation of safety goals in combination with an independent failure of another block ?]]="Yes",(1-Table26[[#This Row],[Failure mode coverage with respect to latent failures]])*Table26[[#This Row],[Failure mode rate]], 0)</f>
        <v>0</v>
      </c>
      <c r="W183" s="123"/>
      <c r="X183" s="339"/>
      <c r="Y183" s="21">
        <f>IF(Table26[[#This Row],[SR]]="Yes",Table26[[#This Row],[λ]], 0)</f>
        <v>0</v>
      </c>
    </row>
    <row r="184" spans="1:25" outlineLevel="1">
      <c r="A184" s="128" t="s">
        <v>1016</v>
      </c>
      <c r="B184" s="123" t="s">
        <v>232</v>
      </c>
      <c r="C184" s="123" t="s">
        <v>156</v>
      </c>
      <c r="D184" s="123"/>
      <c r="E184" s="123"/>
      <c r="F184" s="125">
        <f>VLOOKUP(Table26[Function], Table1[], 5, FALSE)</f>
        <v>2.3737637185280827</v>
      </c>
      <c r="G184" s="19" t="s">
        <v>147</v>
      </c>
      <c r="H184" s="318" t="s">
        <v>36</v>
      </c>
      <c r="I184" s="122" t="s">
        <v>63</v>
      </c>
      <c r="J184" s="124">
        <f t="shared" si="12"/>
        <v>5.2631578947368418E-2</v>
      </c>
      <c r="K184" s="125">
        <f>Table26[[#This Row],[λ]]*Table26[[#This Row],[Failure rate distribution]]</f>
        <v>0.1249349325541096</v>
      </c>
      <c r="L184" s="318" t="s">
        <v>63</v>
      </c>
      <c r="M184" s="20" t="str">
        <f>VLOOKUP(Table26[[#This Row],[Applicable Safety mechanism]],Table3[],2,FALSE)</f>
        <v>Not applicable</v>
      </c>
      <c r="N184" s="21" t="str">
        <f>VLOOKUP(Table26[[#This Row],[Applicable Safety mechanism]], Table3[], 3,FALSE)</f>
        <v>-</v>
      </c>
      <c r="O184" s="16">
        <f>VLOOKUP(Table26[[#This Row],[Applicable Safety mechanism]], Table3[], 6,FALSE)</f>
        <v>0</v>
      </c>
      <c r="P184" s="126">
        <f>IF(Table26[[#This Row],[Failure mode that has the potential to violate the safety goal in absence of safety mechanism?]]="Yes", Table26[[#This Row],[Failure mode rate]]*(1-Table26[[#This Row],[Failure mode coverage wrt. violation of safety goals]]), 0)</f>
        <v>0</v>
      </c>
      <c r="Q184" s="318" t="s">
        <v>36</v>
      </c>
      <c r="R184" s="122"/>
      <c r="S184" s="318"/>
      <c r="T184" s="170"/>
      <c r="U184" s="16"/>
      <c r="V184" s="127">
        <f>IF(Table26[[#This Row],[Failure mode that may lead to the violation of safety goals in combination with an independent failure of another block ?]]="Yes",(1-Table26[[#This Row],[Failure mode coverage with respect to latent failures]])*Table26[[#This Row],[Failure mode rate]], 0)</f>
        <v>0</v>
      </c>
      <c r="W184" s="123"/>
      <c r="X184" s="339"/>
      <c r="Y184" s="21">
        <f>IF(Table26[[#This Row],[SR]]="Yes",Table26[[#This Row],[λ]], 0)</f>
        <v>0</v>
      </c>
    </row>
    <row r="185" spans="1:25" outlineLevel="1">
      <c r="A185" s="18" t="s">
        <v>1017</v>
      </c>
      <c r="B185" s="123" t="s">
        <v>232</v>
      </c>
      <c r="C185" s="123" t="s">
        <v>156</v>
      </c>
      <c r="D185" s="123"/>
      <c r="E185" s="123"/>
      <c r="F185" s="125">
        <f>VLOOKUP(Table26[Function], Table1[], 5, FALSE)</f>
        <v>2.3737637185280827</v>
      </c>
      <c r="G185" s="19" t="s">
        <v>148</v>
      </c>
      <c r="H185" s="318" t="s">
        <v>36</v>
      </c>
      <c r="I185" s="122" t="s">
        <v>63</v>
      </c>
      <c r="J185" s="124">
        <f t="shared" si="12"/>
        <v>5.2631578947368418E-2</v>
      </c>
      <c r="K185" s="125">
        <f>Table26[[#This Row],[λ]]*Table26[[#This Row],[Failure rate distribution]]</f>
        <v>0.1249349325541096</v>
      </c>
      <c r="L185" s="318" t="s">
        <v>63</v>
      </c>
      <c r="M185" s="20" t="str">
        <f>VLOOKUP(Table26[[#This Row],[Applicable Safety mechanism]],Table3[],2,FALSE)</f>
        <v>Not applicable</v>
      </c>
      <c r="N185" s="21" t="str">
        <f>VLOOKUP(Table26[[#This Row],[Applicable Safety mechanism]], Table3[], 3,FALSE)</f>
        <v>-</v>
      </c>
      <c r="O185" s="16">
        <f>VLOOKUP(Table26[[#This Row],[Applicable Safety mechanism]], Table3[], 6,FALSE)</f>
        <v>0</v>
      </c>
      <c r="P185" s="126">
        <f>IF(Table26[[#This Row],[Failure mode that has the potential to violate the safety goal in absence of safety mechanism?]]="Yes", Table26[[#This Row],[Failure mode rate]]*(1-Table26[[#This Row],[Failure mode coverage wrt. violation of safety goals]]), 0)</f>
        <v>0</v>
      </c>
      <c r="Q185" s="318" t="s">
        <v>36</v>
      </c>
      <c r="R185" s="122"/>
      <c r="S185" s="318"/>
      <c r="T185" s="170"/>
      <c r="U185" s="16"/>
      <c r="V185" s="127">
        <f>IF(Table26[[#This Row],[Failure mode that may lead to the violation of safety goals in combination with an independent failure of another block ?]]="Yes",(1-Table26[[#This Row],[Failure mode coverage with respect to latent failures]])*Table26[[#This Row],[Failure mode rate]], 0)</f>
        <v>0</v>
      </c>
      <c r="W185" s="123"/>
      <c r="X185" s="339"/>
      <c r="Y185" s="21">
        <f>IF(Table26[[#This Row],[SR]]="Yes",Table26[[#This Row],[λ]], 0)</f>
        <v>0</v>
      </c>
    </row>
    <row r="186" spans="1:25" outlineLevel="1">
      <c r="A186" s="128" t="s">
        <v>1018</v>
      </c>
      <c r="B186" s="123" t="s">
        <v>232</v>
      </c>
      <c r="C186" s="123" t="s">
        <v>156</v>
      </c>
      <c r="D186" s="123"/>
      <c r="E186" s="123"/>
      <c r="F186" s="125">
        <f>VLOOKUP(Table26[Function], Table1[], 5, FALSE)</f>
        <v>2.3737637185280827</v>
      </c>
      <c r="G186" s="19" t="s">
        <v>149</v>
      </c>
      <c r="H186" s="318" t="s">
        <v>36</v>
      </c>
      <c r="I186" s="122" t="s">
        <v>63</v>
      </c>
      <c r="J186" s="124">
        <f t="shared" si="12"/>
        <v>5.2631578947368418E-2</v>
      </c>
      <c r="K186" s="125">
        <f>Table26[[#This Row],[λ]]*Table26[[#This Row],[Failure rate distribution]]</f>
        <v>0.1249349325541096</v>
      </c>
      <c r="L186" s="318" t="s">
        <v>63</v>
      </c>
      <c r="M186" s="20" t="str">
        <f>VLOOKUP(Table26[[#This Row],[Applicable Safety mechanism]],Table3[],2,FALSE)</f>
        <v>Not applicable</v>
      </c>
      <c r="N186" s="21" t="str">
        <f>VLOOKUP(Table26[[#This Row],[Applicable Safety mechanism]], Table3[], 3,FALSE)</f>
        <v>-</v>
      </c>
      <c r="O186" s="16">
        <f>VLOOKUP(Table26[[#This Row],[Applicable Safety mechanism]], Table3[], 6,FALSE)</f>
        <v>0</v>
      </c>
      <c r="P186" s="126">
        <f>IF(Table26[[#This Row],[Failure mode that has the potential to violate the safety goal in absence of safety mechanism?]]="Yes", Table26[[#This Row],[Failure mode rate]]*(1-Table26[[#This Row],[Failure mode coverage wrt. violation of safety goals]]), 0)</f>
        <v>0</v>
      </c>
      <c r="Q186" s="318" t="s">
        <v>36</v>
      </c>
      <c r="R186" s="122"/>
      <c r="S186" s="318"/>
      <c r="T186" s="170"/>
      <c r="U186" s="16"/>
      <c r="V186" s="127">
        <f>IF(Table26[[#This Row],[Failure mode that may lead to the violation of safety goals in combination with an independent failure of another block ?]]="Yes",(1-Table26[[#This Row],[Failure mode coverage with respect to latent failures]])*Table26[[#This Row],[Failure mode rate]], 0)</f>
        <v>0</v>
      </c>
      <c r="W186" s="123"/>
      <c r="X186" s="339"/>
      <c r="Y186" s="21">
        <f>IF(Table26[[#This Row],[SR]]="Yes",Table26[[#This Row],[λ]], 0)</f>
        <v>0</v>
      </c>
    </row>
    <row r="187" spans="1:25" outlineLevel="1">
      <c r="A187" s="18" t="s">
        <v>1019</v>
      </c>
      <c r="B187" s="123" t="s">
        <v>232</v>
      </c>
      <c r="C187" s="123" t="s">
        <v>156</v>
      </c>
      <c r="D187" s="123"/>
      <c r="E187" s="123"/>
      <c r="F187" s="125">
        <f>VLOOKUP(Table26[Function], Table1[], 5, FALSE)</f>
        <v>2.3737637185280827</v>
      </c>
      <c r="G187" s="19" t="s">
        <v>150</v>
      </c>
      <c r="H187" s="318" t="s">
        <v>36</v>
      </c>
      <c r="I187" s="122" t="s">
        <v>63</v>
      </c>
      <c r="J187" s="124">
        <f t="shared" si="12"/>
        <v>5.2631578947368418E-2</v>
      </c>
      <c r="K187" s="125">
        <f>Table26[[#This Row],[λ]]*Table26[[#This Row],[Failure rate distribution]]</f>
        <v>0.1249349325541096</v>
      </c>
      <c r="L187" s="318" t="s">
        <v>63</v>
      </c>
      <c r="M187" s="20" t="str">
        <f>VLOOKUP(Table26[[#This Row],[Applicable Safety mechanism]],Table3[],2,FALSE)</f>
        <v>Not applicable</v>
      </c>
      <c r="N187" s="21" t="str">
        <f>VLOOKUP(Table26[[#This Row],[Applicable Safety mechanism]], Table3[], 3,FALSE)</f>
        <v>-</v>
      </c>
      <c r="O187" s="16">
        <f>VLOOKUP(Table26[[#This Row],[Applicable Safety mechanism]], Table3[], 6,FALSE)</f>
        <v>0</v>
      </c>
      <c r="P187" s="126">
        <f>IF(Table26[[#This Row],[Failure mode that has the potential to violate the safety goal in absence of safety mechanism?]]="Yes", Table26[[#This Row],[Failure mode rate]]*(1-Table26[[#This Row],[Failure mode coverage wrt. violation of safety goals]]), 0)</f>
        <v>0</v>
      </c>
      <c r="Q187" s="318" t="s">
        <v>36</v>
      </c>
      <c r="R187" s="122"/>
      <c r="S187" s="318"/>
      <c r="T187" s="170"/>
      <c r="U187" s="16"/>
      <c r="V187" s="127">
        <f>IF(Table26[[#This Row],[Failure mode that may lead to the violation of safety goals in combination with an independent failure of another block ?]]="Yes",(1-Table26[[#This Row],[Failure mode coverage with respect to latent failures]])*Table26[[#This Row],[Failure mode rate]], 0)</f>
        <v>0</v>
      </c>
      <c r="W187" s="123"/>
      <c r="X187" s="339"/>
      <c r="Y187" s="21">
        <f>IF(Table26[[#This Row],[SR]]="Yes",Table26[[#This Row],[λ]], 0)</f>
        <v>0</v>
      </c>
    </row>
    <row r="188" spans="1:25" outlineLevel="1">
      <c r="A188" s="128" t="s">
        <v>1020</v>
      </c>
      <c r="B188" s="123" t="s">
        <v>232</v>
      </c>
      <c r="C188" s="123" t="s">
        <v>156</v>
      </c>
      <c r="D188" s="123"/>
      <c r="E188" s="123"/>
      <c r="F188" s="125">
        <f>VLOOKUP(Table26[Function], Table1[], 5, FALSE)</f>
        <v>2.3737637185280827</v>
      </c>
      <c r="G188" s="19" t="s">
        <v>151</v>
      </c>
      <c r="H188" s="318" t="s">
        <v>36</v>
      </c>
      <c r="I188" s="122" t="s">
        <v>63</v>
      </c>
      <c r="J188" s="124">
        <f t="shared" si="12"/>
        <v>5.2631578947368418E-2</v>
      </c>
      <c r="K188" s="125">
        <f>Table26[[#This Row],[λ]]*Table26[[#This Row],[Failure rate distribution]]</f>
        <v>0.1249349325541096</v>
      </c>
      <c r="L188" s="318" t="s">
        <v>63</v>
      </c>
      <c r="M188" s="20" t="str">
        <f>VLOOKUP(Table26[[#This Row],[Applicable Safety mechanism]],Table3[],2,FALSE)</f>
        <v>Not applicable</v>
      </c>
      <c r="N188" s="21" t="str">
        <f>VLOOKUP(Table26[[#This Row],[Applicable Safety mechanism]], Table3[], 3,FALSE)</f>
        <v>-</v>
      </c>
      <c r="O188" s="16">
        <f>VLOOKUP(Table26[[#This Row],[Applicable Safety mechanism]], Table3[], 6,FALSE)</f>
        <v>0</v>
      </c>
      <c r="P188" s="126">
        <f>IF(Table26[[#This Row],[Failure mode that has the potential to violate the safety goal in absence of safety mechanism?]]="Yes", Table26[[#This Row],[Failure mode rate]]*(1-Table26[[#This Row],[Failure mode coverage wrt. violation of safety goals]]), 0)</f>
        <v>0</v>
      </c>
      <c r="Q188" s="318" t="s">
        <v>36</v>
      </c>
      <c r="R188" s="122"/>
      <c r="S188" s="318"/>
      <c r="T188" s="170"/>
      <c r="U188" s="16"/>
      <c r="V188" s="127">
        <f>IF(Table26[[#This Row],[Failure mode that may lead to the violation of safety goals in combination with an independent failure of another block ?]]="Yes",(1-Table26[[#This Row],[Failure mode coverage with respect to latent failures]])*Table26[[#This Row],[Failure mode rate]], 0)</f>
        <v>0</v>
      </c>
      <c r="W188" s="123"/>
      <c r="X188" s="339"/>
      <c r="Y188" s="21">
        <f>IF(Table26[[#This Row],[SR]]="Yes",Table26[[#This Row],[λ]], 0)</f>
        <v>0</v>
      </c>
    </row>
    <row r="189" spans="1:25" outlineLevel="1">
      <c r="A189" s="18" t="s">
        <v>1021</v>
      </c>
      <c r="B189" s="123" t="s">
        <v>232</v>
      </c>
      <c r="C189" s="123" t="s">
        <v>156</v>
      </c>
      <c r="D189" s="123"/>
      <c r="E189" s="123"/>
      <c r="F189" s="125">
        <f>VLOOKUP(Table26[Function], Table1[], 5, FALSE)</f>
        <v>2.3737637185280827</v>
      </c>
      <c r="G189" s="19" t="s">
        <v>152</v>
      </c>
      <c r="H189" s="318" t="s">
        <v>36</v>
      </c>
      <c r="I189" s="122" t="s">
        <v>63</v>
      </c>
      <c r="J189" s="124">
        <f t="shared" si="12"/>
        <v>5.2631578947368418E-2</v>
      </c>
      <c r="K189" s="125">
        <f>Table26[[#This Row],[λ]]*Table26[[#This Row],[Failure rate distribution]]</f>
        <v>0.1249349325541096</v>
      </c>
      <c r="L189" s="318" t="s">
        <v>63</v>
      </c>
      <c r="M189" s="20" t="str">
        <f>VLOOKUP(Table26[[#This Row],[Applicable Safety mechanism]],Table3[],2,FALSE)</f>
        <v>Not applicable</v>
      </c>
      <c r="N189" s="21" t="str">
        <f>VLOOKUP(Table26[[#This Row],[Applicable Safety mechanism]], Table3[], 3,FALSE)</f>
        <v>-</v>
      </c>
      <c r="O189" s="16">
        <f>VLOOKUP(Table26[[#This Row],[Applicable Safety mechanism]], Table3[], 6,FALSE)</f>
        <v>0</v>
      </c>
      <c r="P189" s="126">
        <f>IF(Table26[[#This Row],[Failure mode that has the potential to violate the safety goal in absence of safety mechanism?]]="Yes", Table26[[#This Row],[Failure mode rate]]*(1-Table26[[#This Row],[Failure mode coverage wrt. violation of safety goals]]), 0)</f>
        <v>0</v>
      </c>
      <c r="Q189" s="318" t="s">
        <v>36</v>
      </c>
      <c r="R189" s="122"/>
      <c r="S189" s="318"/>
      <c r="T189" s="170"/>
      <c r="U189" s="16"/>
      <c r="V189" s="127">
        <f>IF(Table26[[#This Row],[Failure mode that may lead to the violation of safety goals in combination with an independent failure of another block ?]]="Yes",(1-Table26[[#This Row],[Failure mode coverage with respect to latent failures]])*Table26[[#This Row],[Failure mode rate]], 0)</f>
        <v>0</v>
      </c>
      <c r="W189" s="123"/>
      <c r="X189" s="339"/>
      <c r="Y189" s="21">
        <f>IF(Table26[[#This Row],[SR]]="Yes",Table26[[#This Row],[λ]], 0)</f>
        <v>0</v>
      </c>
    </row>
    <row r="190" spans="1:25" outlineLevel="1">
      <c r="A190" s="128" t="s">
        <v>1022</v>
      </c>
      <c r="B190" s="123" t="s">
        <v>232</v>
      </c>
      <c r="C190" s="123" t="s">
        <v>156</v>
      </c>
      <c r="D190" s="123"/>
      <c r="E190" s="123"/>
      <c r="F190" s="125">
        <f>VLOOKUP(Table26[Function], Table1[], 5, FALSE)</f>
        <v>2.3737637185280827</v>
      </c>
      <c r="G190" s="19" t="s">
        <v>153</v>
      </c>
      <c r="H190" s="318" t="s">
        <v>36</v>
      </c>
      <c r="I190" s="122" t="s">
        <v>63</v>
      </c>
      <c r="J190" s="124">
        <f t="shared" si="12"/>
        <v>5.2631578947368418E-2</v>
      </c>
      <c r="K190" s="125">
        <f>Table26[[#This Row],[λ]]*Table26[[#This Row],[Failure rate distribution]]</f>
        <v>0.1249349325541096</v>
      </c>
      <c r="L190" s="318" t="s">
        <v>63</v>
      </c>
      <c r="M190" s="20" t="str">
        <f>VLOOKUP(Table26[[#This Row],[Applicable Safety mechanism]],Table3[],2,FALSE)</f>
        <v>Not applicable</v>
      </c>
      <c r="N190" s="21" t="str">
        <f>VLOOKUP(Table26[[#This Row],[Applicable Safety mechanism]], Table3[], 3,FALSE)</f>
        <v>-</v>
      </c>
      <c r="O190" s="16">
        <f>VLOOKUP(Table26[[#This Row],[Applicable Safety mechanism]], Table3[], 6,FALSE)</f>
        <v>0</v>
      </c>
      <c r="P190" s="126">
        <f>IF(Table26[[#This Row],[Failure mode that has the potential to violate the safety goal in absence of safety mechanism?]]="Yes", Table26[[#This Row],[Failure mode rate]]*(1-Table26[[#This Row],[Failure mode coverage wrt. violation of safety goals]]), 0)</f>
        <v>0</v>
      </c>
      <c r="Q190" s="318" t="s">
        <v>36</v>
      </c>
      <c r="R190" s="122"/>
      <c r="S190" s="318"/>
      <c r="T190" s="170"/>
      <c r="U190" s="16"/>
      <c r="V190" s="127">
        <f>IF(Table26[[#This Row],[Failure mode that may lead to the violation of safety goals in combination with an independent failure of another block ?]]="Yes",(1-Table26[[#This Row],[Failure mode coverage with respect to latent failures]])*Table26[[#This Row],[Failure mode rate]], 0)</f>
        <v>0</v>
      </c>
      <c r="W190" s="123"/>
      <c r="X190" s="339"/>
      <c r="Y190" s="21">
        <f>IF(Table26[[#This Row],[SR]]="Yes",Table26[[#This Row],[λ]], 0)</f>
        <v>0</v>
      </c>
    </row>
    <row r="191" spans="1:25" outlineLevel="1">
      <c r="A191" s="18" t="s">
        <v>1023</v>
      </c>
      <c r="B191" s="123" t="s">
        <v>232</v>
      </c>
      <c r="C191" s="123" t="s">
        <v>156</v>
      </c>
      <c r="D191" s="123"/>
      <c r="E191" s="123"/>
      <c r="F191" s="125">
        <f>VLOOKUP(Table26[Function], Table1[], 5, FALSE)</f>
        <v>2.3737637185280827</v>
      </c>
      <c r="G191" s="19" t="s">
        <v>154</v>
      </c>
      <c r="H191" s="318" t="s">
        <v>36</v>
      </c>
      <c r="I191" s="122" t="s">
        <v>63</v>
      </c>
      <c r="J191" s="124">
        <f t="shared" si="12"/>
        <v>5.2631578947368418E-2</v>
      </c>
      <c r="K191" s="125">
        <f>Table26[[#This Row],[λ]]*Table26[[#This Row],[Failure rate distribution]]</f>
        <v>0.1249349325541096</v>
      </c>
      <c r="L191" s="318" t="s">
        <v>63</v>
      </c>
      <c r="M191" s="20" t="str">
        <f>VLOOKUP(Table26[[#This Row],[Applicable Safety mechanism]],Table3[],2,FALSE)</f>
        <v>Not applicable</v>
      </c>
      <c r="N191" s="21" t="str">
        <f>VLOOKUP(Table26[[#This Row],[Applicable Safety mechanism]], Table3[], 3,FALSE)</f>
        <v>-</v>
      </c>
      <c r="O191" s="16">
        <f>VLOOKUP(Table26[[#This Row],[Applicable Safety mechanism]], Table3[], 6,FALSE)</f>
        <v>0</v>
      </c>
      <c r="P191" s="126">
        <f>IF(Table26[[#This Row],[Failure mode that has the potential to violate the safety goal in absence of safety mechanism?]]="Yes", Table26[[#This Row],[Failure mode rate]]*(1-Table26[[#This Row],[Failure mode coverage wrt. violation of safety goals]]), 0)</f>
        <v>0</v>
      </c>
      <c r="Q191" s="318" t="s">
        <v>36</v>
      </c>
      <c r="R191" s="122"/>
      <c r="S191" s="318"/>
      <c r="T191" s="170"/>
      <c r="U191" s="16"/>
      <c r="V191" s="127">
        <f>IF(Table26[[#This Row],[Failure mode that may lead to the violation of safety goals in combination with an independent failure of another block ?]]="Yes",(1-Table26[[#This Row],[Failure mode coverage with respect to latent failures]])*Table26[[#This Row],[Failure mode rate]], 0)</f>
        <v>0</v>
      </c>
      <c r="W191" s="123"/>
      <c r="X191" s="339"/>
      <c r="Y191" s="21">
        <f>IF(Table26[[#This Row],[SR]]="Yes",Table26[[#This Row],[λ]], 0)</f>
        <v>0</v>
      </c>
    </row>
    <row r="192" spans="1:25">
      <c r="A192" s="128" t="s">
        <v>1024</v>
      </c>
      <c r="B192" s="130" t="s">
        <v>232</v>
      </c>
      <c r="C192" s="130" t="s">
        <v>156</v>
      </c>
      <c r="D192" s="122" t="s">
        <v>63</v>
      </c>
      <c r="E192" s="122"/>
      <c r="F192" s="125">
        <f>VLOOKUP(Table26[Function], Table1[], 5, FALSE)</f>
        <v>2.3737637185280827</v>
      </c>
      <c r="G192" s="122" t="s">
        <v>63</v>
      </c>
      <c r="H192" s="318" t="s">
        <v>63</v>
      </c>
      <c r="I192" s="122" t="s">
        <v>63</v>
      </c>
      <c r="J192" s="122" t="s">
        <v>63</v>
      </c>
      <c r="K192" s="125" t="s">
        <v>63</v>
      </c>
      <c r="L192" s="318" t="s">
        <v>63</v>
      </c>
      <c r="M192" s="122" t="s">
        <v>63</v>
      </c>
      <c r="N192" s="122" t="s">
        <v>63</v>
      </c>
      <c r="O192" s="122" t="s">
        <v>63</v>
      </c>
      <c r="P192" s="122" t="s">
        <v>63</v>
      </c>
      <c r="Q192" s="318" t="s">
        <v>63</v>
      </c>
      <c r="R192" s="122"/>
      <c r="S192" s="318"/>
      <c r="T192" s="170"/>
      <c r="U192" s="122"/>
      <c r="V192" s="122"/>
      <c r="W192" s="122"/>
      <c r="X192" s="339"/>
      <c r="Y192" s="21"/>
    </row>
    <row r="193" spans="1:25" ht="72" outlineLevel="1">
      <c r="A193" s="18" t="s">
        <v>1025</v>
      </c>
      <c r="B193" s="123" t="s">
        <v>10</v>
      </c>
      <c r="C193" s="123" t="s">
        <v>157</v>
      </c>
      <c r="D193" s="123" t="s">
        <v>484</v>
      </c>
      <c r="E193" s="123"/>
      <c r="F193" s="125">
        <f>VLOOKUP(Table26[Function], Table1[], 5, FALSE)</f>
        <v>1.69208521626856</v>
      </c>
      <c r="G193" s="19" t="s">
        <v>158</v>
      </c>
      <c r="H193" s="318" t="s">
        <v>36</v>
      </c>
      <c r="I193" s="122" t="s">
        <v>63</v>
      </c>
      <c r="J193" s="124">
        <f>1/4</f>
        <v>0.25</v>
      </c>
      <c r="K193" s="125">
        <f>Table26[[#This Row],[λ]]*Table26[[#This Row],[Failure rate distribution]]</f>
        <v>0.42302130406714</v>
      </c>
      <c r="L193" s="318" t="s">
        <v>63</v>
      </c>
      <c r="M193" s="20" t="str">
        <f>VLOOKUP(Table26[[#This Row],[Applicable Safety mechanism]],Table3[],2,FALSE)</f>
        <v>Not applicable</v>
      </c>
      <c r="N193" s="21" t="str">
        <f>VLOOKUP(Table26[[#This Row],[Applicable Safety mechanism]], Table3[], 3,FALSE)</f>
        <v>-</v>
      </c>
      <c r="O193" s="16">
        <f>VLOOKUP(Table26[[#This Row],[Applicable Safety mechanism]], Table3[], 6,FALSE)</f>
        <v>0</v>
      </c>
      <c r="P193" s="126">
        <f>IF(Table26[[#This Row],[Failure mode that has the potential to violate the safety goal in absence of safety mechanism?]]="Yes", Table26[[#This Row],[Failure mode rate]]*(1-Table26[[#This Row],[Failure mode coverage wrt. violation of safety goals]]), 0)</f>
        <v>0</v>
      </c>
      <c r="Q193" s="318" t="s">
        <v>36</v>
      </c>
      <c r="R193" s="122"/>
      <c r="S193" s="318"/>
      <c r="T193" s="170"/>
      <c r="U193" s="16"/>
      <c r="V193" s="127">
        <f>IF(Table26[[#This Row],[Failure mode that may lead to the violation of safety goals in combination with an independent failure of another block ?]]="Yes",(1-Table26[[#This Row],[Failure mode coverage with respect to latent failures]])*Table26[[#This Row],[Failure mode rate]], 0)</f>
        <v>0</v>
      </c>
      <c r="W193" s="123"/>
      <c r="X193" s="339" t="s">
        <v>36</v>
      </c>
      <c r="Y193" s="21">
        <f>IF(Table26[[#This Row],[SR]]="Yes",Table26[[#This Row],[λ]], 0)</f>
        <v>0</v>
      </c>
    </row>
    <row r="194" spans="1:25" outlineLevel="1">
      <c r="A194" s="128" t="s">
        <v>1026</v>
      </c>
      <c r="B194" s="123" t="s">
        <v>10</v>
      </c>
      <c r="C194" s="123" t="s">
        <v>157</v>
      </c>
      <c r="D194" s="123"/>
      <c r="E194" s="123"/>
      <c r="F194" s="125">
        <f>VLOOKUP(Table26[Function], Table1[], 5, FALSE)</f>
        <v>1.69208521626856</v>
      </c>
      <c r="G194" s="19" t="s">
        <v>159</v>
      </c>
      <c r="H194" s="318" t="s">
        <v>36</v>
      </c>
      <c r="I194" s="122" t="s">
        <v>63</v>
      </c>
      <c r="J194" s="124">
        <f>1/4</f>
        <v>0.25</v>
      </c>
      <c r="K194" s="125">
        <f>Table26[[#This Row],[λ]]*Table26[[#This Row],[Failure rate distribution]]</f>
        <v>0.42302130406714</v>
      </c>
      <c r="L194" s="318" t="s">
        <v>63</v>
      </c>
      <c r="M194" s="20" t="str">
        <f>VLOOKUP(Table26[[#This Row],[Applicable Safety mechanism]],Table3[],2,FALSE)</f>
        <v>Not applicable</v>
      </c>
      <c r="N194" s="21" t="str">
        <f>VLOOKUP(Table26[[#This Row],[Applicable Safety mechanism]], Table3[], 3,FALSE)</f>
        <v>-</v>
      </c>
      <c r="O194" s="16">
        <f>VLOOKUP(Table26[[#This Row],[Applicable Safety mechanism]], Table3[], 6,FALSE)</f>
        <v>0</v>
      </c>
      <c r="P194" s="126">
        <f>IF(Table26[[#This Row],[Failure mode that has the potential to violate the safety goal in absence of safety mechanism?]]="Yes", Table26[[#This Row],[Failure mode rate]]*(1-Table26[[#This Row],[Failure mode coverage wrt. violation of safety goals]]), 0)</f>
        <v>0</v>
      </c>
      <c r="Q194" s="318" t="s">
        <v>36</v>
      </c>
      <c r="R194" s="122"/>
      <c r="S194" s="318"/>
      <c r="T194" s="170"/>
      <c r="U194" s="16"/>
      <c r="V194" s="127">
        <f>IF(Table26[[#This Row],[Failure mode that may lead to the violation of safety goals in combination with an independent failure of another block ?]]="Yes",(1-Table26[[#This Row],[Failure mode coverage with respect to latent failures]])*Table26[[#This Row],[Failure mode rate]], 0)</f>
        <v>0</v>
      </c>
      <c r="W194" s="123"/>
      <c r="X194" s="339"/>
      <c r="Y194" s="21">
        <f>IF(Table26[[#This Row],[SR]]="Yes",Table26[[#This Row],[λ]], 0)</f>
        <v>0</v>
      </c>
    </row>
    <row r="195" spans="1:25" outlineLevel="1">
      <c r="A195" s="18" t="s">
        <v>1027</v>
      </c>
      <c r="B195" s="123" t="s">
        <v>10</v>
      </c>
      <c r="C195" s="123" t="s">
        <v>157</v>
      </c>
      <c r="D195" s="123"/>
      <c r="E195" s="123"/>
      <c r="F195" s="125">
        <f>VLOOKUP(Table26[Function], Table1[], 5, FALSE)</f>
        <v>1.69208521626856</v>
      </c>
      <c r="G195" s="19" t="s">
        <v>160</v>
      </c>
      <c r="H195" s="318" t="s">
        <v>36</v>
      </c>
      <c r="I195" s="122" t="s">
        <v>63</v>
      </c>
      <c r="J195" s="124">
        <f>1/4</f>
        <v>0.25</v>
      </c>
      <c r="K195" s="125">
        <f>Table26[[#This Row],[λ]]*Table26[[#This Row],[Failure rate distribution]]</f>
        <v>0.42302130406714</v>
      </c>
      <c r="L195" s="318" t="s">
        <v>63</v>
      </c>
      <c r="M195" s="20" t="str">
        <f>VLOOKUP(Table26[[#This Row],[Applicable Safety mechanism]],Table3[],2,FALSE)</f>
        <v>Not applicable</v>
      </c>
      <c r="N195" s="21" t="str">
        <f>VLOOKUP(Table26[[#This Row],[Applicable Safety mechanism]], Table3[], 3,FALSE)</f>
        <v>-</v>
      </c>
      <c r="O195" s="16">
        <f>VLOOKUP(Table26[[#This Row],[Applicable Safety mechanism]], Table3[], 6,FALSE)</f>
        <v>0</v>
      </c>
      <c r="P195" s="126">
        <f>IF(Table26[[#This Row],[Failure mode that has the potential to violate the safety goal in absence of safety mechanism?]]="Yes", Table26[[#This Row],[Failure mode rate]]*(1-Table26[[#This Row],[Failure mode coverage wrt. violation of safety goals]]), 0)</f>
        <v>0</v>
      </c>
      <c r="Q195" s="318" t="s">
        <v>36</v>
      </c>
      <c r="R195" s="122"/>
      <c r="S195" s="318"/>
      <c r="T195" s="170"/>
      <c r="U195" s="16"/>
      <c r="V195" s="127">
        <f>IF(Table26[[#This Row],[Failure mode that may lead to the violation of safety goals in combination with an independent failure of another block ?]]="Yes",(1-Table26[[#This Row],[Failure mode coverage with respect to latent failures]])*Table26[[#This Row],[Failure mode rate]], 0)</f>
        <v>0</v>
      </c>
      <c r="W195" s="123"/>
      <c r="X195" s="339"/>
      <c r="Y195" s="21">
        <f>IF(Table26[[#This Row],[SR]]="Yes",Table26[[#This Row],[λ]], 0)</f>
        <v>0</v>
      </c>
    </row>
    <row r="196" spans="1:25" outlineLevel="1">
      <c r="A196" s="128" t="s">
        <v>1028</v>
      </c>
      <c r="B196" s="123" t="s">
        <v>10</v>
      </c>
      <c r="C196" s="123" t="s">
        <v>157</v>
      </c>
      <c r="D196" s="123"/>
      <c r="E196" s="123"/>
      <c r="F196" s="125">
        <f>VLOOKUP(Table26[Function], Table1[], 5, FALSE)</f>
        <v>1.69208521626856</v>
      </c>
      <c r="G196" s="19" t="s">
        <v>161</v>
      </c>
      <c r="H196" s="318" t="s">
        <v>36</v>
      </c>
      <c r="I196" s="122" t="s">
        <v>63</v>
      </c>
      <c r="J196" s="124">
        <f>1/4</f>
        <v>0.25</v>
      </c>
      <c r="K196" s="70">
        <f>Table26[[#This Row],[λ]]*Table26[[#This Row],[Failure rate distribution]]</f>
        <v>0.42302130406714</v>
      </c>
      <c r="L196" s="318" t="s">
        <v>63</v>
      </c>
      <c r="M196" s="26" t="str">
        <f>VLOOKUP(Table26[[#This Row],[Applicable Safety mechanism]],Table3[],2,FALSE)</f>
        <v>Not applicable</v>
      </c>
      <c r="N196" s="27" t="str">
        <f>VLOOKUP(Table26[[#This Row],[Applicable Safety mechanism]], Table3[], 3,FALSE)</f>
        <v>-</v>
      </c>
      <c r="O196" s="28">
        <f>VLOOKUP(Table26[[#This Row],[Applicable Safety mechanism]], Table3[], 6,FALSE)</f>
        <v>0</v>
      </c>
      <c r="P196" s="29">
        <f>IF(Table26[[#This Row],[Failure mode that has the potential to violate the safety goal in absence of safety mechanism?]]="Yes", Table26[[#This Row],[Failure mode rate]]*(1-Table26[[#This Row],[Failure mode coverage wrt. violation of safety goals]]), 0)</f>
        <v>0</v>
      </c>
      <c r="Q196" s="318" t="s">
        <v>36</v>
      </c>
      <c r="R196" s="122"/>
      <c r="S196" s="318"/>
      <c r="T196" s="170"/>
      <c r="U196" s="16"/>
      <c r="V196" s="127">
        <f>IF(Table26[[#This Row],[Failure mode that may lead to the violation of safety goals in combination with an independent failure of another block ?]]="Yes",(1-Table26[[#This Row],[Failure mode coverage with respect to latent failures]])*Table26[[#This Row],[Failure mode rate]], 0)</f>
        <v>0</v>
      </c>
      <c r="W196" s="123"/>
      <c r="X196" s="339"/>
      <c r="Y196" s="21">
        <f>IF(Table26[[#This Row],[SR]]="Yes",Table26[[#This Row],[λ]], 0)</f>
        <v>0</v>
      </c>
    </row>
    <row r="197" spans="1:25">
      <c r="A197" s="18" t="s">
        <v>1029</v>
      </c>
      <c r="B197" s="130" t="s">
        <v>10</v>
      </c>
      <c r="C197" s="130" t="s">
        <v>157</v>
      </c>
      <c r="D197" s="122" t="s">
        <v>63</v>
      </c>
      <c r="E197" s="122"/>
      <c r="F197" s="125">
        <f>VLOOKUP(Table26[Function], Table1[], 5, FALSE)</f>
        <v>1.69208521626856</v>
      </c>
      <c r="G197" s="122" t="s">
        <v>63</v>
      </c>
      <c r="H197" s="318" t="s">
        <v>63</v>
      </c>
      <c r="I197" s="122" t="s">
        <v>63</v>
      </c>
      <c r="J197" s="122" t="s">
        <v>63</v>
      </c>
      <c r="K197" s="125" t="s">
        <v>63</v>
      </c>
      <c r="L197" s="318" t="s">
        <v>63</v>
      </c>
      <c r="M197" s="122" t="s">
        <v>63</v>
      </c>
      <c r="N197" s="122" t="s">
        <v>63</v>
      </c>
      <c r="O197" s="122" t="s">
        <v>63</v>
      </c>
      <c r="P197" s="122" t="s">
        <v>63</v>
      </c>
      <c r="Q197" s="318" t="s">
        <v>63</v>
      </c>
      <c r="R197" s="122"/>
      <c r="S197" s="318"/>
      <c r="T197" s="170"/>
      <c r="U197" s="122"/>
      <c r="V197" s="122"/>
      <c r="W197" s="122"/>
      <c r="X197" s="339"/>
      <c r="Y197" s="21"/>
    </row>
    <row r="198" spans="1:25" outlineLevel="1">
      <c r="A198" s="128" t="s">
        <v>1030</v>
      </c>
      <c r="B198" s="123" t="s">
        <v>499</v>
      </c>
      <c r="C198" s="123" t="s">
        <v>512</v>
      </c>
      <c r="D198" s="123"/>
      <c r="E198" s="123"/>
      <c r="F198" s="125">
        <f>VLOOKUP(Table26[Function], Table1[], 5, FALSE)</f>
        <v>1.69208521626856</v>
      </c>
      <c r="G198" s="19" t="s">
        <v>513</v>
      </c>
      <c r="H198" s="318" t="s">
        <v>36</v>
      </c>
      <c r="I198" s="122" t="s">
        <v>63</v>
      </c>
      <c r="J198" s="131">
        <f>(1/12)</f>
        <v>8.3333333333333329E-2</v>
      </c>
      <c r="K198" s="70">
        <f>Table2[[#This Row],[λ]]*Table2[[#This Row],[Failure rate distribution]]</f>
        <v>0.14100710135571332</v>
      </c>
      <c r="L198" s="318" t="s">
        <v>63</v>
      </c>
      <c r="M198" s="26" t="str">
        <f>VLOOKUP(Table26[[#This Row],[Applicable Safety mechanism]],Table3[],2,FALSE)</f>
        <v>Not applicable</v>
      </c>
      <c r="N198" s="27" t="str">
        <f>VLOOKUP(Table26[[#This Row],[Applicable Safety mechanism]], Table3[], 3,FALSE)</f>
        <v>-</v>
      </c>
      <c r="O198" s="28">
        <f>VLOOKUP(Table26[[#This Row],[Applicable Safety mechanism]], Table3[], 6,FALSE)</f>
        <v>0</v>
      </c>
      <c r="P198" s="29">
        <f>IF(Table26[[#This Row],[Failure mode that has the potential to violate the safety goal in absence of safety mechanism?]]="Yes", Table26[[#This Row],[Failure mode rate]]*(1-Table26[[#This Row],[Failure mode coverage wrt. violation of safety goals]]), 0)</f>
        <v>0</v>
      </c>
      <c r="Q198" s="318" t="s">
        <v>36</v>
      </c>
      <c r="R198" s="122"/>
      <c r="S198" s="318"/>
      <c r="T198" s="170"/>
      <c r="U198" s="16"/>
      <c r="V198" s="127">
        <f>IF(Table26[[#This Row],[Failure mode that may lead to the violation of safety goals in combination with an independent failure of another block ?]]="Yes",(1-Table26[[#This Row],[Failure mode coverage with respect to latent failures]])*Table26[[#This Row],[Failure mode rate]], 0)</f>
        <v>0</v>
      </c>
      <c r="W198" s="123"/>
      <c r="X198" s="339" t="s">
        <v>36</v>
      </c>
      <c r="Y198" s="21">
        <f>IF(Table26[[#This Row],[SR]]="Yes",Table26[[#This Row],[λ]], 0)</f>
        <v>0</v>
      </c>
    </row>
    <row r="199" spans="1:25" outlineLevel="1">
      <c r="A199" s="18" t="s">
        <v>1031</v>
      </c>
      <c r="B199" s="123" t="s">
        <v>499</v>
      </c>
      <c r="C199" s="123"/>
      <c r="D199" s="123"/>
      <c r="E199" s="123"/>
      <c r="F199" s="125">
        <f>VLOOKUP(Table26[Function], Table1[], 5, FALSE)</f>
        <v>1.69208521626856</v>
      </c>
      <c r="G199" s="19" t="s">
        <v>514</v>
      </c>
      <c r="H199" s="318" t="s">
        <v>36</v>
      </c>
      <c r="I199" s="122" t="s">
        <v>63</v>
      </c>
      <c r="J199" s="131">
        <f t="shared" ref="J199:J209" si="13">(1/12)</f>
        <v>8.3333333333333329E-2</v>
      </c>
      <c r="K199" s="70">
        <f>Table2[[#This Row],[λ]]*Table2[[#This Row],[Failure rate distribution]]</f>
        <v>0.14100710135571332</v>
      </c>
      <c r="L199" s="318" t="s">
        <v>63</v>
      </c>
      <c r="M199" s="26" t="str">
        <f>VLOOKUP(Table26[[#This Row],[Applicable Safety mechanism]],Table3[],2,FALSE)</f>
        <v>Not applicable</v>
      </c>
      <c r="N199" s="27" t="str">
        <f>VLOOKUP(Table26[[#This Row],[Applicable Safety mechanism]], Table3[], 3,FALSE)</f>
        <v>-</v>
      </c>
      <c r="O199" s="28">
        <f>VLOOKUP(Table26[[#This Row],[Applicable Safety mechanism]], Table3[], 6,FALSE)</f>
        <v>0</v>
      </c>
      <c r="P199" s="29">
        <f>IF(Table26[[#This Row],[Failure mode that has the potential to violate the safety goal in absence of safety mechanism?]]="Yes", Table26[[#This Row],[Failure mode rate]]*(1-Table26[[#This Row],[Failure mode coverage wrt. violation of safety goals]]), 0)</f>
        <v>0</v>
      </c>
      <c r="Q199" s="318" t="s">
        <v>36</v>
      </c>
      <c r="R199" s="122"/>
      <c r="S199" s="318"/>
      <c r="T199" s="170"/>
      <c r="U199" s="16"/>
      <c r="V199" s="127">
        <f>IF(Table26[[#This Row],[Failure mode that may lead to the violation of safety goals in combination with an independent failure of another block ?]]="Yes",(1-Table26[[#This Row],[Failure mode coverage with respect to latent failures]])*Table26[[#This Row],[Failure mode rate]], 0)</f>
        <v>0</v>
      </c>
      <c r="W199" s="123"/>
      <c r="X199" s="339"/>
      <c r="Y199" s="21">
        <f>IF(Table26[[#This Row],[SR]]="Yes",Table26[[#This Row],[λ]], 0)</f>
        <v>0</v>
      </c>
    </row>
    <row r="200" spans="1:25" outlineLevel="1">
      <c r="A200" s="128" t="s">
        <v>1032</v>
      </c>
      <c r="B200" s="123" t="s">
        <v>499</v>
      </c>
      <c r="C200" s="123"/>
      <c r="D200" s="123"/>
      <c r="E200" s="123"/>
      <c r="F200" s="125">
        <f>VLOOKUP(Table26[Function], Table1[], 5, FALSE)</f>
        <v>1.69208521626856</v>
      </c>
      <c r="G200" s="19" t="s">
        <v>515</v>
      </c>
      <c r="H200" s="318" t="s">
        <v>36</v>
      </c>
      <c r="I200" s="122" t="s">
        <v>63</v>
      </c>
      <c r="J200" s="131">
        <f t="shared" si="13"/>
        <v>8.3333333333333329E-2</v>
      </c>
      <c r="K200" s="70">
        <f>Table2[[#This Row],[λ]]*Table2[[#This Row],[Failure rate distribution]]</f>
        <v>0.14100710135571332</v>
      </c>
      <c r="L200" s="318" t="s">
        <v>63</v>
      </c>
      <c r="M200" s="26" t="str">
        <f>VLOOKUP(Table26[[#This Row],[Applicable Safety mechanism]],Table3[],2,FALSE)</f>
        <v>Not applicable</v>
      </c>
      <c r="N200" s="27" t="str">
        <f>VLOOKUP(Table26[[#This Row],[Applicable Safety mechanism]], Table3[], 3,FALSE)</f>
        <v>-</v>
      </c>
      <c r="O200" s="28">
        <f>VLOOKUP(Table26[[#This Row],[Applicable Safety mechanism]], Table3[], 6,FALSE)</f>
        <v>0</v>
      </c>
      <c r="P200" s="29">
        <f>IF(Table26[[#This Row],[Failure mode that has the potential to violate the safety goal in absence of safety mechanism?]]="Yes", Table26[[#This Row],[Failure mode rate]]*(1-Table26[[#This Row],[Failure mode coverage wrt. violation of safety goals]]), 0)</f>
        <v>0</v>
      </c>
      <c r="Q200" s="318" t="s">
        <v>36</v>
      </c>
      <c r="R200" s="122"/>
      <c r="S200" s="318"/>
      <c r="T200" s="170"/>
      <c r="U200" s="16"/>
      <c r="V200" s="127">
        <f>IF(Table26[[#This Row],[Failure mode that may lead to the violation of safety goals in combination with an independent failure of another block ?]]="Yes",(1-Table26[[#This Row],[Failure mode coverage with respect to latent failures]])*Table26[[#This Row],[Failure mode rate]], 0)</f>
        <v>0</v>
      </c>
      <c r="W200" s="123"/>
      <c r="X200" s="339"/>
      <c r="Y200" s="21">
        <f>IF(Table26[[#This Row],[SR]]="Yes",Table26[[#This Row],[λ]], 0)</f>
        <v>0</v>
      </c>
    </row>
    <row r="201" spans="1:25" outlineLevel="1">
      <c r="A201" s="18" t="s">
        <v>1033</v>
      </c>
      <c r="B201" s="123" t="s">
        <v>499</v>
      </c>
      <c r="C201" s="123"/>
      <c r="D201" s="123"/>
      <c r="E201" s="123"/>
      <c r="F201" s="125">
        <f>VLOOKUP(Table26[Function], Table1[], 5, FALSE)</f>
        <v>1.69208521626856</v>
      </c>
      <c r="G201" s="19" t="s">
        <v>516</v>
      </c>
      <c r="H201" s="318" t="s">
        <v>36</v>
      </c>
      <c r="I201" s="122" t="s">
        <v>63</v>
      </c>
      <c r="J201" s="131">
        <f t="shared" si="13"/>
        <v>8.3333333333333329E-2</v>
      </c>
      <c r="K201" s="70">
        <f>Table2[[#This Row],[λ]]*Table2[[#This Row],[Failure rate distribution]]</f>
        <v>0.14100710135571332</v>
      </c>
      <c r="L201" s="318" t="s">
        <v>63</v>
      </c>
      <c r="M201" s="26" t="str">
        <f>VLOOKUP(Table26[[#This Row],[Applicable Safety mechanism]],Table3[],2,FALSE)</f>
        <v>Not applicable</v>
      </c>
      <c r="N201" s="27" t="str">
        <f>VLOOKUP(Table26[[#This Row],[Applicable Safety mechanism]], Table3[], 3,FALSE)</f>
        <v>-</v>
      </c>
      <c r="O201" s="28">
        <f>VLOOKUP(Table26[[#This Row],[Applicable Safety mechanism]], Table3[], 6,FALSE)</f>
        <v>0</v>
      </c>
      <c r="P201" s="29">
        <f>IF(Table26[[#This Row],[Failure mode that has the potential to violate the safety goal in absence of safety mechanism?]]="Yes", Table26[[#This Row],[Failure mode rate]]*(1-Table26[[#This Row],[Failure mode coverage wrt. violation of safety goals]]), 0)</f>
        <v>0</v>
      </c>
      <c r="Q201" s="318" t="s">
        <v>36</v>
      </c>
      <c r="R201" s="122"/>
      <c r="S201" s="318"/>
      <c r="T201" s="170"/>
      <c r="U201" s="16"/>
      <c r="V201" s="127">
        <f>IF(Table26[[#This Row],[Failure mode that may lead to the violation of safety goals in combination with an independent failure of another block ?]]="Yes",(1-Table26[[#This Row],[Failure mode coverage with respect to latent failures]])*Table26[[#This Row],[Failure mode rate]], 0)</f>
        <v>0</v>
      </c>
      <c r="W201" s="123"/>
      <c r="X201" s="339"/>
      <c r="Y201" s="21">
        <f>IF(Table26[[#This Row],[SR]]="Yes",Table26[[#This Row],[λ]], 0)</f>
        <v>0</v>
      </c>
    </row>
    <row r="202" spans="1:25" outlineLevel="1">
      <c r="A202" s="128" t="s">
        <v>1034</v>
      </c>
      <c r="B202" s="123" t="s">
        <v>499</v>
      </c>
      <c r="C202" s="123"/>
      <c r="D202" s="123"/>
      <c r="E202" s="123"/>
      <c r="F202" s="125">
        <f>VLOOKUP(Table26[Function], Table1[], 5, FALSE)</f>
        <v>1.69208521626856</v>
      </c>
      <c r="G202" s="19" t="s">
        <v>517</v>
      </c>
      <c r="H202" s="318" t="s">
        <v>36</v>
      </c>
      <c r="I202" s="122" t="s">
        <v>63</v>
      </c>
      <c r="J202" s="131">
        <f t="shared" si="13"/>
        <v>8.3333333333333329E-2</v>
      </c>
      <c r="K202" s="70">
        <f>Table2[[#This Row],[λ]]*Table2[[#This Row],[Failure rate distribution]]</f>
        <v>0.14100710135571332</v>
      </c>
      <c r="L202" s="318" t="s">
        <v>63</v>
      </c>
      <c r="M202" s="26" t="str">
        <f>VLOOKUP(Table26[[#This Row],[Applicable Safety mechanism]],Table3[],2,FALSE)</f>
        <v>Not applicable</v>
      </c>
      <c r="N202" s="27" t="str">
        <f>VLOOKUP(Table26[[#This Row],[Applicable Safety mechanism]], Table3[], 3,FALSE)</f>
        <v>-</v>
      </c>
      <c r="O202" s="28">
        <f>VLOOKUP(Table26[[#This Row],[Applicable Safety mechanism]], Table3[], 6,FALSE)</f>
        <v>0</v>
      </c>
      <c r="P202" s="29">
        <f>IF(Table26[[#This Row],[Failure mode that has the potential to violate the safety goal in absence of safety mechanism?]]="Yes", Table26[[#This Row],[Failure mode rate]]*(1-Table26[[#This Row],[Failure mode coverage wrt. violation of safety goals]]), 0)</f>
        <v>0</v>
      </c>
      <c r="Q202" s="318" t="s">
        <v>36</v>
      </c>
      <c r="R202" s="122"/>
      <c r="S202" s="318"/>
      <c r="T202" s="170"/>
      <c r="U202" s="16"/>
      <c r="V202" s="127">
        <f>IF(Table26[[#This Row],[Failure mode that may lead to the violation of safety goals in combination with an independent failure of another block ?]]="Yes",(1-Table26[[#This Row],[Failure mode coverage with respect to latent failures]])*Table26[[#This Row],[Failure mode rate]], 0)</f>
        <v>0</v>
      </c>
      <c r="W202" s="123"/>
      <c r="X202" s="339"/>
      <c r="Y202" s="21">
        <f>IF(Table26[[#This Row],[SR]]="Yes",Table26[[#This Row],[λ]], 0)</f>
        <v>0</v>
      </c>
    </row>
    <row r="203" spans="1:25" outlineLevel="1">
      <c r="A203" s="18" t="s">
        <v>1035</v>
      </c>
      <c r="B203" s="123" t="s">
        <v>499</v>
      </c>
      <c r="C203" s="123"/>
      <c r="D203" s="123"/>
      <c r="E203" s="123"/>
      <c r="F203" s="125">
        <f>VLOOKUP(Table26[Function], Table1[], 5, FALSE)</f>
        <v>1.69208521626856</v>
      </c>
      <c r="G203" s="19" t="s">
        <v>518</v>
      </c>
      <c r="H203" s="318" t="s">
        <v>36</v>
      </c>
      <c r="I203" s="122" t="s">
        <v>63</v>
      </c>
      <c r="J203" s="131">
        <f t="shared" si="13"/>
        <v>8.3333333333333329E-2</v>
      </c>
      <c r="K203" s="70">
        <f>Table2[[#This Row],[λ]]*Table2[[#This Row],[Failure rate distribution]]</f>
        <v>0.14100710135571332</v>
      </c>
      <c r="L203" s="318" t="s">
        <v>63</v>
      </c>
      <c r="M203" s="26" t="str">
        <f>VLOOKUP(Table26[[#This Row],[Applicable Safety mechanism]],Table3[],2,FALSE)</f>
        <v>Not applicable</v>
      </c>
      <c r="N203" s="27" t="str">
        <f>VLOOKUP(Table26[[#This Row],[Applicable Safety mechanism]], Table3[], 3,FALSE)</f>
        <v>-</v>
      </c>
      <c r="O203" s="28">
        <f>VLOOKUP(Table26[[#This Row],[Applicable Safety mechanism]], Table3[], 6,FALSE)</f>
        <v>0</v>
      </c>
      <c r="P203" s="29">
        <f>IF(Table26[[#This Row],[Failure mode that has the potential to violate the safety goal in absence of safety mechanism?]]="Yes", Table26[[#This Row],[Failure mode rate]]*(1-Table26[[#This Row],[Failure mode coverage wrt. violation of safety goals]]), 0)</f>
        <v>0</v>
      </c>
      <c r="Q203" s="318" t="s">
        <v>36</v>
      </c>
      <c r="R203" s="122"/>
      <c r="S203" s="318"/>
      <c r="T203" s="170"/>
      <c r="U203" s="16"/>
      <c r="V203" s="127">
        <f>IF(Table26[[#This Row],[Failure mode that may lead to the violation of safety goals in combination with an independent failure of another block ?]]="Yes",(1-Table26[[#This Row],[Failure mode coverage with respect to latent failures]])*Table26[[#This Row],[Failure mode rate]], 0)</f>
        <v>0</v>
      </c>
      <c r="W203" s="123"/>
      <c r="X203" s="339"/>
      <c r="Y203" s="21">
        <f>IF(Table26[[#This Row],[SR]]="Yes",Table26[[#This Row],[λ]], 0)</f>
        <v>0</v>
      </c>
    </row>
    <row r="204" spans="1:25" outlineLevel="1">
      <c r="A204" s="128" t="s">
        <v>1036</v>
      </c>
      <c r="B204" s="123" t="s">
        <v>499</v>
      </c>
      <c r="C204" s="123"/>
      <c r="D204" s="123"/>
      <c r="E204" s="123"/>
      <c r="F204" s="125">
        <f>VLOOKUP(Table26[Function], Table1[], 5, FALSE)</f>
        <v>1.69208521626856</v>
      </c>
      <c r="G204" s="19" t="s">
        <v>519</v>
      </c>
      <c r="H204" s="318" t="s">
        <v>36</v>
      </c>
      <c r="I204" s="122" t="s">
        <v>63</v>
      </c>
      <c r="J204" s="131">
        <f t="shared" si="13"/>
        <v>8.3333333333333329E-2</v>
      </c>
      <c r="K204" s="70">
        <f>Table2[[#This Row],[λ]]*Table2[[#This Row],[Failure rate distribution]]</f>
        <v>0.14100710135571332</v>
      </c>
      <c r="L204" s="318" t="s">
        <v>63</v>
      </c>
      <c r="M204" s="26" t="str">
        <f>VLOOKUP(Table26[[#This Row],[Applicable Safety mechanism]],Table3[],2,FALSE)</f>
        <v>Not applicable</v>
      </c>
      <c r="N204" s="27" t="str">
        <f>VLOOKUP(Table26[[#This Row],[Applicable Safety mechanism]], Table3[], 3,FALSE)</f>
        <v>-</v>
      </c>
      <c r="O204" s="28">
        <f>VLOOKUP(Table26[[#This Row],[Applicable Safety mechanism]], Table3[], 6,FALSE)</f>
        <v>0</v>
      </c>
      <c r="P204" s="29">
        <f>IF(Table26[[#This Row],[Failure mode that has the potential to violate the safety goal in absence of safety mechanism?]]="Yes", Table26[[#This Row],[Failure mode rate]]*(1-Table26[[#This Row],[Failure mode coverage wrt. violation of safety goals]]), 0)</f>
        <v>0</v>
      </c>
      <c r="Q204" s="318" t="s">
        <v>36</v>
      </c>
      <c r="R204" s="122"/>
      <c r="S204" s="318"/>
      <c r="T204" s="170"/>
      <c r="U204" s="16"/>
      <c r="V204" s="127">
        <f>IF(Table26[[#This Row],[Failure mode that may lead to the violation of safety goals in combination with an independent failure of another block ?]]="Yes",(1-Table26[[#This Row],[Failure mode coverage with respect to latent failures]])*Table26[[#This Row],[Failure mode rate]], 0)</f>
        <v>0</v>
      </c>
      <c r="W204" s="123"/>
      <c r="X204" s="339"/>
      <c r="Y204" s="21">
        <f>IF(Table26[[#This Row],[SR]]="Yes",Table26[[#This Row],[λ]], 0)</f>
        <v>0</v>
      </c>
    </row>
    <row r="205" spans="1:25" outlineLevel="1">
      <c r="A205" s="18" t="s">
        <v>1037</v>
      </c>
      <c r="B205" s="123" t="s">
        <v>499</v>
      </c>
      <c r="C205" s="123"/>
      <c r="D205" s="123"/>
      <c r="E205" s="123"/>
      <c r="F205" s="125">
        <f>VLOOKUP(Table26[Function], Table1[], 5, FALSE)</f>
        <v>1.69208521626856</v>
      </c>
      <c r="G205" s="19" t="s">
        <v>520</v>
      </c>
      <c r="H205" s="318" t="s">
        <v>36</v>
      </c>
      <c r="I205" s="122" t="s">
        <v>63</v>
      </c>
      <c r="J205" s="131">
        <f t="shared" si="13"/>
        <v>8.3333333333333329E-2</v>
      </c>
      <c r="K205" s="70">
        <f>Table2[[#This Row],[λ]]*Table2[[#This Row],[Failure rate distribution]]</f>
        <v>0.14100710135571332</v>
      </c>
      <c r="L205" s="318" t="s">
        <v>63</v>
      </c>
      <c r="M205" s="26" t="str">
        <f>VLOOKUP(Table26[[#This Row],[Applicable Safety mechanism]],Table3[],2,FALSE)</f>
        <v>Not applicable</v>
      </c>
      <c r="N205" s="27" t="str">
        <f>VLOOKUP(Table26[[#This Row],[Applicable Safety mechanism]], Table3[], 3,FALSE)</f>
        <v>-</v>
      </c>
      <c r="O205" s="28">
        <f>VLOOKUP(Table26[[#This Row],[Applicable Safety mechanism]], Table3[], 6,FALSE)</f>
        <v>0</v>
      </c>
      <c r="P205" s="29">
        <f>IF(Table26[[#This Row],[Failure mode that has the potential to violate the safety goal in absence of safety mechanism?]]="Yes", Table26[[#This Row],[Failure mode rate]]*(1-Table26[[#This Row],[Failure mode coverage wrt. violation of safety goals]]), 0)</f>
        <v>0</v>
      </c>
      <c r="Q205" s="318" t="s">
        <v>36</v>
      </c>
      <c r="R205" s="122"/>
      <c r="S205" s="318"/>
      <c r="T205" s="170"/>
      <c r="U205" s="16"/>
      <c r="V205" s="127">
        <f>IF(Table26[[#This Row],[Failure mode that may lead to the violation of safety goals in combination with an independent failure of another block ?]]="Yes",(1-Table26[[#This Row],[Failure mode coverage with respect to latent failures]])*Table26[[#This Row],[Failure mode rate]], 0)</f>
        <v>0</v>
      </c>
      <c r="W205" s="123"/>
      <c r="X205" s="339"/>
      <c r="Y205" s="21">
        <f>IF(Table26[[#This Row],[SR]]="Yes",Table26[[#This Row],[λ]], 0)</f>
        <v>0</v>
      </c>
    </row>
    <row r="206" spans="1:25" outlineLevel="1">
      <c r="A206" s="128" t="s">
        <v>1038</v>
      </c>
      <c r="B206" s="123" t="s">
        <v>499</v>
      </c>
      <c r="C206" s="123"/>
      <c r="D206" s="123"/>
      <c r="E206" s="123"/>
      <c r="F206" s="125">
        <f>VLOOKUP(Table26[Function], Table1[], 5, FALSE)</f>
        <v>1.69208521626856</v>
      </c>
      <c r="G206" s="19" t="s">
        <v>521</v>
      </c>
      <c r="H206" s="318" t="s">
        <v>36</v>
      </c>
      <c r="I206" s="122" t="s">
        <v>63</v>
      </c>
      <c r="J206" s="131">
        <f t="shared" si="13"/>
        <v>8.3333333333333329E-2</v>
      </c>
      <c r="K206" s="70">
        <f>Table2[[#This Row],[λ]]*Table2[[#This Row],[Failure rate distribution]]</f>
        <v>0.14100710135571332</v>
      </c>
      <c r="L206" s="318" t="s">
        <v>63</v>
      </c>
      <c r="M206" s="26" t="str">
        <f>VLOOKUP(Table26[[#This Row],[Applicable Safety mechanism]],Table3[],2,FALSE)</f>
        <v>Not applicable</v>
      </c>
      <c r="N206" s="27" t="str">
        <f>VLOOKUP(Table26[[#This Row],[Applicable Safety mechanism]], Table3[], 3,FALSE)</f>
        <v>-</v>
      </c>
      <c r="O206" s="28">
        <f>VLOOKUP(Table26[[#This Row],[Applicable Safety mechanism]], Table3[], 6,FALSE)</f>
        <v>0</v>
      </c>
      <c r="P206" s="29">
        <f>IF(Table26[[#This Row],[Failure mode that has the potential to violate the safety goal in absence of safety mechanism?]]="Yes", Table26[[#This Row],[Failure mode rate]]*(1-Table26[[#This Row],[Failure mode coverage wrt. violation of safety goals]]), 0)</f>
        <v>0</v>
      </c>
      <c r="Q206" s="318" t="s">
        <v>36</v>
      </c>
      <c r="R206" s="122"/>
      <c r="S206" s="318"/>
      <c r="T206" s="170"/>
      <c r="U206" s="16"/>
      <c r="V206" s="127">
        <f>IF(Table26[[#This Row],[Failure mode that may lead to the violation of safety goals in combination with an independent failure of another block ?]]="Yes",(1-Table26[[#This Row],[Failure mode coverage with respect to latent failures]])*Table26[[#This Row],[Failure mode rate]], 0)</f>
        <v>0</v>
      </c>
      <c r="W206" s="123"/>
      <c r="X206" s="339"/>
      <c r="Y206" s="21">
        <f>IF(Table26[[#This Row],[SR]]="Yes",Table26[[#This Row],[λ]], 0)</f>
        <v>0</v>
      </c>
    </row>
    <row r="207" spans="1:25" outlineLevel="1">
      <c r="A207" s="18" t="s">
        <v>1039</v>
      </c>
      <c r="B207" s="123" t="s">
        <v>499</v>
      </c>
      <c r="C207" s="123"/>
      <c r="D207" s="123"/>
      <c r="E207" s="123"/>
      <c r="F207" s="125">
        <f>VLOOKUP(Table26[Function], Table1[], 5, FALSE)</f>
        <v>1.69208521626856</v>
      </c>
      <c r="G207" s="19" t="s">
        <v>522</v>
      </c>
      <c r="H207" s="318" t="s">
        <v>36</v>
      </c>
      <c r="I207" s="122" t="s">
        <v>63</v>
      </c>
      <c r="J207" s="131">
        <f t="shared" si="13"/>
        <v>8.3333333333333329E-2</v>
      </c>
      <c r="K207" s="70">
        <f>Table2[[#This Row],[λ]]*Table2[[#This Row],[Failure rate distribution]]</f>
        <v>0.14100710135571332</v>
      </c>
      <c r="L207" s="318" t="s">
        <v>63</v>
      </c>
      <c r="M207" s="26" t="str">
        <f>VLOOKUP(Table26[[#This Row],[Applicable Safety mechanism]],Table3[],2,FALSE)</f>
        <v>Not applicable</v>
      </c>
      <c r="N207" s="27" t="str">
        <f>VLOOKUP(Table26[[#This Row],[Applicable Safety mechanism]], Table3[], 3,FALSE)</f>
        <v>-</v>
      </c>
      <c r="O207" s="28">
        <f>VLOOKUP(Table26[[#This Row],[Applicable Safety mechanism]], Table3[], 6,FALSE)</f>
        <v>0</v>
      </c>
      <c r="P207" s="29">
        <f>IF(Table26[[#This Row],[Failure mode that has the potential to violate the safety goal in absence of safety mechanism?]]="Yes", Table26[[#This Row],[Failure mode rate]]*(1-Table26[[#This Row],[Failure mode coverage wrt. violation of safety goals]]), 0)</f>
        <v>0</v>
      </c>
      <c r="Q207" s="318" t="s">
        <v>36</v>
      </c>
      <c r="R207" s="122"/>
      <c r="S207" s="318"/>
      <c r="T207" s="170"/>
      <c r="U207" s="16"/>
      <c r="V207" s="127">
        <f>IF(Table26[[#This Row],[Failure mode that may lead to the violation of safety goals in combination with an independent failure of another block ?]]="Yes",(1-Table26[[#This Row],[Failure mode coverage with respect to latent failures]])*Table26[[#This Row],[Failure mode rate]], 0)</f>
        <v>0</v>
      </c>
      <c r="W207" s="123"/>
      <c r="X207" s="339"/>
      <c r="Y207" s="21">
        <f>IF(Table26[[#This Row],[SR]]="Yes",Table26[[#This Row],[λ]], 0)</f>
        <v>0</v>
      </c>
    </row>
    <row r="208" spans="1:25" outlineLevel="1">
      <c r="A208" s="128" t="s">
        <v>1040</v>
      </c>
      <c r="B208" s="123" t="s">
        <v>499</v>
      </c>
      <c r="C208" s="123"/>
      <c r="D208" s="123"/>
      <c r="E208" s="123"/>
      <c r="F208" s="125">
        <f>VLOOKUP(Table26[Function], Table1[], 5, FALSE)</f>
        <v>1.69208521626856</v>
      </c>
      <c r="G208" s="19" t="s">
        <v>523</v>
      </c>
      <c r="H208" s="318" t="s">
        <v>36</v>
      </c>
      <c r="I208" s="122" t="s">
        <v>63</v>
      </c>
      <c r="J208" s="131">
        <f t="shared" si="13"/>
        <v>8.3333333333333329E-2</v>
      </c>
      <c r="K208" s="70">
        <f>Table2[[#This Row],[λ]]*Table2[[#This Row],[Failure rate distribution]]</f>
        <v>0.14100710135571332</v>
      </c>
      <c r="L208" s="318" t="s">
        <v>63</v>
      </c>
      <c r="M208" s="26" t="str">
        <f>VLOOKUP(Table26[[#This Row],[Applicable Safety mechanism]],Table3[],2,FALSE)</f>
        <v>Not applicable</v>
      </c>
      <c r="N208" s="27" t="str">
        <f>VLOOKUP(Table26[[#This Row],[Applicable Safety mechanism]], Table3[], 3,FALSE)</f>
        <v>-</v>
      </c>
      <c r="O208" s="28">
        <f>VLOOKUP(Table26[[#This Row],[Applicable Safety mechanism]], Table3[], 6,FALSE)</f>
        <v>0</v>
      </c>
      <c r="P208" s="29">
        <f>IF(Table26[[#This Row],[Failure mode that has the potential to violate the safety goal in absence of safety mechanism?]]="Yes", Table26[[#This Row],[Failure mode rate]]*(1-Table26[[#This Row],[Failure mode coverage wrt. violation of safety goals]]), 0)</f>
        <v>0</v>
      </c>
      <c r="Q208" s="318" t="s">
        <v>36</v>
      </c>
      <c r="R208" s="122"/>
      <c r="S208" s="318"/>
      <c r="T208" s="170"/>
      <c r="U208" s="16"/>
      <c r="V208" s="127">
        <f>IF(Table26[[#This Row],[Failure mode that may lead to the violation of safety goals in combination with an independent failure of another block ?]]="Yes",(1-Table26[[#This Row],[Failure mode coverage with respect to latent failures]])*Table26[[#This Row],[Failure mode rate]], 0)</f>
        <v>0</v>
      </c>
      <c r="W208" s="123"/>
      <c r="X208" s="339"/>
      <c r="Y208" s="21">
        <f>IF(Table26[[#This Row],[SR]]="Yes",Table26[[#This Row],[λ]], 0)</f>
        <v>0</v>
      </c>
    </row>
    <row r="209" spans="1:25" outlineLevel="1">
      <c r="A209" s="18" t="s">
        <v>1041</v>
      </c>
      <c r="B209" s="123" t="s">
        <v>499</v>
      </c>
      <c r="C209" s="123"/>
      <c r="D209" s="123"/>
      <c r="E209" s="123"/>
      <c r="F209" s="125">
        <f>VLOOKUP(Table26[Function], Table1[], 5, FALSE)</f>
        <v>1.69208521626856</v>
      </c>
      <c r="G209" s="19" t="s">
        <v>524</v>
      </c>
      <c r="H209" s="318" t="s">
        <v>36</v>
      </c>
      <c r="I209" s="122" t="s">
        <v>63</v>
      </c>
      <c r="J209" s="131">
        <f t="shared" si="13"/>
        <v>8.3333333333333329E-2</v>
      </c>
      <c r="K209" s="70">
        <f>Table2[[#This Row],[λ]]*Table2[[#This Row],[Failure rate distribution]]</f>
        <v>0.14100710135571332</v>
      </c>
      <c r="L209" s="318" t="s">
        <v>63</v>
      </c>
      <c r="M209" s="26" t="str">
        <f>VLOOKUP(Table26[[#This Row],[Applicable Safety mechanism]],Table3[],2,FALSE)</f>
        <v>Not applicable</v>
      </c>
      <c r="N209" s="27" t="str">
        <f>VLOOKUP(Table26[[#This Row],[Applicable Safety mechanism]], Table3[], 3,FALSE)</f>
        <v>-</v>
      </c>
      <c r="O209" s="28">
        <f>VLOOKUP(Table26[[#This Row],[Applicable Safety mechanism]], Table3[], 6,FALSE)</f>
        <v>0</v>
      </c>
      <c r="P209" s="29">
        <f>IF(Table26[[#This Row],[Failure mode that has the potential to violate the safety goal in absence of safety mechanism?]]="Yes", Table26[[#This Row],[Failure mode rate]]*(1-Table26[[#This Row],[Failure mode coverage wrt. violation of safety goals]]), 0)</f>
        <v>0</v>
      </c>
      <c r="Q209" s="318" t="s">
        <v>36</v>
      </c>
      <c r="R209" s="122"/>
      <c r="S209" s="318"/>
      <c r="T209" s="170"/>
      <c r="U209" s="16"/>
      <c r="V209" s="127">
        <f>IF(Table26[[#This Row],[Failure mode that may lead to the violation of safety goals in combination with an independent failure of another block ?]]="Yes",(1-Table26[[#This Row],[Failure mode coverage with respect to latent failures]])*Table26[[#This Row],[Failure mode rate]], 0)</f>
        <v>0</v>
      </c>
      <c r="W209" s="123"/>
      <c r="X209" s="339"/>
      <c r="Y209" s="21">
        <f>IF(Table26[[#This Row],[SR]]="Yes",Table26[[#This Row],[λ]], 0)</f>
        <v>0</v>
      </c>
    </row>
    <row r="210" spans="1:25">
      <c r="A210" s="128" t="s">
        <v>1042</v>
      </c>
      <c r="B210" s="130" t="s">
        <v>499</v>
      </c>
      <c r="C210" s="130" t="s">
        <v>512</v>
      </c>
      <c r="D210" s="122" t="s">
        <v>63</v>
      </c>
      <c r="E210" s="122"/>
      <c r="F210" s="125">
        <f>VLOOKUP(Table26[Function], Table1[], 5, FALSE)</f>
        <v>1.69208521626856</v>
      </c>
      <c r="G210" s="122" t="s">
        <v>63</v>
      </c>
      <c r="H210" s="318" t="s">
        <v>63</v>
      </c>
      <c r="I210" s="122" t="s">
        <v>63</v>
      </c>
      <c r="J210" s="122" t="s">
        <v>63</v>
      </c>
      <c r="K210" s="125" t="s">
        <v>63</v>
      </c>
      <c r="L210" s="325" t="s">
        <v>63</v>
      </c>
      <c r="M210" s="122" t="s">
        <v>63</v>
      </c>
      <c r="N210" s="125" t="s">
        <v>63</v>
      </c>
      <c r="O210" s="122" t="s">
        <v>63</v>
      </c>
      <c r="P210" s="122" t="s">
        <v>63</v>
      </c>
      <c r="Q210" s="318" t="s">
        <v>63</v>
      </c>
      <c r="R210" s="122"/>
      <c r="S210" s="318"/>
      <c r="T210" s="170"/>
      <c r="U210" s="122"/>
      <c r="V210" s="122"/>
      <c r="W210" s="122"/>
      <c r="X210" s="339"/>
      <c r="Y210" s="21"/>
    </row>
    <row r="211" spans="1:25" ht="86.4" outlineLevel="1">
      <c r="A211" s="18" t="s">
        <v>1043</v>
      </c>
      <c r="B211" s="123" t="s">
        <v>403</v>
      </c>
      <c r="C211" s="123" t="s">
        <v>421</v>
      </c>
      <c r="D211" s="123" t="s">
        <v>218</v>
      </c>
      <c r="E211" s="123" t="s">
        <v>219</v>
      </c>
      <c r="F211" s="125">
        <f>VLOOKUP(Table26[Function], Table1[], 5, FALSE)</f>
        <v>8.3220142027114257</v>
      </c>
      <c r="G211" s="19" t="s">
        <v>162</v>
      </c>
      <c r="H211" s="318" t="s">
        <v>36</v>
      </c>
      <c r="I211" s="122" t="s">
        <v>63</v>
      </c>
      <c r="J211" s="124">
        <f>1/16</f>
        <v>6.25E-2</v>
      </c>
      <c r="K211" s="125">
        <f>Table26[[#This Row],[λ]]*Table26[[#This Row],[Failure rate distribution]]</f>
        <v>0.5201258876694641</v>
      </c>
      <c r="L211" s="318" t="s">
        <v>63</v>
      </c>
      <c r="M211" s="20" t="str">
        <f>VLOOKUP(Table26[[#This Row],[Applicable Safety mechanism]],Table3[],2,FALSE)</f>
        <v>Not applicable</v>
      </c>
      <c r="N211" s="21" t="str">
        <f>VLOOKUP(Table26[[#This Row],[Applicable Safety mechanism]], Table3[], 3,FALSE)</f>
        <v>-</v>
      </c>
      <c r="O211" s="16">
        <f>VLOOKUP(Table26[[#This Row],[Applicable Safety mechanism]], Table3[], 6,FALSE)</f>
        <v>0</v>
      </c>
      <c r="P211" s="126">
        <f>IF(Table26[[#This Row],[Failure mode that has the potential to violate the safety goal in absence of safety mechanism?]]="Yes", Table26[[#This Row],[Failure mode rate]]*(1-Table26[[#This Row],[Failure mode coverage wrt. violation of safety goals]]), 0)</f>
        <v>0</v>
      </c>
      <c r="Q211" s="318" t="s">
        <v>36</v>
      </c>
      <c r="R211" s="122"/>
      <c r="S211" s="318"/>
      <c r="T211" s="170"/>
      <c r="U211" s="16"/>
      <c r="V211" s="127">
        <f>IF(Table26[[#This Row],[Failure mode that may lead to the violation of safety goals in combination with an independent failure of another block ?]]="Yes",(1-Table26[[#This Row],[Failure mode coverage with respect to latent failures]])*Table26[[#This Row],[Failure mode rate]], 0)</f>
        <v>0</v>
      </c>
      <c r="W211" s="123"/>
      <c r="X211" s="339" t="s">
        <v>36</v>
      </c>
      <c r="Y211" s="21">
        <f>IF(Table26[[#This Row],[SR]]="Yes",Table26[[#This Row],[λ]], 0)</f>
        <v>0</v>
      </c>
    </row>
    <row r="212" spans="1:25" outlineLevel="1">
      <c r="A212" s="128" t="s">
        <v>1044</v>
      </c>
      <c r="B212" s="123" t="s">
        <v>403</v>
      </c>
      <c r="C212" s="123" t="s">
        <v>421</v>
      </c>
      <c r="D212" s="123"/>
      <c r="E212" s="123"/>
      <c r="F212" s="125">
        <f>VLOOKUP(Table26[Function], Table1[], 5, FALSE)</f>
        <v>8.3220142027114257</v>
      </c>
      <c r="G212" s="19" t="s">
        <v>163</v>
      </c>
      <c r="H212" s="318" t="s">
        <v>36</v>
      </c>
      <c r="I212" s="122" t="s">
        <v>63</v>
      </c>
      <c r="J212" s="124">
        <f t="shared" ref="J212:J226" si="14">1/16</f>
        <v>6.25E-2</v>
      </c>
      <c r="K212" s="125">
        <f>Table26[[#This Row],[λ]]*Table26[[#This Row],[Failure rate distribution]]</f>
        <v>0.5201258876694641</v>
      </c>
      <c r="L212" s="318" t="s">
        <v>63</v>
      </c>
      <c r="M212" s="20" t="str">
        <f>VLOOKUP(Table26[[#This Row],[Applicable Safety mechanism]],Table3[],2,FALSE)</f>
        <v>Not applicable</v>
      </c>
      <c r="N212" s="21" t="str">
        <f>VLOOKUP(Table26[[#This Row],[Applicable Safety mechanism]], Table3[], 3,FALSE)</f>
        <v>-</v>
      </c>
      <c r="O212" s="16">
        <f>VLOOKUP(Table26[[#This Row],[Applicable Safety mechanism]], Table3[], 6,FALSE)</f>
        <v>0</v>
      </c>
      <c r="P212" s="126">
        <f>IF(Table26[[#This Row],[Failure mode that has the potential to violate the safety goal in absence of safety mechanism?]]="Yes", Table26[[#This Row],[Failure mode rate]]*(1-Table26[[#This Row],[Failure mode coverage wrt. violation of safety goals]]), 0)</f>
        <v>0</v>
      </c>
      <c r="Q212" s="318" t="s">
        <v>36</v>
      </c>
      <c r="R212" s="122"/>
      <c r="S212" s="318"/>
      <c r="T212" s="170"/>
      <c r="U212" s="16"/>
      <c r="V212" s="127">
        <f>IF(Table26[[#This Row],[Failure mode that may lead to the violation of safety goals in combination with an independent failure of another block ?]]="Yes",(1-Table26[[#This Row],[Failure mode coverage with respect to latent failures]])*Table26[[#This Row],[Failure mode rate]], 0)</f>
        <v>0</v>
      </c>
      <c r="W212" s="123"/>
      <c r="X212" s="339"/>
      <c r="Y212" s="21">
        <f>IF(Table26[[#This Row],[SR]]="Yes",Table26[[#This Row],[λ]], 0)</f>
        <v>0</v>
      </c>
    </row>
    <row r="213" spans="1:25" outlineLevel="1">
      <c r="A213" s="18" t="s">
        <v>1045</v>
      </c>
      <c r="B213" s="123" t="s">
        <v>403</v>
      </c>
      <c r="C213" s="123" t="s">
        <v>421</v>
      </c>
      <c r="D213" s="123"/>
      <c r="E213" s="123"/>
      <c r="F213" s="125">
        <f>VLOOKUP(Table26[Function], Table1[], 5, FALSE)</f>
        <v>8.3220142027114257</v>
      </c>
      <c r="G213" s="19" t="s">
        <v>164</v>
      </c>
      <c r="H213" s="318" t="s">
        <v>36</v>
      </c>
      <c r="I213" s="122" t="s">
        <v>63</v>
      </c>
      <c r="J213" s="124">
        <f t="shared" si="14"/>
        <v>6.25E-2</v>
      </c>
      <c r="K213" s="125">
        <f>Table26[[#This Row],[λ]]*Table26[[#This Row],[Failure rate distribution]]</f>
        <v>0.5201258876694641</v>
      </c>
      <c r="L213" s="318" t="s">
        <v>63</v>
      </c>
      <c r="M213" s="20" t="str">
        <f>VLOOKUP(Table26[[#This Row],[Applicable Safety mechanism]],Table3[],2,FALSE)</f>
        <v>Not applicable</v>
      </c>
      <c r="N213" s="21" t="str">
        <f>VLOOKUP(Table26[[#This Row],[Applicable Safety mechanism]], Table3[], 3,FALSE)</f>
        <v>-</v>
      </c>
      <c r="O213" s="16">
        <f>VLOOKUP(Table26[[#This Row],[Applicable Safety mechanism]], Table3[], 6,FALSE)</f>
        <v>0</v>
      </c>
      <c r="P213" s="126">
        <f>IF(Table26[[#This Row],[Failure mode that has the potential to violate the safety goal in absence of safety mechanism?]]="Yes", Table26[[#This Row],[Failure mode rate]]*(1-Table26[[#This Row],[Failure mode coverage wrt. violation of safety goals]]), 0)</f>
        <v>0</v>
      </c>
      <c r="Q213" s="318" t="s">
        <v>36</v>
      </c>
      <c r="R213" s="122"/>
      <c r="S213" s="318"/>
      <c r="T213" s="170"/>
      <c r="U213" s="16"/>
      <c r="V213" s="127">
        <f>IF(Table26[[#This Row],[Failure mode that may lead to the violation of safety goals in combination with an independent failure of another block ?]]="Yes",(1-Table26[[#This Row],[Failure mode coverage with respect to latent failures]])*Table26[[#This Row],[Failure mode rate]], 0)</f>
        <v>0</v>
      </c>
      <c r="W213" s="123"/>
      <c r="X213" s="339"/>
      <c r="Y213" s="21">
        <f>IF(Table26[[#This Row],[SR]]="Yes",Table26[[#This Row],[λ]], 0)</f>
        <v>0</v>
      </c>
    </row>
    <row r="214" spans="1:25" outlineLevel="1">
      <c r="A214" s="128" t="s">
        <v>1046</v>
      </c>
      <c r="B214" s="123" t="s">
        <v>403</v>
      </c>
      <c r="C214" s="123" t="s">
        <v>421</v>
      </c>
      <c r="D214" s="123"/>
      <c r="E214" s="123"/>
      <c r="F214" s="125">
        <f>VLOOKUP(Table26[Function], Table1[], 5, FALSE)</f>
        <v>8.3220142027114257</v>
      </c>
      <c r="G214" s="19" t="s">
        <v>165</v>
      </c>
      <c r="H214" s="318" t="s">
        <v>36</v>
      </c>
      <c r="I214" s="122" t="s">
        <v>63</v>
      </c>
      <c r="J214" s="124">
        <f t="shared" si="14"/>
        <v>6.25E-2</v>
      </c>
      <c r="K214" s="125">
        <f>Table26[[#This Row],[λ]]*Table26[[#This Row],[Failure rate distribution]]</f>
        <v>0.5201258876694641</v>
      </c>
      <c r="L214" s="318" t="s">
        <v>63</v>
      </c>
      <c r="M214" s="20" t="str">
        <f>VLOOKUP(Table26[[#This Row],[Applicable Safety mechanism]],Table3[],2,FALSE)</f>
        <v>Not applicable</v>
      </c>
      <c r="N214" s="21" t="str">
        <f>VLOOKUP(Table26[[#This Row],[Applicable Safety mechanism]], Table3[], 3,FALSE)</f>
        <v>-</v>
      </c>
      <c r="O214" s="16">
        <f>VLOOKUP(Table26[[#This Row],[Applicable Safety mechanism]], Table3[], 6,FALSE)</f>
        <v>0</v>
      </c>
      <c r="P214" s="126">
        <f>IF(Table26[[#This Row],[Failure mode that has the potential to violate the safety goal in absence of safety mechanism?]]="Yes", Table26[[#This Row],[Failure mode rate]]*(1-Table26[[#This Row],[Failure mode coverage wrt. violation of safety goals]]), 0)</f>
        <v>0</v>
      </c>
      <c r="Q214" s="318" t="s">
        <v>36</v>
      </c>
      <c r="R214" s="122"/>
      <c r="S214" s="318"/>
      <c r="T214" s="170"/>
      <c r="U214" s="16"/>
      <c r="V214" s="127">
        <f>IF(Table26[[#This Row],[Failure mode that may lead to the violation of safety goals in combination with an independent failure of another block ?]]="Yes",(1-Table26[[#This Row],[Failure mode coverage with respect to latent failures]])*Table26[[#This Row],[Failure mode rate]], 0)</f>
        <v>0</v>
      </c>
      <c r="W214" s="123"/>
      <c r="X214" s="339"/>
      <c r="Y214" s="21">
        <f>IF(Table26[[#This Row],[SR]]="Yes",Table26[[#This Row],[λ]], 0)</f>
        <v>0</v>
      </c>
    </row>
    <row r="215" spans="1:25" outlineLevel="1">
      <c r="A215" s="18" t="s">
        <v>1047</v>
      </c>
      <c r="B215" s="123" t="s">
        <v>403</v>
      </c>
      <c r="C215" s="123" t="s">
        <v>421</v>
      </c>
      <c r="D215" s="123"/>
      <c r="E215" s="123"/>
      <c r="F215" s="125">
        <f>VLOOKUP(Table26[Function], Table1[], 5, FALSE)</f>
        <v>8.3220142027114257</v>
      </c>
      <c r="G215" s="19" t="s">
        <v>166</v>
      </c>
      <c r="H215" s="318" t="s">
        <v>36</v>
      </c>
      <c r="I215" s="122" t="s">
        <v>63</v>
      </c>
      <c r="J215" s="124">
        <f t="shared" si="14"/>
        <v>6.25E-2</v>
      </c>
      <c r="K215" s="125">
        <f>Table26[[#This Row],[λ]]*Table26[[#This Row],[Failure rate distribution]]</f>
        <v>0.5201258876694641</v>
      </c>
      <c r="L215" s="318" t="s">
        <v>63</v>
      </c>
      <c r="M215" s="20" t="str">
        <f>VLOOKUP(Table26[[#This Row],[Applicable Safety mechanism]],Table3[],2,FALSE)</f>
        <v>Not applicable</v>
      </c>
      <c r="N215" s="21" t="str">
        <f>VLOOKUP(Table26[[#This Row],[Applicable Safety mechanism]], Table3[], 3,FALSE)</f>
        <v>-</v>
      </c>
      <c r="O215" s="16">
        <f>VLOOKUP(Table26[[#This Row],[Applicable Safety mechanism]], Table3[], 6,FALSE)</f>
        <v>0</v>
      </c>
      <c r="P215" s="126">
        <f>IF(Table26[[#This Row],[Failure mode that has the potential to violate the safety goal in absence of safety mechanism?]]="Yes", Table26[[#This Row],[Failure mode rate]]*(1-Table26[[#This Row],[Failure mode coverage wrt. violation of safety goals]]), 0)</f>
        <v>0</v>
      </c>
      <c r="Q215" s="318" t="s">
        <v>36</v>
      </c>
      <c r="R215" s="122"/>
      <c r="S215" s="318"/>
      <c r="T215" s="170"/>
      <c r="U215" s="16"/>
      <c r="V215" s="127">
        <f>IF(Table26[[#This Row],[Failure mode that may lead to the violation of safety goals in combination with an independent failure of another block ?]]="Yes",(1-Table26[[#This Row],[Failure mode coverage with respect to latent failures]])*Table26[[#This Row],[Failure mode rate]], 0)</f>
        <v>0</v>
      </c>
      <c r="W215" s="123"/>
      <c r="X215" s="339"/>
      <c r="Y215" s="21">
        <f>IF(Table26[[#This Row],[SR]]="Yes",Table26[[#This Row],[λ]], 0)</f>
        <v>0</v>
      </c>
    </row>
    <row r="216" spans="1:25" outlineLevel="1">
      <c r="A216" s="128" t="s">
        <v>1048</v>
      </c>
      <c r="B216" s="123" t="s">
        <v>403</v>
      </c>
      <c r="C216" s="123" t="s">
        <v>421</v>
      </c>
      <c r="D216" s="123"/>
      <c r="E216" s="123"/>
      <c r="F216" s="125">
        <f>VLOOKUP(Table26[Function], Table1[], 5, FALSE)</f>
        <v>8.3220142027114257</v>
      </c>
      <c r="G216" s="19" t="s">
        <v>167</v>
      </c>
      <c r="H216" s="318" t="s">
        <v>36</v>
      </c>
      <c r="I216" s="122" t="s">
        <v>63</v>
      </c>
      <c r="J216" s="124">
        <f t="shared" si="14"/>
        <v>6.25E-2</v>
      </c>
      <c r="K216" s="125">
        <f>Table26[[#This Row],[λ]]*Table26[[#This Row],[Failure rate distribution]]</f>
        <v>0.5201258876694641</v>
      </c>
      <c r="L216" s="318" t="s">
        <v>63</v>
      </c>
      <c r="M216" s="20" t="str">
        <f>VLOOKUP(Table26[[#This Row],[Applicable Safety mechanism]],Table3[],2,FALSE)</f>
        <v>Not applicable</v>
      </c>
      <c r="N216" s="21" t="str">
        <f>VLOOKUP(Table26[[#This Row],[Applicable Safety mechanism]], Table3[], 3,FALSE)</f>
        <v>-</v>
      </c>
      <c r="O216" s="16">
        <f>VLOOKUP(Table26[[#This Row],[Applicable Safety mechanism]], Table3[], 6,FALSE)</f>
        <v>0</v>
      </c>
      <c r="P216" s="126">
        <f>IF(Table26[[#This Row],[Failure mode that has the potential to violate the safety goal in absence of safety mechanism?]]="Yes", Table26[[#This Row],[Failure mode rate]]*(1-Table26[[#This Row],[Failure mode coverage wrt. violation of safety goals]]), 0)</f>
        <v>0</v>
      </c>
      <c r="Q216" s="318" t="s">
        <v>36</v>
      </c>
      <c r="R216" s="122"/>
      <c r="S216" s="318"/>
      <c r="T216" s="170"/>
      <c r="U216" s="16"/>
      <c r="V216" s="127">
        <f>IF(Table26[[#This Row],[Failure mode that may lead to the violation of safety goals in combination with an independent failure of another block ?]]="Yes",(1-Table26[[#This Row],[Failure mode coverage with respect to latent failures]])*Table26[[#This Row],[Failure mode rate]], 0)</f>
        <v>0</v>
      </c>
      <c r="W216" s="123"/>
      <c r="X216" s="339"/>
      <c r="Y216" s="21">
        <f>IF(Table26[[#This Row],[SR]]="Yes",Table26[[#This Row],[λ]], 0)</f>
        <v>0</v>
      </c>
    </row>
    <row r="217" spans="1:25" outlineLevel="1">
      <c r="A217" s="18" t="s">
        <v>1049</v>
      </c>
      <c r="B217" s="123" t="s">
        <v>403</v>
      </c>
      <c r="C217" s="123" t="s">
        <v>421</v>
      </c>
      <c r="D217" s="123"/>
      <c r="E217" s="123"/>
      <c r="F217" s="125">
        <f>VLOOKUP(Table26[Function], Table1[], 5, FALSE)</f>
        <v>8.3220142027114257</v>
      </c>
      <c r="G217" s="19" t="s">
        <v>168</v>
      </c>
      <c r="H217" s="318" t="s">
        <v>36</v>
      </c>
      <c r="I217" s="122" t="s">
        <v>63</v>
      </c>
      <c r="J217" s="124">
        <f t="shared" si="14"/>
        <v>6.25E-2</v>
      </c>
      <c r="K217" s="125">
        <f>Table26[[#This Row],[λ]]*Table26[[#This Row],[Failure rate distribution]]</f>
        <v>0.5201258876694641</v>
      </c>
      <c r="L217" s="318" t="s">
        <v>63</v>
      </c>
      <c r="M217" s="20" t="str">
        <f>VLOOKUP(Table26[[#This Row],[Applicable Safety mechanism]],Table3[],2,FALSE)</f>
        <v>Not applicable</v>
      </c>
      <c r="N217" s="21" t="str">
        <f>VLOOKUP(Table26[[#This Row],[Applicable Safety mechanism]], Table3[], 3,FALSE)</f>
        <v>-</v>
      </c>
      <c r="O217" s="16">
        <f>VLOOKUP(Table26[[#This Row],[Applicable Safety mechanism]], Table3[], 6,FALSE)</f>
        <v>0</v>
      </c>
      <c r="P217" s="126">
        <f>IF(Table26[[#This Row],[Failure mode that has the potential to violate the safety goal in absence of safety mechanism?]]="Yes", Table26[[#This Row],[Failure mode rate]]*(1-Table26[[#This Row],[Failure mode coverage wrt. violation of safety goals]]), 0)</f>
        <v>0</v>
      </c>
      <c r="Q217" s="318" t="s">
        <v>36</v>
      </c>
      <c r="R217" s="122"/>
      <c r="S217" s="318"/>
      <c r="T217" s="170"/>
      <c r="U217" s="16"/>
      <c r="V217" s="127">
        <f>IF(Table26[[#This Row],[Failure mode that may lead to the violation of safety goals in combination with an independent failure of another block ?]]="Yes",(1-Table26[[#This Row],[Failure mode coverage with respect to latent failures]])*Table26[[#This Row],[Failure mode rate]], 0)</f>
        <v>0</v>
      </c>
      <c r="W217" s="123"/>
      <c r="X217" s="339"/>
      <c r="Y217" s="21">
        <f>IF(Table26[[#This Row],[SR]]="Yes",Table26[[#This Row],[λ]], 0)</f>
        <v>0</v>
      </c>
    </row>
    <row r="218" spans="1:25" outlineLevel="1">
      <c r="A218" s="128" t="s">
        <v>1050</v>
      </c>
      <c r="B218" s="123" t="s">
        <v>403</v>
      </c>
      <c r="C218" s="123" t="s">
        <v>421</v>
      </c>
      <c r="D218" s="123"/>
      <c r="E218" s="123"/>
      <c r="F218" s="125">
        <f>VLOOKUP(Table26[Function], Table1[], 5, FALSE)</f>
        <v>8.3220142027114257</v>
      </c>
      <c r="G218" s="19" t="s">
        <v>169</v>
      </c>
      <c r="H218" s="318" t="s">
        <v>36</v>
      </c>
      <c r="I218" s="122" t="s">
        <v>63</v>
      </c>
      <c r="J218" s="124">
        <f t="shared" si="14"/>
        <v>6.25E-2</v>
      </c>
      <c r="K218" s="125">
        <f>Table26[[#This Row],[λ]]*Table26[[#This Row],[Failure rate distribution]]</f>
        <v>0.5201258876694641</v>
      </c>
      <c r="L218" s="318" t="s">
        <v>63</v>
      </c>
      <c r="M218" s="20" t="str">
        <f>VLOOKUP(Table26[[#This Row],[Applicable Safety mechanism]],Table3[],2,FALSE)</f>
        <v>Not applicable</v>
      </c>
      <c r="N218" s="21" t="str">
        <f>VLOOKUP(Table26[[#This Row],[Applicable Safety mechanism]], Table3[], 3,FALSE)</f>
        <v>-</v>
      </c>
      <c r="O218" s="16">
        <f>VLOOKUP(Table26[[#This Row],[Applicable Safety mechanism]], Table3[], 6,FALSE)</f>
        <v>0</v>
      </c>
      <c r="P218" s="126">
        <f>IF(Table26[[#This Row],[Failure mode that has the potential to violate the safety goal in absence of safety mechanism?]]="Yes", Table26[[#This Row],[Failure mode rate]]*(1-Table26[[#This Row],[Failure mode coverage wrt. violation of safety goals]]), 0)</f>
        <v>0</v>
      </c>
      <c r="Q218" s="318" t="s">
        <v>36</v>
      </c>
      <c r="R218" s="122"/>
      <c r="S218" s="318"/>
      <c r="T218" s="170"/>
      <c r="U218" s="16"/>
      <c r="V218" s="127">
        <f>IF(Table26[[#This Row],[Failure mode that may lead to the violation of safety goals in combination with an independent failure of another block ?]]="Yes",(1-Table26[[#This Row],[Failure mode coverage with respect to latent failures]])*Table26[[#This Row],[Failure mode rate]], 0)</f>
        <v>0</v>
      </c>
      <c r="W218" s="123"/>
      <c r="X218" s="339"/>
      <c r="Y218" s="21">
        <f>IF(Table26[[#This Row],[SR]]="Yes",Table26[[#This Row],[λ]], 0)</f>
        <v>0</v>
      </c>
    </row>
    <row r="219" spans="1:25" outlineLevel="1">
      <c r="A219" s="18" t="s">
        <v>1051</v>
      </c>
      <c r="B219" s="123" t="s">
        <v>403</v>
      </c>
      <c r="C219" s="123" t="s">
        <v>421</v>
      </c>
      <c r="D219" s="123"/>
      <c r="E219" s="123"/>
      <c r="F219" s="125">
        <f>VLOOKUP(Table26[Function], Table1[], 5, FALSE)</f>
        <v>8.3220142027114257</v>
      </c>
      <c r="G219" s="19" t="s">
        <v>170</v>
      </c>
      <c r="H219" s="318" t="s">
        <v>36</v>
      </c>
      <c r="I219" s="122" t="s">
        <v>63</v>
      </c>
      <c r="J219" s="124">
        <f t="shared" si="14"/>
        <v>6.25E-2</v>
      </c>
      <c r="K219" s="125">
        <f>Table26[[#This Row],[λ]]*Table26[[#This Row],[Failure rate distribution]]</f>
        <v>0.5201258876694641</v>
      </c>
      <c r="L219" s="318" t="s">
        <v>63</v>
      </c>
      <c r="M219" s="20" t="str">
        <f>VLOOKUP(Table26[[#This Row],[Applicable Safety mechanism]],Table3[],2,FALSE)</f>
        <v>Not applicable</v>
      </c>
      <c r="N219" s="21" t="str">
        <f>VLOOKUP(Table26[[#This Row],[Applicable Safety mechanism]], Table3[], 3,FALSE)</f>
        <v>-</v>
      </c>
      <c r="O219" s="16">
        <f>VLOOKUP(Table26[[#This Row],[Applicable Safety mechanism]], Table3[], 6,FALSE)</f>
        <v>0</v>
      </c>
      <c r="P219" s="126">
        <f>IF(Table26[[#This Row],[Failure mode that has the potential to violate the safety goal in absence of safety mechanism?]]="Yes", Table26[[#This Row],[Failure mode rate]]*(1-Table26[[#This Row],[Failure mode coverage wrt. violation of safety goals]]), 0)</f>
        <v>0</v>
      </c>
      <c r="Q219" s="318" t="s">
        <v>36</v>
      </c>
      <c r="R219" s="122"/>
      <c r="S219" s="318"/>
      <c r="T219" s="170"/>
      <c r="U219" s="16"/>
      <c r="V219" s="127">
        <f>IF(Table26[[#This Row],[Failure mode that may lead to the violation of safety goals in combination with an independent failure of another block ?]]="Yes",(1-Table26[[#This Row],[Failure mode coverage with respect to latent failures]])*Table26[[#This Row],[Failure mode rate]], 0)</f>
        <v>0</v>
      </c>
      <c r="W219" s="123"/>
      <c r="X219" s="339"/>
      <c r="Y219" s="21">
        <f>IF(Table26[[#This Row],[SR]]="Yes",Table26[[#This Row],[λ]], 0)</f>
        <v>0</v>
      </c>
    </row>
    <row r="220" spans="1:25" outlineLevel="1">
      <c r="A220" s="128" t="s">
        <v>1052</v>
      </c>
      <c r="B220" s="123" t="s">
        <v>403</v>
      </c>
      <c r="C220" s="123" t="s">
        <v>421</v>
      </c>
      <c r="D220" s="123"/>
      <c r="E220" s="123"/>
      <c r="F220" s="125">
        <f>VLOOKUP(Table26[Function], Table1[], 5, FALSE)</f>
        <v>8.3220142027114257</v>
      </c>
      <c r="G220" s="19" t="s">
        <v>171</v>
      </c>
      <c r="H220" s="318" t="s">
        <v>36</v>
      </c>
      <c r="I220" s="122" t="s">
        <v>63</v>
      </c>
      <c r="J220" s="124">
        <f t="shared" si="14"/>
        <v>6.25E-2</v>
      </c>
      <c r="K220" s="125">
        <f>Table26[[#This Row],[λ]]*Table26[[#This Row],[Failure rate distribution]]</f>
        <v>0.5201258876694641</v>
      </c>
      <c r="L220" s="318" t="s">
        <v>63</v>
      </c>
      <c r="M220" s="20" t="str">
        <f>VLOOKUP(Table26[[#This Row],[Applicable Safety mechanism]],Table3[],2,FALSE)</f>
        <v>Not applicable</v>
      </c>
      <c r="N220" s="21" t="str">
        <f>VLOOKUP(Table26[[#This Row],[Applicable Safety mechanism]], Table3[], 3,FALSE)</f>
        <v>-</v>
      </c>
      <c r="O220" s="16">
        <f>VLOOKUP(Table26[[#This Row],[Applicable Safety mechanism]], Table3[], 6,FALSE)</f>
        <v>0</v>
      </c>
      <c r="P220" s="126">
        <f>IF(Table26[[#This Row],[Failure mode that has the potential to violate the safety goal in absence of safety mechanism?]]="Yes", Table26[[#This Row],[Failure mode rate]]*(1-Table26[[#This Row],[Failure mode coverage wrt. violation of safety goals]]), 0)</f>
        <v>0</v>
      </c>
      <c r="Q220" s="318" t="s">
        <v>36</v>
      </c>
      <c r="R220" s="122"/>
      <c r="S220" s="318"/>
      <c r="T220" s="170"/>
      <c r="U220" s="16"/>
      <c r="V220" s="127">
        <f>IF(Table26[[#This Row],[Failure mode that may lead to the violation of safety goals in combination with an independent failure of another block ?]]="Yes",(1-Table26[[#This Row],[Failure mode coverage with respect to latent failures]])*Table26[[#This Row],[Failure mode rate]], 0)</f>
        <v>0</v>
      </c>
      <c r="W220" s="123"/>
      <c r="X220" s="339"/>
      <c r="Y220" s="21">
        <f>IF(Table26[[#This Row],[SR]]="Yes",Table26[[#This Row],[λ]], 0)</f>
        <v>0</v>
      </c>
    </row>
    <row r="221" spans="1:25" outlineLevel="1">
      <c r="A221" s="18" t="s">
        <v>1053</v>
      </c>
      <c r="B221" s="123" t="s">
        <v>403</v>
      </c>
      <c r="C221" s="123" t="s">
        <v>421</v>
      </c>
      <c r="D221" s="123"/>
      <c r="E221" s="123"/>
      <c r="F221" s="125">
        <f>VLOOKUP(Table26[Function], Table1[], 5, FALSE)</f>
        <v>8.3220142027114257</v>
      </c>
      <c r="G221" s="19" t="s">
        <v>525</v>
      </c>
      <c r="H221" s="318" t="s">
        <v>36</v>
      </c>
      <c r="I221" s="122" t="s">
        <v>63</v>
      </c>
      <c r="J221" s="124">
        <f t="shared" si="14"/>
        <v>6.25E-2</v>
      </c>
      <c r="K221" s="125">
        <f>Table26[[#This Row],[λ]]*Table26[[#This Row],[Failure rate distribution]]</f>
        <v>0.5201258876694641</v>
      </c>
      <c r="L221" s="318" t="s">
        <v>63</v>
      </c>
      <c r="M221" s="20" t="str">
        <f>VLOOKUP(Table26[[#This Row],[Applicable Safety mechanism]],Table3[],2,FALSE)</f>
        <v>Not applicable</v>
      </c>
      <c r="N221" s="21" t="str">
        <f>VLOOKUP(Table26[[#This Row],[Applicable Safety mechanism]], Table3[], 3,FALSE)</f>
        <v>-</v>
      </c>
      <c r="O221" s="16">
        <f>VLOOKUP(Table26[[#This Row],[Applicable Safety mechanism]], Table3[], 6,FALSE)</f>
        <v>0</v>
      </c>
      <c r="P221" s="126">
        <f>IF(Table26[[#This Row],[Failure mode that has the potential to violate the safety goal in absence of safety mechanism?]]="Yes", Table26[[#This Row],[Failure mode rate]]*(1-Table26[[#This Row],[Failure mode coverage wrt. violation of safety goals]]), 0)</f>
        <v>0</v>
      </c>
      <c r="Q221" s="318" t="s">
        <v>36</v>
      </c>
      <c r="R221" s="122"/>
      <c r="S221" s="318"/>
      <c r="T221" s="170"/>
      <c r="U221" s="16"/>
      <c r="V221" s="127">
        <f>IF(Table26[[#This Row],[Failure mode that may lead to the violation of safety goals in combination with an independent failure of another block ?]]="Yes",(1-Table26[[#This Row],[Failure mode coverage with respect to latent failures]])*Table26[[#This Row],[Failure mode rate]], 0)</f>
        <v>0</v>
      </c>
      <c r="W221" s="123"/>
      <c r="X221" s="339"/>
      <c r="Y221" s="21">
        <f>IF(Table26[[#This Row],[SR]]="Yes",Table26[[#This Row],[λ]], 0)</f>
        <v>0</v>
      </c>
    </row>
    <row r="222" spans="1:25" outlineLevel="1">
      <c r="A222" s="128" t="s">
        <v>1054</v>
      </c>
      <c r="B222" s="123" t="s">
        <v>403</v>
      </c>
      <c r="C222" s="123" t="s">
        <v>421</v>
      </c>
      <c r="D222" s="123"/>
      <c r="E222" s="123"/>
      <c r="F222" s="125">
        <f>VLOOKUP(Table26[Function], Table1[], 5, FALSE)</f>
        <v>8.3220142027114257</v>
      </c>
      <c r="G222" s="19" t="s">
        <v>172</v>
      </c>
      <c r="H222" s="318" t="s">
        <v>36</v>
      </c>
      <c r="I222" s="122" t="s">
        <v>63</v>
      </c>
      <c r="J222" s="124">
        <f t="shared" si="14"/>
        <v>6.25E-2</v>
      </c>
      <c r="K222" s="125">
        <f>Table26[[#This Row],[λ]]*Table26[[#This Row],[Failure rate distribution]]</f>
        <v>0.5201258876694641</v>
      </c>
      <c r="L222" s="318" t="s">
        <v>63</v>
      </c>
      <c r="M222" s="20" t="str">
        <f>VLOOKUP(Table26[[#This Row],[Applicable Safety mechanism]],Table3[],2,FALSE)</f>
        <v>Not applicable</v>
      </c>
      <c r="N222" s="21" t="str">
        <f>VLOOKUP(Table26[[#This Row],[Applicable Safety mechanism]], Table3[], 3,FALSE)</f>
        <v>-</v>
      </c>
      <c r="O222" s="16">
        <f>VLOOKUP(Table26[[#This Row],[Applicable Safety mechanism]], Table3[], 6,FALSE)</f>
        <v>0</v>
      </c>
      <c r="P222" s="126">
        <f>IF(Table26[[#This Row],[Failure mode that has the potential to violate the safety goal in absence of safety mechanism?]]="Yes", Table26[[#This Row],[Failure mode rate]]*(1-Table26[[#This Row],[Failure mode coverage wrt. violation of safety goals]]), 0)</f>
        <v>0</v>
      </c>
      <c r="Q222" s="318" t="s">
        <v>36</v>
      </c>
      <c r="R222" s="122"/>
      <c r="S222" s="318"/>
      <c r="T222" s="170"/>
      <c r="U222" s="16"/>
      <c r="V222" s="127">
        <f>IF(Table26[[#This Row],[Failure mode that may lead to the violation of safety goals in combination with an independent failure of another block ?]]="Yes",(1-Table26[[#This Row],[Failure mode coverage with respect to latent failures]])*Table26[[#This Row],[Failure mode rate]], 0)</f>
        <v>0</v>
      </c>
      <c r="W222" s="123"/>
      <c r="X222" s="339"/>
      <c r="Y222" s="21">
        <f>IF(Table26[[#This Row],[SR]]="Yes",Table26[[#This Row],[λ]], 0)</f>
        <v>0</v>
      </c>
    </row>
    <row r="223" spans="1:25" outlineLevel="1">
      <c r="A223" s="18" t="s">
        <v>1055</v>
      </c>
      <c r="B223" s="123" t="s">
        <v>403</v>
      </c>
      <c r="C223" s="123" t="s">
        <v>421</v>
      </c>
      <c r="D223" s="123"/>
      <c r="E223" s="123"/>
      <c r="F223" s="125">
        <f>VLOOKUP(Table26[Function], Table1[], 5, FALSE)</f>
        <v>8.3220142027114257</v>
      </c>
      <c r="G223" s="19" t="s">
        <v>173</v>
      </c>
      <c r="H223" s="318" t="s">
        <v>36</v>
      </c>
      <c r="I223" s="122" t="s">
        <v>63</v>
      </c>
      <c r="J223" s="124">
        <f t="shared" si="14"/>
        <v>6.25E-2</v>
      </c>
      <c r="K223" s="125">
        <f>Table26[[#This Row],[λ]]*Table26[[#This Row],[Failure rate distribution]]</f>
        <v>0.5201258876694641</v>
      </c>
      <c r="L223" s="318" t="s">
        <v>63</v>
      </c>
      <c r="M223" s="20" t="str">
        <f>VLOOKUP(Table26[[#This Row],[Applicable Safety mechanism]],Table3[],2,FALSE)</f>
        <v>Not applicable</v>
      </c>
      <c r="N223" s="21" t="str">
        <f>VLOOKUP(Table26[[#This Row],[Applicable Safety mechanism]], Table3[], 3,FALSE)</f>
        <v>-</v>
      </c>
      <c r="O223" s="16">
        <f>VLOOKUP(Table26[[#This Row],[Applicable Safety mechanism]], Table3[], 6,FALSE)</f>
        <v>0</v>
      </c>
      <c r="P223" s="126">
        <f>IF(Table26[[#This Row],[Failure mode that has the potential to violate the safety goal in absence of safety mechanism?]]="Yes", Table26[[#This Row],[Failure mode rate]]*(1-Table26[[#This Row],[Failure mode coverage wrt. violation of safety goals]]), 0)</f>
        <v>0</v>
      </c>
      <c r="Q223" s="318" t="s">
        <v>36</v>
      </c>
      <c r="R223" s="122"/>
      <c r="S223" s="318"/>
      <c r="T223" s="170"/>
      <c r="U223" s="16"/>
      <c r="V223" s="127">
        <f>IF(Table26[[#This Row],[Failure mode that may lead to the violation of safety goals in combination with an independent failure of another block ?]]="Yes",(1-Table26[[#This Row],[Failure mode coverage with respect to latent failures]])*Table26[[#This Row],[Failure mode rate]], 0)</f>
        <v>0</v>
      </c>
      <c r="W223" s="123"/>
      <c r="X223" s="339"/>
      <c r="Y223" s="21">
        <f>IF(Table26[[#This Row],[SR]]="Yes",Table26[[#This Row],[λ]], 0)</f>
        <v>0</v>
      </c>
    </row>
    <row r="224" spans="1:25" outlineLevel="1">
      <c r="A224" s="128" t="s">
        <v>1056</v>
      </c>
      <c r="B224" s="123" t="s">
        <v>403</v>
      </c>
      <c r="C224" s="123" t="s">
        <v>421</v>
      </c>
      <c r="D224" s="123"/>
      <c r="E224" s="123"/>
      <c r="F224" s="125">
        <f>VLOOKUP(Table26[Function], Table1[], 5, FALSE)</f>
        <v>8.3220142027114257</v>
      </c>
      <c r="G224" s="19" t="s">
        <v>174</v>
      </c>
      <c r="H224" s="318" t="s">
        <v>36</v>
      </c>
      <c r="I224" s="122" t="s">
        <v>63</v>
      </c>
      <c r="J224" s="124">
        <f t="shared" si="14"/>
        <v>6.25E-2</v>
      </c>
      <c r="K224" s="125">
        <f>Table26[[#This Row],[λ]]*Table26[[#This Row],[Failure rate distribution]]</f>
        <v>0.5201258876694641</v>
      </c>
      <c r="L224" s="318" t="s">
        <v>63</v>
      </c>
      <c r="M224" s="20" t="str">
        <f>VLOOKUP(Table26[[#This Row],[Applicable Safety mechanism]],Table3[],2,FALSE)</f>
        <v>Not applicable</v>
      </c>
      <c r="N224" s="21" t="str">
        <f>VLOOKUP(Table26[[#This Row],[Applicable Safety mechanism]], Table3[], 3,FALSE)</f>
        <v>-</v>
      </c>
      <c r="O224" s="16">
        <f>VLOOKUP(Table26[[#This Row],[Applicable Safety mechanism]], Table3[], 6,FALSE)</f>
        <v>0</v>
      </c>
      <c r="P224" s="126">
        <f>IF(Table26[[#This Row],[Failure mode that has the potential to violate the safety goal in absence of safety mechanism?]]="Yes", Table26[[#This Row],[Failure mode rate]]*(1-Table26[[#This Row],[Failure mode coverage wrt. violation of safety goals]]), 0)</f>
        <v>0</v>
      </c>
      <c r="Q224" s="318" t="s">
        <v>36</v>
      </c>
      <c r="R224" s="122"/>
      <c r="S224" s="318"/>
      <c r="T224" s="170"/>
      <c r="U224" s="16"/>
      <c r="V224" s="127">
        <f>IF(Table26[[#This Row],[Failure mode that may lead to the violation of safety goals in combination with an independent failure of another block ?]]="Yes",(1-Table26[[#This Row],[Failure mode coverage with respect to latent failures]])*Table26[[#This Row],[Failure mode rate]], 0)</f>
        <v>0</v>
      </c>
      <c r="W224" s="123"/>
      <c r="X224" s="339"/>
      <c r="Y224" s="21">
        <f>IF(Table26[[#This Row],[SR]]="Yes",Table26[[#This Row],[λ]], 0)</f>
        <v>0</v>
      </c>
    </row>
    <row r="225" spans="1:25" outlineLevel="1">
      <c r="A225" s="18" t="s">
        <v>1057</v>
      </c>
      <c r="B225" s="123" t="s">
        <v>403</v>
      </c>
      <c r="C225" s="123" t="s">
        <v>421</v>
      </c>
      <c r="D225" s="123"/>
      <c r="E225" s="123"/>
      <c r="F225" s="125">
        <f>VLOOKUP(Table26[Function], Table1[], 5, FALSE)</f>
        <v>8.3220142027114257</v>
      </c>
      <c r="G225" s="19" t="s">
        <v>175</v>
      </c>
      <c r="H225" s="318" t="s">
        <v>36</v>
      </c>
      <c r="I225" s="122" t="s">
        <v>63</v>
      </c>
      <c r="J225" s="124">
        <f t="shared" si="14"/>
        <v>6.25E-2</v>
      </c>
      <c r="K225" s="125">
        <f>Table26[[#This Row],[λ]]*Table26[[#This Row],[Failure rate distribution]]</f>
        <v>0.5201258876694641</v>
      </c>
      <c r="L225" s="318" t="s">
        <v>63</v>
      </c>
      <c r="M225" s="20" t="str">
        <f>VLOOKUP(Table26[[#This Row],[Applicable Safety mechanism]],Table3[],2,FALSE)</f>
        <v>Not applicable</v>
      </c>
      <c r="N225" s="21" t="str">
        <f>VLOOKUP(Table26[[#This Row],[Applicable Safety mechanism]], Table3[], 3,FALSE)</f>
        <v>-</v>
      </c>
      <c r="O225" s="16">
        <f>VLOOKUP(Table26[[#This Row],[Applicable Safety mechanism]], Table3[], 6,FALSE)</f>
        <v>0</v>
      </c>
      <c r="P225" s="126">
        <f>IF(Table26[[#This Row],[Failure mode that has the potential to violate the safety goal in absence of safety mechanism?]]="Yes", Table26[[#This Row],[Failure mode rate]]*(1-Table26[[#This Row],[Failure mode coverage wrt. violation of safety goals]]), 0)</f>
        <v>0</v>
      </c>
      <c r="Q225" s="318" t="s">
        <v>36</v>
      </c>
      <c r="R225" s="122"/>
      <c r="S225" s="318"/>
      <c r="T225" s="170"/>
      <c r="U225" s="16"/>
      <c r="V225" s="127">
        <f>IF(Table26[[#This Row],[Failure mode that may lead to the violation of safety goals in combination with an independent failure of another block ?]]="Yes",(1-Table26[[#This Row],[Failure mode coverage with respect to latent failures]])*Table26[[#This Row],[Failure mode rate]], 0)</f>
        <v>0</v>
      </c>
      <c r="W225" s="123"/>
      <c r="X225" s="339"/>
      <c r="Y225" s="21">
        <f>IF(Table26[[#This Row],[SR]]="Yes",Table26[[#This Row],[λ]], 0)</f>
        <v>0</v>
      </c>
    </row>
    <row r="226" spans="1:25" outlineLevel="1">
      <c r="A226" s="128" t="s">
        <v>1058</v>
      </c>
      <c r="B226" s="123" t="s">
        <v>403</v>
      </c>
      <c r="C226" s="123" t="s">
        <v>421</v>
      </c>
      <c r="D226" s="123"/>
      <c r="E226" s="123"/>
      <c r="F226" s="125">
        <f>VLOOKUP(Table26[Function], Table1[], 5, FALSE)</f>
        <v>8.3220142027114257</v>
      </c>
      <c r="G226" s="19" t="s">
        <v>176</v>
      </c>
      <c r="H226" s="318" t="s">
        <v>36</v>
      </c>
      <c r="I226" s="122" t="s">
        <v>63</v>
      </c>
      <c r="J226" s="124">
        <f t="shared" si="14"/>
        <v>6.25E-2</v>
      </c>
      <c r="K226" s="125">
        <f>Table26[[#This Row],[λ]]*Table26[[#This Row],[Failure rate distribution]]</f>
        <v>0.5201258876694641</v>
      </c>
      <c r="L226" s="318" t="s">
        <v>63</v>
      </c>
      <c r="M226" s="20" t="str">
        <f>VLOOKUP(Table26[[#This Row],[Applicable Safety mechanism]],Table3[],2,FALSE)</f>
        <v>Not applicable</v>
      </c>
      <c r="N226" s="21" t="str">
        <f>VLOOKUP(Table26[[#This Row],[Applicable Safety mechanism]], Table3[], 3,FALSE)</f>
        <v>-</v>
      </c>
      <c r="O226" s="16">
        <f>VLOOKUP(Table26[[#This Row],[Applicable Safety mechanism]], Table3[], 6,FALSE)</f>
        <v>0</v>
      </c>
      <c r="P226" s="126">
        <f>IF(Table26[[#This Row],[Failure mode that has the potential to violate the safety goal in absence of safety mechanism?]]="Yes", Table26[[#This Row],[Failure mode rate]]*(1-Table26[[#This Row],[Failure mode coverage wrt. violation of safety goals]]), 0)</f>
        <v>0</v>
      </c>
      <c r="Q226" s="318" t="s">
        <v>36</v>
      </c>
      <c r="R226" s="122"/>
      <c r="S226" s="318"/>
      <c r="T226" s="170"/>
      <c r="U226" s="16"/>
      <c r="V226" s="127">
        <f>IF(Table26[[#This Row],[Failure mode that may lead to the violation of safety goals in combination with an independent failure of another block ?]]="Yes",(1-Table26[[#This Row],[Failure mode coverage with respect to latent failures]])*Table26[[#This Row],[Failure mode rate]], 0)</f>
        <v>0</v>
      </c>
      <c r="W226" s="123"/>
      <c r="X226" s="339"/>
      <c r="Y226" s="21">
        <f>IF(Table26[[#This Row],[SR]]="Yes",Table26[[#This Row],[λ]], 0)</f>
        <v>0</v>
      </c>
    </row>
    <row r="227" spans="1:25">
      <c r="A227" s="18" t="s">
        <v>1059</v>
      </c>
      <c r="B227" s="130" t="s">
        <v>403</v>
      </c>
      <c r="C227" s="130" t="s">
        <v>421</v>
      </c>
      <c r="D227" s="122" t="s">
        <v>63</v>
      </c>
      <c r="E227" s="122"/>
      <c r="F227" s="125">
        <f>VLOOKUP(Table26[Function], Table1[], 5, FALSE)</f>
        <v>8.3220142027114257</v>
      </c>
      <c r="G227" s="122" t="s">
        <v>63</v>
      </c>
      <c r="H227" s="318" t="s">
        <v>63</v>
      </c>
      <c r="I227" s="122" t="s">
        <v>63</v>
      </c>
      <c r="J227" s="122" t="s">
        <v>63</v>
      </c>
      <c r="K227" s="125" t="s">
        <v>63</v>
      </c>
      <c r="L227" s="318" t="s">
        <v>63</v>
      </c>
      <c r="M227" s="122" t="s">
        <v>63</v>
      </c>
      <c r="N227" s="122" t="s">
        <v>63</v>
      </c>
      <c r="O227" s="122" t="s">
        <v>63</v>
      </c>
      <c r="P227" s="122" t="s">
        <v>63</v>
      </c>
      <c r="Q227" s="318" t="s">
        <v>63</v>
      </c>
      <c r="R227" s="122"/>
      <c r="S227" s="318"/>
      <c r="T227" s="170"/>
      <c r="U227" s="122"/>
      <c r="V227" s="122"/>
      <c r="W227" s="122"/>
      <c r="X227" s="339"/>
      <c r="Y227" s="21"/>
    </row>
    <row r="228" spans="1:25" outlineLevel="1">
      <c r="A228" s="128" t="s">
        <v>1060</v>
      </c>
      <c r="B228" s="34" t="s">
        <v>228</v>
      </c>
      <c r="C228" s="34" t="s">
        <v>220</v>
      </c>
      <c r="D228" s="123" t="s">
        <v>496</v>
      </c>
      <c r="E228" s="123"/>
      <c r="F228" s="125">
        <f>VLOOKUP(Table26[Function], Table1[], 5, FALSE)</f>
        <v>0.21453841187863137</v>
      </c>
      <c r="G228" s="35" t="s">
        <v>225</v>
      </c>
      <c r="H228" s="318" t="s">
        <v>36</v>
      </c>
      <c r="I228" s="68" t="s">
        <v>63</v>
      </c>
      <c r="J228" s="124">
        <f>1/6</f>
        <v>0.16666666666666666</v>
      </c>
      <c r="K228" s="125">
        <f>Table26[[#This Row],[λ]]*Table26[[#This Row],[Failure rate distribution]]</f>
        <v>3.5756401979771896E-2</v>
      </c>
      <c r="L228" s="318" t="s">
        <v>63</v>
      </c>
      <c r="M228" s="20" t="str">
        <f>VLOOKUP(Table26[[#This Row],[Applicable Safety mechanism]],Table3[],2,FALSE)</f>
        <v>Not applicable</v>
      </c>
      <c r="N228" s="21" t="str">
        <f>VLOOKUP(Table26[[#This Row],[Applicable Safety mechanism]], Table3[], 3,FALSE)</f>
        <v>-</v>
      </c>
      <c r="O228" s="16">
        <f>VLOOKUP(Table26[[#This Row],[Applicable Safety mechanism]], Table3[], 6,FALSE)</f>
        <v>0</v>
      </c>
      <c r="P228" s="126">
        <f>IF(Table26[[#This Row],[Failure mode that has the potential to violate the safety goal in absence of safety mechanism?]]="Yes", Table26[[#This Row],[Failure mode rate]]*(1-Table26[[#This Row],[Failure mode coverage wrt. violation of safety goals]]), 0)</f>
        <v>0</v>
      </c>
      <c r="Q228" s="318" t="s">
        <v>36</v>
      </c>
      <c r="R228" s="122"/>
      <c r="S228" s="332"/>
      <c r="T228" s="171"/>
      <c r="U228" s="16"/>
      <c r="V228" s="127">
        <f>IF(Table26[[#This Row],[Failure mode that may lead to the violation of safety goals in combination with an independent failure of another block ?]]="Yes",(1-Table26[[#This Row],[Failure mode coverage with respect to latent failures]])*Table26[[#This Row],[Failure mode rate]], 0)</f>
        <v>0</v>
      </c>
      <c r="W228" s="123"/>
      <c r="X228" s="339" t="s">
        <v>35</v>
      </c>
      <c r="Y228" s="125">
        <f>IF(Table26[[#This Row],[SR]]="Yes",Table26[[#This Row],[λ]], 0)</f>
        <v>0.21453841187863137</v>
      </c>
    </row>
    <row r="229" spans="1:25" outlineLevel="1">
      <c r="A229" s="18" t="s">
        <v>1061</v>
      </c>
      <c r="B229" s="123" t="s">
        <v>228</v>
      </c>
      <c r="C229" s="123" t="s">
        <v>220</v>
      </c>
      <c r="D229" s="123"/>
      <c r="E229" s="123"/>
      <c r="F229" s="125">
        <f>VLOOKUP(Table26[Function], Table1[], 5, FALSE)</f>
        <v>0.21453841187863137</v>
      </c>
      <c r="G229" s="35" t="s">
        <v>226</v>
      </c>
      <c r="H229" s="318" t="s">
        <v>36</v>
      </c>
      <c r="I229" s="68" t="s">
        <v>63</v>
      </c>
      <c r="J229" s="124">
        <f t="shared" ref="J229:J233" si="15">1/6</f>
        <v>0.16666666666666666</v>
      </c>
      <c r="K229" s="125">
        <f>Table26[[#This Row],[λ]]*Table26[[#This Row],[Failure rate distribution]]</f>
        <v>3.5756401979771896E-2</v>
      </c>
      <c r="L229" s="318" t="s">
        <v>63</v>
      </c>
      <c r="M229" s="20" t="str">
        <f>VLOOKUP(Table26[[#This Row],[Applicable Safety mechanism]],Table3[],2,FALSE)</f>
        <v>Not applicable</v>
      </c>
      <c r="N229" s="21" t="str">
        <f>VLOOKUP(Table26[[#This Row],[Applicable Safety mechanism]], Table3[], 3,FALSE)</f>
        <v>-</v>
      </c>
      <c r="O229" s="16">
        <f>VLOOKUP(Table26[[#This Row],[Applicable Safety mechanism]], Table3[], 6,FALSE)</f>
        <v>0</v>
      </c>
      <c r="P229" s="126">
        <f>IF(Table26[[#This Row],[Failure mode that has the potential to violate the safety goal in absence of safety mechanism?]]="Yes", Table26[[#This Row],[Failure mode rate]]*(1-Table26[[#This Row],[Failure mode coverage wrt. violation of safety goals]]), 0)</f>
        <v>0</v>
      </c>
      <c r="Q229" s="318" t="s">
        <v>36</v>
      </c>
      <c r="R229" s="122"/>
      <c r="S229" s="332"/>
      <c r="T229" s="171"/>
      <c r="U229" s="16"/>
      <c r="V229" s="127">
        <f>IF(Table26[[#This Row],[Failure mode that may lead to the violation of safety goals in combination with an independent failure of another block ?]]="Yes",(1-Table26[[#This Row],[Failure mode coverage with respect to latent failures]])*Table26[[#This Row],[Failure mode rate]], 0)</f>
        <v>0</v>
      </c>
      <c r="W229" s="123"/>
      <c r="X229" s="339"/>
      <c r="Y229" s="21">
        <f>IF(Table26[[#This Row],[SR]]="Yes",Table26[[#This Row],[λ]], 0)</f>
        <v>0</v>
      </c>
    </row>
    <row r="230" spans="1:25" outlineLevel="1">
      <c r="A230" s="128" t="s">
        <v>1062</v>
      </c>
      <c r="B230" s="123" t="s">
        <v>228</v>
      </c>
      <c r="C230" s="123" t="s">
        <v>220</v>
      </c>
      <c r="D230" s="123"/>
      <c r="E230" s="123"/>
      <c r="F230" s="125">
        <f>VLOOKUP(Table26[Function], Table1[], 5, FALSE)</f>
        <v>0.21453841187863137</v>
      </c>
      <c r="G230" s="35" t="s">
        <v>227</v>
      </c>
      <c r="H230" s="318" t="s">
        <v>36</v>
      </c>
      <c r="I230" s="68" t="s">
        <v>63</v>
      </c>
      <c r="J230" s="124">
        <f t="shared" si="15"/>
        <v>0.16666666666666666</v>
      </c>
      <c r="K230" s="125">
        <f>Table26[[#This Row],[λ]]*Table26[[#This Row],[Failure rate distribution]]</f>
        <v>3.5756401979771896E-2</v>
      </c>
      <c r="L230" s="318" t="s">
        <v>63</v>
      </c>
      <c r="M230" s="20" t="str">
        <f>VLOOKUP(Table26[[#This Row],[Applicable Safety mechanism]],Table3[],2,FALSE)</f>
        <v>Not applicable</v>
      </c>
      <c r="N230" s="21" t="str">
        <f>VLOOKUP(Table26[[#This Row],[Applicable Safety mechanism]], Table3[], 3,FALSE)</f>
        <v>-</v>
      </c>
      <c r="O230" s="16">
        <f>VLOOKUP(Table26[[#This Row],[Applicable Safety mechanism]], Table3[], 6,FALSE)</f>
        <v>0</v>
      </c>
      <c r="P230" s="126">
        <f>IF(Table26[[#This Row],[Failure mode that has the potential to violate the safety goal in absence of safety mechanism?]]="Yes", Table26[[#This Row],[Failure mode rate]]*(1-Table26[[#This Row],[Failure mode coverage wrt. violation of safety goals]]), 0)</f>
        <v>0</v>
      </c>
      <c r="Q230" s="318" t="s">
        <v>36</v>
      </c>
      <c r="R230" s="122"/>
      <c r="S230" s="332"/>
      <c r="T230" s="171"/>
      <c r="U230" s="16"/>
      <c r="V230" s="127">
        <f>IF(Table26[[#This Row],[Failure mode that may lead to the violation of safety goals in combination with an independent failure of another block ?]]="Yes",(1-Table26[[#This Row],[Failure mode coverage with respect to latent failures]])*Table26[[#This Row],[Failure mode rate]], 0)</f>
        <v>0</v>
      </c>
      <c r="W230" s="123"/>
      <c r="X230" s="339"/>
      <c r="Y230" s="21">
        <f>IF(Table26[[#This Row],[SR]]="Yes",Table26[[#This Row],[λ]], 0)</f>
        <v>0</v>
      </c>
    </row>
    <row r="231" spans="1:25" ht="28.8" outlineLevel="1">
      <c r="A231" s="18" t="s">
        <v>1063</v>
      </c>
      <c r="B231" s="123" t="s">
        <v>228</v>
      </c>
      <c r="C231" s="123" t="s">
        <v>220</v>
      </c>
      <c r="D231" s="123"/>
      <c r="E231" s="123"/>
      <c r="F231" s="125">
        <f>VLOOKUP(Table26[Function], Table1[], 5, FALSE)</f>
        <v>0.21453841187863137</v>
      </c>
      <c r="G231" s="129" t="s">
        <v>357</v>
      </c>
      <c r="H231" s="318" t="s">
        <v>36</v>
      </c>
      <c r="I231" s="68" t="s">
        <v>63</v>
      </c>
      <c r="J231" s="124">
        <f t="shared" si="15"/>
        <v>0.16666666666666666</v>
      </c>
      <c r="K231" s="125">
        <f>Table26[[#This Row],[λ]]*Table26[[#This Row],[Failure rate distribution]]</f>
        <v>3.5756401979771896E-2</v>
      </c>
      <c r="L231" s="318" t="s">
        <v>63</v>
      </c>
      <c r="M231" s="20" t="str">
        <f>VLOOKUP(Table26[[#This Row],[Applicable Safety mechanism]],Table3[],2,FALSE)</f>
        <v>Not applicable</v>
      </c>
      <c r="N231" s="21" t="str">
        <f>VLOOKUP(Table26[[#This Row],[Applicable Safety mechanism]], Table3[], 3,FALSE)</f>
        <v>-</v>
      </c>
      <c r="O231" s="16">
        <f>VLOOKUP(Table26[[#This Row],[Applicable Safety mechanism]], Table3[], 6,FALSE)</f>
        <v>0</v>
      </c>
      <c r="P231" s="126">
        <f>IF(Table26[[#This Row],[Failure mode that has the potential to violate the safety goal in absence of safety mechanism?]]="Yes", Table26[[#This Row],[Failure mode rate]]*(1-Table26[[#This Row],[Failure mode coverage wrt. violation of safety goals]]), 0)</f>
        <v>0</v>
      </c>
      <c r="Q231" s="318" t="s">
        <v>36</v>
      </c>
      <c r="R231" s="122"/>
      <c r="S231" s="332"/>
      <c r="T231" s="171"/>
      <c r="U231" s="16"/>
      <c r="V231" s="127">
        <f>IF(Table26[[#This Row],[Failure mode that may lead to the violation of safety goals in combination with an independent failure of another block ?]]="Yes",(1-Table26[[#This Row],[Failure mode coverage with respect to latent failures]])*Table26[[#This Row],[Failure mode rate]], 0)</f>
        <v>0</v>
      </c>
      <c r="W231" s="123"/>
      <c r="X231" s="339"/>
      <c r="Y231" s="21">
        <f>IF(Table26[[#This Row],[SR]]="Yes",Table26[[#This Row],[λ]], 0)</f>
        <v>0</v>
      </c>
    </row>
    <row r="232" spans="1:25" ht="28.8" outlineLevel="1">
      <c r="A232" s="128" t="s">
        <v>1064</v>
      </c>
      <c r="B232" s="123" t="s">
        <v>228</v>
      </c>
      <c r="C232" s="123" t="s">
        <v>220</v>
      </c>
      <c r="D232" s="123"/>
      <c r="E232" s="123"/>
      <c r="F232" s="125">
        <f>VLOOKUP(Table26[Function], Table1[], 5, FALSE)</f>
        <v>0.21453841187863137</v>
      </c>
      <c r="G232" s="129" t="s">
        <v>348</v>
      </c>
      <c r="H232" s="318" t="s">
        <v>36</v>
      </c>
      <c r="I232" s="68" t="s">
        <v>63</v>
      </c>
      <c r="J232" s="124">
        <f t="shared" si="15"/>
        <v>0.16666666666666666</v>
      </c>
      <c r="K232" s="125">
        <f>Table26[[#This Row],[λ]]*Table26[[#This Row],[Failure rate distribution]]</f>
        <v>3.5756401979771896E-2</v>
      </c>
      <c r="L232" s="318" t="s">
        <v>63</v>
      </c>
      <c r="M232" s="20" t="str">
        <f>VLOOKUP(Table26[[#This Row],[Applicable Safety mechanism]],Table3[],2,FALSE)</f>
        <v>Not applicable</v>
      </c>
      <c r="N232" s="21" t="str">
        <f>VLOOKUP(Table26[[#This Row],[Applicable Safety mechanism]], Table3[], 3,FALSE)</f>
        <v>-</v>
      </c>
      <c r="O232" s="16">
        <f>VLOOKUP(Table26[[#This Row],[Applicable Safety mechanism]], Table3[], 6,FALSE)</f>
        <v>0</v>
      </c>
      <c r="P232" s="126">
        <f>IF(Table26[[#This Row],[Failure mode that has the potential to violate the safety goal in absence of safety mechanism?]]="Yes", Table26[[#This Row],[Failure mode rate]]*(1-Table26[[#This Row],[Failure mode coverage wrt. violation of safety goals]]), 0)</f>
        <v>0</v>
      </c>
      <c r="Q232" s="318" t="s">
        <v>35</v>
      </c>
      <c r="R232" s="68" t="s">
        <v>63</v>
      </c>
      <c r="S232" s="318" t="s">
        <v>126</v>
      </c>
      <c r="T232" s="171" t="str">
        <f>VLOOKUP(Table2[[#This Row],[Detection means ? Safety mechanism(s) allowing to prevent the failure mode from being latent ?]],Table3[],2,FALSE)</f>
        <v>Analog and Logical BuitIn Self Test</v>
      </c>
      <c r="U232" s="16">
        <f>VLOOKUP(Table2[[#This Row],[Detection means ? Safety mechanism(s) allowing to prevent the failure mode from being latent ?]], Table3[], 6,FALSE)</f>
        <v>0.6</v>
      </c>
      <c r="V232" s="125">
        <f>IF(Table26[[#This Row],[Failure mode that may lead to the violation of safety goals in combination with an independent failure of another block ?]]="Yes",(1-Table26[[#This Row],[Failure mode coverage with respect to latent failures]])*Table26[[#This Row],[Failure mode rate]], 0)</f>
        <v>1.430256079190876E-2</v>
      </c>
      <c r="W232" s="123"/>
      <c r="X232" s="339"/>
      <c r="Y232" s="21">
        <f>IF(Table26[[#This Row],[SR]]="Yes",Table26[[#This Row],[λ]], 0)</f>
        <v>0</v>
      </c>
    </row>
    <row r="233" spans="1:25" ht="86.4" outlineLevel="1">
      <c r="A233" s="18" t="s">
        <v>1065</v>
      </c>
      <c r="B233" s="123" t="s">
        <v>228</v>
      </c>
      <c r="C233" s="123" t="s">
        <v>220</v>
      </c>
      <c r="D233" s="123"/>
      <c r="E233" s="123"/>
      <c r="F233" s="125">
        <f>VLOOKUP(Table26[Function], Table1[], 5, FALSE)</f>
        <v>0.21453841187863137</v>
      </c>
      <c r="G233" s="129" t="s">
        <v>347</v>
      </c>
      <c r="H233" s="318" t="s">
        <v>36</v>
      </c>
      <c r="I233" s="68" t="s">
        <v>63</v>
      </c>
      <c r="J233" s="124">
        <f t="shared" si="15"/>
        <v>0.16666666666666666</v>
      </c>
      <c r="K233" s="125">
        <f>Table26[[#This Row],[λ]]*Table26[[#This Row],[Failure rate distribution]]</f>
        <v>3.5756401979771896E-2</v>
      </c>
      <c r="L233" s="318" t="s">
        <v>63</v>
      </c>
      <c r="M233" s="20" t="str">
        <f>VLOOKUP(Table26[[#This Row],[Applicable Safety mechanism]],Table3[],2,FALSE)</f>
        <v>Not applicable</v>
      </c>
      <c r="N233" s="21" t="str">
        <f>VLOOKUP(Table26[[#This Row],[Applicable Safety mechanism]], Table3[], 3,FALSE)</f>
        <v>-</v>
      </c>
      <c r="O233" s="16">
        <f>VLOOKUP(Table26[[#This Row],[Applicable Safety mechanism]], Table3[], 6,FALSE)</f>
        <v>0</v>
      </c>
      <c r="P233" s="126">
        <f>IF(Table26[[#This Row],[Failure mode that has the potential to violate the safety goal in absence of safety mechanism?]]="Yes", Table26[[#This Row],[Failure mode rate]]*(1-Table26[[#This Row],[Failure mode coverage wrt. violation of safety goals]]), 0)</f>
        <v>0</v>
      </c>
      <c r="Q233" s="318" t="s">
        <v>35</v>
      </c>
      <c r="R233" s="68" t="s">
        <v>63</v>
      </c>
      <c r="S233" s="318" t="s">
        <v>407</v>
      </c>
      <c r="T233" s="171" t="str">
        <f>VLOOKUP(Table2[[#This Row],[Detection means ? Safety mechanism(s) allowing to prevent the failure mode from being latent ?]],Table3[],2,FALSE)</f>
        <v>Read HW_Config SPI register and extract Vcca_HW, Vaux_HW, LS_detect, DBG_HW and DFS_HW1/2 configuration bits to compare with expected values before releasing Fail Safe path</v>
      </c>
      <c r="U233" s="16">
        <f>VLOOKUP(Table2[[#This Row],[Detection means ? Safety mechanism(s) allowing to prevent the failure mode from being latent ?]], Table3[], 6,FALSE)</f>
        <v>0.99</v>
      </c>
      <c r="V233" s="125">
        <f>IF(Table26[[#This Row],[Failure mode that may lead to the violation of safety goals in combination with an independent failure of another block ?]]="Yes",(1-Table26[[#This Row],[Failure mode coverage with respect to latent failures]])*Table26[[#This Row],[Failure mode rate]], 0)</f>
        <v>3.5756401979771928E-4</v>
      </c>
      <c r="W233" s="123"/>
      <c r="X233" s="339"/>
      <c r="Y233" s="21">
        <f>IF(Table26[[#This Row],[SR]]="Yes",Table26[[#This Row],[λ]], 0)</f>
        <v>0</v>
      </c>
    </row>
    <row r="234" spans="1:25" ht="15" thickBot="1">
      <c r="A234" s="128" t="s">
        <v>1066</v>
      </c>
      <c r="B234" s="130" t="s">
        <v>228</v>
      </c>
      <c r="C234" s="130" t="s">
        <v>220</v>
      </c>
      <c r="D234" s="122" t="s">
        <v>63</v>
      </c>
      <c r="E234" s="122"/>
      <c r="F234" s="125">
        <f>VLOOKUP(Table26[Function], Table1[], 5, FALSE)</f>
        <v>0.21453841187863137</v>
      </c>
      <c r="G234" s="122" t="s">
        <v>63</v>
      </c>
      <c r="H234" s="318" t="s">
        <v>63</v>
      </c>
      <c r="I234" s="122" t="s">
        <v>63</v>
      </c>
      <c r="J234" s="122" t="s">
        <v>63</v>
      </c>
      <c r="K234" s="125" t="s">
        <v>63</v>
      </c>
      <c r="L234" s="318" t="s">
        <v>63</v>
      </c>
      <c r="M234" s="122" t="s">
        <v>63</v>
      </c>
      <c r="N234" s="122" t="s">
        <v>63</v>
      </c>
      <c r="O234" s="122" t="s">
        <v>63</v>
      </c>
      <c r="P234" s="122" t="s">
        <v>63</v>
      </c>
      <c r="Q234" s="318" t="s">
        <v>63</v>
      </c>
      <c r="R234" s="68"/>
      <c r="S234" s="324"/>
      <c r="T234" s="174"/>
      <c r="U234" s="68"/>
      <c r="V234" s="68"/>
      <c r="W234" s="68"/>
      <c r="X234" s="339"/>
      <c r="Y234" s="21"/>
    </row>
    <row r="235" spans="1:25" ht="15" thickTop="1">
      <c r="A235" s="69"/>
      <c r="B235" s="123" t="s">
        <v>11</v>
      </c>
      <c r="C235" s="123"/>
      <c r="D235" s="123"/>
      <c r="E235" s="123"/>
      <c r="F235" s="125"/>
      <c r="G235" s="129"/>
      <c r="H235" s="318"/>
      <c r="I235" s="122"/>
      <c r="J235" s="122"/>
      <c r="K235" s="250">
        <f>SUBTOTAL(109,Table26[Failure mode rate])</f>
        <v>53.600000000000023</v>
      </c>
      <c r="L235" s="318"/>
      <c r="M235" s="123"/>
      <c r="N235" s="122"/>
      <c r="O235" s="122"/>
      <c r="P235" s="213">
        <f>SUBTOTAL(109,Table26[Residual of single point fault failure rate/FIT])</f>
        <v>0.12532503550677854</v>
      </c>
      <c r="Q235" s="318"/>
      <c r="R235" s="122"/>
      <c r="S235" s="318"/>
      <c r="T235" s="170"/>
      <c r="U235" s="122"/>
      <c r="V235" s="217">
        <f>SUBTOTAL(109,Table26[Latent multiple point fault failure rate/FIT])</f>
        <v>0.70640314796028147</v>
      </c>
      <c r="W235" s="123"/>
      <c r="X235" s="318"/>
      <c r="Y235" s="125">
        <f>SUBTOTAL(109,Table26[λSR])</f>
        <v>37.02517753389283</v>
      </c>
    </row>
  </sheetData>
  <sheetProtection algorithmName="SHA-512" hashValue="AKTlJ4xGIYuWPiO+cheaKje9ykhMesdsPbje21eCCY+eRuPBe282l5lJkvjzSROmrN9sBirb/9vLmjIqwoHADQ==" saltValue="1nkH1kYO3ORNRSi0l3QNJw==" spinCount="100000" sheet="1" objects="1" scenarios="1" selectLockedCells="1"/>
  <phoneticPr fontId="69" type="noConversion"/>
  <conditionalFormatting sqref="D3 B101:C104 B107:C110 B194:C196 B3:C6 B18:F24 B27:F34 B37:F44 D194:F197 E3:F6 D101:F105 D107:F111 B47:F48 B62:F65 D13 B10:C13 E10:F13 C61 B52:F59 B68:F79 B82:F98 B149:F156 D25:G25 D35:G35 D45:G45 G105 G111 G192 G197 D227:G227 G234 B233:C233 F229:F231 F233 B230:C231 B170:F171 B178:C191 D178:F192 C212:F220 C224:F226 B175:F175 B126:F131 B121:F124 B114:F116">
    <cfRule type="cellIs" dxfId="486" priority="570" operator="equal">
      <formula>B2</formula>
    </cfRule>
  </conditionalFormatting>
  <conditionalFormatting sqref="D3 B36:B44 B51:B59 B193:C196 B211:F211 F229:F233 D13 E3:F13 C37:C44 R117:W117 R111:W111 R192:W192 R197:W197 R227:W227 B17:C24 D60:M60 D105:H105 D111:H111 D117:H117 G157:H157 G172:H172 G192:H192 G197:H197 D227:H227 D234:H234 G16:H16 D25:H25 D35:H35 D45:H45 D66:K66 D80:X80 O50:X50 O60:X60 O105:W105 O157:W157 O234:W234 F37:F44 B229:C233 A3:C4 D50:H50 D16:F24 B26:F34 D36:E44 B46:F48 B5:C13 B148:C156 M99:R99 B168:C171 C212:F220 B214:B220 B224:F226 D178:F197 B178:C191 B173:C173 B175:F175 D99:H99 J99:K99 B126:F131 B121:F124 C52:E59 B118:E118 F51:F59 B61:F65 B67:F79 B81:F98 B100:F104 B106:F110 M50 M105 M111 J111:K111 M117 J117:K117 M172 O172:W172 M192 J192:K192 M197 J197:K197 M227 J227:K227 J234:K234 D133:F133 B139:F146 D137:F137 D147:F157 B134:D134 B138:D138 F138 F134:F136 B135:E136 M66:X66 J45:K45 J35:K35 J25:K25 J16:K16 M16 M25 M35 M45 O45:X45 O35:X35 O25:X25 O16:W16 U99:W99 B112:F116 D168:F173 A5:A234">
    <cfRule type="cellIs" dxfId="485" priority="569" operator="equal">
      <formula>$C$2</formula>
    </cfRule>
  </conditionalFormatting>
  <conditionalFormatting sqref="L3 S63:W63 S51:W58 S17:W24 S26:W34 S36:W44 L47 S47:V47 W46 S120:T121 S106:W110 V81:W98 S193:W196 V114:W114 W48 U61:W61 U100:W104 U115:W116 U118:W118 U112:W112 U228:W230 S3:W13 M99:P99 W232:W233 V231:W231 S67:W79 V62:W62 V64:W65 W59 S61:T62 S64:T65 V156:W156 V148:W149 S113:V113 U120:V120 V150:V151 U168:W170 S173:W191 U121:W124 U134:W136 U129:W130 W128 U126:W127 U138:W146 V171:W171 S211:W220 S222:W226 W221 V153:V155 W150:W155">
    <cfRule type="containsBlanks" dxfId="484" priority="571">
      <formula>LEN(TRIM(L3))=0</formula>
    </cfRule>
  </conditionalFormatting>
  <conditionalFormatting sqref="B47:B48">
    <cfRule type="cellIs" dxfId="483" priority="568" operator="equal">
      <formula>B46</formula>
    </cfRule>
  </conditionalFormatting>
  <conditionalFormatting sqref="V3:V13 S47:V47 V51:V58 V61:V65 V67:V79 W74:W75 V17:V24 V26:V34 V36:V44 V100:V104 V106:V110 V81:V98 V193:V196 V228:V231 V153:V156 V168:V171 V173:V191 V118 V120:V124 V112:V116 V134:V136 V129:V130 V126:V127 V138:V146 V148:V151 V211:V220 V222:V226">
    <cfRule type="cellIs" dxfId="482" priority="567" operator="equal">
      <formula>0</formula>
    </cfRule>
  </conditionalFormatting>
  <conditionalFormatting sqref="B6:C9 B106:F106 B112:F112 B193:F193 B26:F26 E6:F9 B46:F48 B36 D36:E36 B58:B59 D157:F157 D99:G99 D80:F80 D66:F66 D60:F60 D172:F172 D117:F117 B232:C232 F232 G50 B171 B178:B191 B214:B220 C216:C220 B224:C226 B126:B128 B131 B139:B146 D133:F133 B135:B136">
    <cfRule type="cellIs" dxfId="481" priority="566" operator="equal">
      <formula>B4</formula>
    </cfRule>
  </conditionalFormatting>
  <conditionalFormatting sqref="B168:E168 B169:C171">
    <cfRule type="cellIs" dxfId="480" priority="572" operator="equal">
      <formula>#REF!</formula>
    </cfRule>
  </conditionalFormatting>
  <conditionalFormatting sqref="B100:F100 B67:F67 B61:F61 B173:F173 D50:F50 D16:G16 D137:F137 B134">
    <cfRule type="cellIs" dxfId="479" priority="573" operator="equal">
      <formula>B13</formula>
    </cfRule>
  </conditionalFormatting>
  <conditionalFormatting sqref="H16">
    <cfRule type="cellIs" dxfId="478" priority="565" operator="equal">
      <formula>H13</formula>
    </cfRule>
  </conditionalFormatting>
  <conditionalFormatting sqref="J16">
    <cfRule type="cellIs" dxfId="477" priority="563" operator="equal">
      <formula>J13</formula>
    </cfRule>
  </conditionalFormatting>
  <conditionalFormatting sqref="K16">
    <cfRule type="cellIs" dxfId="476" priority="562" operator="equal">
      <formula>K13</formula>
    </cfRule>
  </conditionalFormatting>
  <conditionalFormatting sqref="M16">
    <cfRule type="cellIs" dxfId="475" priority="560" operator="equal">
      <formula>M13</formula>
    </cfRule>
  </conditionalFormatting>
  <conditionalFormatting sqref="O16">
    <cfRule type="cellIs" dxfId="474" priority="558" operator="equal">
      <formula>O13</formula>
    </cfRule>
  </conditionalFormatting>
  <conditionalFormatting sqref="P16">
    <cfRule type="cellIs" dxfId="473" priority="557" operator="equal">
      <formula>P13</formula>
    </cfRule>
  </conditionalFormatting>
  <conditionalFormatting sqref="Q16:W16">
    <cfRule type="cellIs" dxfId="472" priority="556" operator="equal">
      <formula>Q13</formula>
    </cfRule>
  </conditionalFormatting>
  <conditionalFormatting sqref="H25">
    <cfRule type="cellIs" dxfId="471" priority="555" operator="equal">
      <formula>H24</formula>
    </cfRule>
  </conditionalFormatting>
  <conditionalFormatting sqref="J25">
    <cfRule type="cellIs" dxfId="470" priority="553" operator="equal">
      <formula>J24</formula>
    </cfRule>
  </conditionalFormatting>
  <conditionalFormatting sqref="K25">
    <cfRule type="cellIs" dxfId="469" priority="552" operator="equal">
      <formula>K24</formula>
    </cfRule>
  </conditionalFormatting>
  <conditionalFormatting sqref="M25">
    <cfRule type="cellIs" dxfId="468" priority="550" operator="equal">
      <formula>M24</formula>
    </cfRule>
  </conditionalFormatting>
  <conditionalFormatting sqref="O25">
    <cfRule type="cellIs" dxfId="467" priority="548" operator="equal">
      <formula>O24</formula>
    </cfRule>
  </conditionalFormatting>
  <conditionalFormatting sqref="P25">
    <cfRule type="cellIs" dxfId="466" priority="547" operator="equal">
      <formula>P24</formula>
    </cfRule>
  </conditionalFormatting>
  <conditionalFormatting sqref="Q25:X25">
    <cfRule type="cellIs" dxfId="465" priority="546" operator="equal">
      <formula>Q24</formula>
    </cfRule>
  </conditionalFormatting>
  <conditionalFormatting sqref="H35">
    <cfRule type="cellIs" dxfId="464" priority="545" operator="equal">
      <formula>H34</formula>
    </cfRule>
  </conditionalFormatting>
  <conditionalFormatting sqref="J35">
    <cfRule type="cellIs" dxfId="463" priority="543" operator="equal">
      <formula>J34</formula>
    </cfRule>
  </conditionalFormatting>
  <conditionalFormatting sqref="K35">
    <cfRule type="cellIs" dxfId="462" priority="542" operator="equal">
      <formula>K34</formula>
    </cfRule>
  </conditionalFormatting>
  <conditionalFormatting sqref="M35">
    <cfRule type="cellIs" dxfId="461" priority="540" operator="equal">
      <formula>M34</formula>
    </cfRule>
  </conditionalFormatting>
  <conditionalFormatting sqref="O35">
    <cfRule type="cellIs" dxfId="460" priority="538" operator="equal">
      <formula>O34</formula>
    </cfRule>
  </conditionalFormatting>
  <conditionalFormatting sqref="P35">
    <cfRule type="cellIs" dxfId="459" priority="537" operator="equal">
      <formula>P34</formula>
    </cfRule>
  </conditionalFormatting>
  <conditionalFormatting sqref="Q35:X35">
    <cfRule type="cellIs" dxfId="458" priority="536" operator="equal">
      <formula>Q34</formula>
    </cfRule>
  </conditionalFormatting>
  <conditionalFormatting sqref="B44">
    <cfRule type="cellIs" dxfId="457" priority="535" operator="equal">
      <formula>B42</formula>
    </cfRule>
  </conditionalFormatting>
  <conditionalFormatting sqref="H45">
    <cfRule type="cellIs" dxfId="456" priority="534" operator="equal">
      <formula>H44</formula>
    </cfRule>
  </conditionalFormatting>
  <conditionalFormatting sqref="J45">
    <cfRule type="cellIs" dxfId="455" priority="532" operator="equal">
      <formula>J44</formula>
    </cfRule>
  </conditionalFormatting>
  <conditionalFormatting sqref="K45">
    <cfRule type="cellIs" dxfId="454" priority="531" operator="equal">
      <formula>K44</formula>
    </cfRule>
  </conditionalFormatting>
  <conditionalFormatting sqref="M45">
    <cfRule type="cellIs" dxfId="453" priority="529" operator="equal">
      <formula>M44</formula>
    </cfRule>
  </conditionalFormatting>
  <conditionalFormatting sqref="O45">
    <cfRule type="cellIs" dxfId="452" priority="527" operator="equal">
      <formula>O44</formula>
    </cfRule>
  </conditionalFormatting>
  <conditionalFormatting sqref="P45">
    <cfRule type="cellIs" dxfId="451" priority="526" operator="equal">
      <formula>P44</formula>
    </cfRule>
  </conditionalFormatting>
  <conditionalFormatting sqref="Q45:X45">
    <cfRule type="cellIs" dxfId="450" priority="525" operator="equal">
      <formula>Q44</formula>
    </cfRule>
  </conditionalFormatting>
  <conditionalFormatting sqref="R50:X50">
    <cfRule type="cellIs" dxfId="449" priority="524" operator="equal">
      <formula>R47</formula>
    </cfRule>
  </conditionalFormatting>
  <conditionalFormatting sqref="R60:X60">
    <cfRule type="cellIs" dxfId="448" priority="523" operator="equal">
      <formula>R58</formula>
    </cfRule>
  </conditionalFormatting>
  <conditionalFormatting sqref="R66:X66">
    <cfRule type="cellIs" dxfId="447" priority="522" operator="equal">
      <formula>R64</formula>
    </cfRule>
  </conditionalFormatting>
  <conditionalFormatting sqref="R80:X80">
    <cfRule type="cellIs" dxfId="446" priority="521" operator="equal">
      <formula>R78</formula>
    </cfRule>
  </conditionalFormatting>
  <conditionalFormatting sqref="H99">
    <cfRule type="cellIs" dxfId="445" priority="520" operator="equal">
      <formula>H97</formula>
    </cfRule>
  </conditionalFormatting>
  <conditionalFormatting sqref="J99">
    <cfRule type="cellIs" dxfId="444" priority="519" operator="equal">
      <formula>J97</formula>
    </cfRule>
  </conditionalFormatting>
  <conditionalFormatting sqref="K99">
    <cfRule type="cellIs" dxfId="443" priority="518" operator="equal">
      <formula>K97</formula>
    </cfRule>
  </conditionalFormatting>
  <conditionalFormatting sqref="M99">
    <cfRule type="cellIs" dxfId="442" priority="517" operator="equal">
      <formula>M97</formula>
    </cfRule>
  </conditionalFormatting>
  <conditionalFormatting sqref="N99">
    <cfRule type="cellIs" dxfId="441" priority="516" operator="equal">
      <formula>N97</formula>
    </cfRule>
  </conditionalFormatting>
  <conditionalFormatting sqref="O99">
    <cfRule type="cellIs" dxfId="440" priority="515" operator="equal">
      <formula>O97</formula>
    </cfRule>
  </conditionalFormatting>
  <conditionalFormatting sqref="P99">
    <cfRule type="cellIs" dxfId="439" priority="514" operator="equal">
      <formula>P97</formula>
    </cfRule>
  </conditionalFormatting>
  <conditionalFormatting sqref="Q99:R99 U99:W99">
    <cfRule type="cellIs" dxfId="438" priority="513" operator="equal">
      <formula>Q97</formula>
    </cfRule>
  </conditionalFormatting>
  <conditionalFormatting sqref="R105:W105">
    <cfRule type="cellIs" dxfId="437" priority="512" operator="equal">
      <formula>R104</formula>
    </cfRule>
  </conditionalFormatting>
  <conditionalFormatting sqref="R111:W111">
    <cfRule type="cellIs" dxfId="436" priority="511" operator="equal">
      <formula>R110</formula>
    </cfRule>
  </conditionalFormatting>
  <conditionalFormatting sqref="R227:W227">
    <cfRule type="cellIs" dxfId="435" priority="510" operator="equal">
      <formula>R226</formula>
    </cfRule>
  </conditionalFormatting>
  <conditionalFormatting sqref="R197:W197">
    <cfRule type="cellIs" dxfId="434" priority="509" operator="equal">
      <formula>R196</formula>
    </cfRule>
  </conditionalFormatting>
  <conditionalFormatting sqref="R192:W192">
    <cfRule type="cellIs" dxfId="433" priority="508" operator="equal">
      <formula>R191</formula>
    </cfRule>
  </conditionalFormatting>
  <conditionalFormatting sqref="R172:W172">
    <cfRule type="cellIs" dxfId="432" priority="507" operator="equal">
      <formula>R170</formula>
    </cfRule>
  </conditionalFormatting>
  <conditionalFormatting sqref="R157:W157">
    <cfRule type="cellIs" dxfId="431" priority="506" operator="equal">
      <formula>R155</formula>
    </cfRule>
  </conditionalFormatting>
  <conditionalFormatting sqref="R117:W117">
    <cfRule type="cellIs" dxfId="430" priority="505" operator="equal">
      <formula>R115</formula>
    </cfRule>
  </conditionalFormatting>
  <conditionalFormatting sqref="F227">
    <cfRule type="cellIs" dxfId="429" priority="504" operator="equal">
      <formula>F226</formula>
    </cfRule>
  </conditionalFormatting>
  <conditionalFormatting sqref="E168:F168 B168">
    <cfRule type="cellIs" dxfId="428" priority="503" operator="equal">
      <formula>#REF!</formula>
    </cfRule>
  </conditionalFormatting>
  <conditionalFormatting sqref="B52">
    <cfRule type="cellIs" dxfId="427" priority="502" operator="equal">
      <formula>B50</formula>
    </cfRule>
  </conditionalFormatting>
  <conditionalFormatting sqref="B53">
    <cfRule type="cellIs" dxfId="426" priority="501" operator="equal">
      <formula>B51</formula>
    </cfRule>
  </conditionalFormatting>
  <conditionalFormatting sqref="B54">
    <cfRule type="cellIs" dxfId="425" priority="500" operator="equal">
      <formula>B52</formula>
    </cfRule>
  </conditionalFormatting>
  <conditionalFormatting sqref="B55">
    <cfRule type="cellIs" dxfId="424" priority="499" operator="equal">
      <formula>B53</formula>
    </cfRule>
  </conditionalFormatting>
  <conditionalFormatting sqref="B56">
    <cfRule type="cellIs" dxfId="423" priority="498" operator="equal">
      <formula>B54</formula>
    </cfRule>
  </conditionalFormatting>
  <conditionalFormatting sqref="B57">
    <cfRule type="cellIs" dxfId="422" priority="497" operator="equal">
      <formula>B55</formula>
    </cfRule>
  </conditionalFormatting>
  <conditionalFormatting sqref="B62">
    <cfRule type="cellIs" dxfId="421" priority="496" operator="equal">
      <formula>B60</formula>
    </cfRule>
  </conditionalFormatting>
  <conditionalFormatting sqref="B63">
    <cfRule type="cellIs" dxfId="420" priority="495" operator="equal">
      <formula>B61</formula>
    </cfRule>
  </conditionalFormatting>
  <conditionalFormatting sqref="B64:B65">
    <cfRule type="cellIs" dxfId="419" priority="494" operator="equal">
      <formula>B62</formula>
    </cfRule>
  </conditionalFormatting>
  <conditionalFormatting sqref="R234:W234 D234:F234 F51 B51 B17:F17">
    <cfRule type="cellIs" dxfId="418" priority="493" operator="equal">
      <formula>B13</formula>
    </cfRule>
  </conditionalFormatting>
  <conditionalFormatting sqref="F234">
    <cfRule type="cellIs" dxfId="417" priority="492" operator="equal">
      <formula>F230</formula>
    </cfRule>
  </conditionalFormatting>
  <conditionalFormatting sqref="B229">
    <cfRule type="cellIs" dxfId="416" priority="491" operator="equal">
      <formula>B228</formula>
    </cfRule>
  </conditionalFormatting>
  <conditionalFormatting sqref="C229">
    <cfRule type="cellIs" dxfId="415" priority="490" operator="equal">
      <formula>C228</formula>
    </cfRule>
  </conditionalFormatting>
  <conditionalFormatting sqref="B121">
    <cfRule type="cellIs" dxfId="414" priority="489" operator="equal">
      <formula>B118</formula>
    </cfRule>
  </conditionalFormatting>
  <conditionalFormatting sqref="B122">
    <cfRule type="cellIs" dxfId="413" priority="488" operator="equal">
      <formula>B120</formula>
    </cfRule>
  </conditionalFormatting>
  <conditionalFormatting sqref="B123:B124">
    <cfRule type="cellIs" dxfId="412" priority="487" operator="equal">
      <formula>B121</formula>
    </cfRule>
  </conditionalFormatting>
  <conditionalFormatting sqref="B148:F148 B149">
    <cfRule type="cellIs" dxfId="411" priority="486" operator="equal">
      <formula>#REF!</formula>
    </cfRule>
  </conditionalFormatting>
  <conditionalFormatting sqref="B150">
    <cfRule type="cellIs" dxfId="410" priority="485" operator="equal">
      <formula>B148</formula>
    </cfRule>
  </conditionalFormatting>
  <conditionalFormatting sqref="B151">
    <cfRule type="cellIs" dxfId="409" priority="484" operator="equal">
      <formula>B149</formula>
    </cfRule>
  </conditionalFormatting>
  <conditionalFormatting sqref="B152">
    <cfRule type="cellIs" dxfId="408" priority="483" operator="equal">
      <formula>B150</formula>
    </cfRule>
  </conditionalFormatting>
  <conditionalFormatting sqref="B153">
    <cfRule type="cellIs" dxfId="407" priority="482" operator="equal">
      <formula>B151</formula>
    </cfRule>
  </conditionalFormatting>
  <conditionalFormatting sqref="B154">
    <cfRule type="cellIs" dxfId="406" priority="481" operator="equal">
      <formula>B152</formula>
    </cfRule>
  </conditionalFormatting>
  <conditionalFormatting sqref="B155:B156">
    <cfRule type="cellIs" dxfId="405" priority="480" operator="equal">
      <formula>B153</formula>
    </cfRule>
  </conditionalFormatting>
  <conditionalFormatting sqref="B169">
    <cfRule type="cellIs" dxfId="404" priority="479" operator="equal">
      <formula>B168</formula>
    </cfRule>
  </conditionalFormatting>
  <conditionalFormatting sqref="A3:A234">
    <cfRule type="cellIs" dxfId="403" priority="478" operator="equal">
      <formula>A2</formula>
    </cfRule>
  </conditionalFormatting>
  <conditionalFormatting sqref="A3:A234">
    <cfRule type="cellIs" dxfId="402" priority="477" operator="equal">
      <formula>A2</formula>
    </cfRule>
  </conditionalFormatting>
  <conditionalFormatting sqref="S228:T228">
    <cfRule type="containsBlanks" dxfId="401" priority="476">
      <formula>LEN(TRIM(S228))=0</formula>
    </cfRule>
  </conditionalFormatting>
  <conditionalFormatting sqref="S229:T229">
    <cfRule type="containsBlanks" dxfId="400" priority="475">
      <formula>LEN(TRIM(S229))=0</formula>
    </cfRule>
  </conditionalFormatting>
  <conditionalFormatting sqref="S230:T230">
    <cfRule type="containsBlanks" dxfId="399" priority="474">
      <formula>LEN(TRIM(S230))=0</formula>
    </cfRule>
  </conditionalFormatting>
  <conditionalFormatting sqref="B169">
    <cfRule type="cellIs" dxfId="398" priority="473" operator="equal">
      <formula>B168</formula>
    </cfRule>
  </conditionalFormatting>
  <conditionalFormatting sqref="B169">
    <cfRule type="cellIs" dxfId="397" priority="472" operator="equal">
      <formula>B168</formula>
    </cfRule>
  </conditionalFormatting>
  <conditionalFormatting sqref="B118:E118">
    <cfRule type="cellIs" dxfId="396" priority="574" operator="equal">
      <formula>B115</formula>
    </cfRule>
  </conditionalFormatting>
  <conditionalFormatting sqref="B63">
    <cfRule type="cellIs" dxfId="395" priority="471" operator="equal">
      <formula>B61</formula>
    </cfRule>
  </conditionalFormatting>
  <conditionalFormatting sqref="B64">
    <cfRule type="cellIs" dxfId="394" priority="470" operator="equal">
      <formula>B62</formula>
    </cfRule>
  </conditionalFormatting>
  <conditionalFormatting sqref="B65">
    <cfRule type="cellIs" dxfId="393" priority="469" operator="equal">
      <formula>B63</formula>
    </cfRule>
  </conditionalFormatting>
  <conditionalFormatting sqref="C64">
    <cfRule type="cellIs" dxfId="392" priority="468" operator="equal">
      <formula>C62</formula>
    </cfRule>
  </conditionalFormatting>
  <conditionalFormatting sqref="H25">
    <cfRule type="cellIs" dxfId="391" priority="466" operator="equal">
      <formula>H24</formula>
    </cfRule>
  </conditionalFormatting>
  <conditionalFormatting sqref="J25">
    <cfRule type="cellIs" dxfId="390" priority="464" operator="equal">
      <formula>J24</formula>
    </cfRule>
  </conditionalFormatting>
  <conditionalFormatting sqref="K25">
    <cfRule type="cellIs" dxfId="389" priority="463" operator="equal">
      <formula>K24</formula>
    </cfRule>
  </conditionalFormatting>
  <conditionalFormatting sqref="M25">
    <cfRule type="cellIs" dxfId="388" priority="461" operator="equal">
      <formula>M24</formula>
    </cfRule>
  </conditionalFormatting>
  <conditionalFormatting sqref="O25">
    <cfRule type="cellIs" dxfId="387" priority="459" operator="equal">
      <formula>O24</formula>
    </cfRule>
  </conditionalFormatting>
  <conditionalFormatting sqref="P25">
    <cfRule type="cellIs" dxfId="386" priority="458" operator="equal">
      <formula>P24</formula>
    </cfRule>
  </conditionalFormatting>
  <conditionalFormatting sqref="Q25">
    <cfRule type="cellIs" dxfId="385" priority="457" operator="equal">
      <formula>Q24</formula>
    </cfRule>
  </conditionalFormatting>
  <conditionalFormatting sqref="H35">
    <cfRule type="cellIs" dxfId="384" priority="456" operator="equal">
      <formula>H34</formula>
    </cfRule>
  </conditionalFormatting>
  <conditionalFormatting sqref="J35">
    <cfRule type="cellIs" dxfId="383" priority="454" operator="equal">
      <formula>J34</formula>
    </cfRule>
  </conditionalFormatting>
  <conditionalFormatting sqref="K35">
    <cfRule type="cellIs" dxfId="382" priority="453" operator="equal">
      <formula>K34</formula>
    </cfRule>
  </conditionalFormatting>
  <conditionalFormatting sqref="M35">
    <cfRule type="cellIs" dxfId="381" priority="451" operator="equal">
      <formula>M34</formula>
    </cfRule>
  </conditionalFormatting>
  <conditionalFormatting sqref="O35">
    <cfRule type="cellIs" dxfId="380" priority="449" operator="equal">
      <formula>O34</formula>
    </cfRule>
  </conditionalFormatting>
  <conditionalFormatting sqref="P35">
    <cfRule type="cellIs" dxfId="379" priority="448" operator="equal">
      <formula>P34</formula>
    </cfRule>
  </conditionalFormatting>
  <conditionalFormatting sqref="Q35">
    <cfRule type="cellIs" dxfId="378" priority="447" operator="equal">
      <formula>Q34</formula>
    </cfRule>
  </conditionalFormatting>
  <conditionalFormatting sqref="H45">
    <cfRule type="cellIs" dxfId="377" priority="446" operator="equal">
      <formula>H44</formula>
    </cfRule>
  </conditionalFormatting>
  <conditionalFormatting sqref="J45">
    <cfRule type="cellIs" dxfId="376" priority="444" operator="equal">
      <formula>J44</formula>
    </cfRule>
  </conditionalFormatting>
  <conditionalFormatting sqref="K45">
    <cfRule type="cellIs" dxfId="375" priority="443" operator="equal">
      <formula>K44</formula>
    </cfRule>
  </conditionalFormatting>
  <conditionalFormatting sqref="M45">
    <cfRule type="cellIs" dxfId="374" priority="441" operator="equal">
      <formula>M44</formula>
    </cfRule>
  </conditionalFormatting>
  <conditionalFormatting sqref="O45">
    <cfRule type="cellIs" dxfId="373" priority="439" operator="equal">
      <formula>O44</formula>
    </cfRule>
  </conditionalFormatting>
  <conditionalFormatting sqref="P45">
    <cfRule type="cellIs" dxfId="372" priority="438" operator="equal">
      <formula>P44</formula>
    </cfRule>
  </conditionalFormatting>
  <conditionalFormatting sqref="Q45">
    <cfRule type="cellIs" dxfId="371" priority="437" operator="equal">
      <formula>Q44</formula>
    </cfRule>
  </conditionalFormatting>
  <conditionalFormatting sqref="J50:K50">
    <cfRule type="cellIs" dxfId="370" priority="436" operator="equal">
      <formula>$C$2</formula>
    </cfRule>
  </conditionalFormatting>
  <conditionalFormatting sqref="H50">
    <cfRule type="cellIs" dxfId="369" priority="435" operator="equal">
      <formula>H48</formula>
    </cfRule>
  </conditionalFormatting>
  <conditionalFormatting sqref="J50">
    <cfRule type="cellIs" dxfId="368" priority="434" operator="equal">
      <formula>J48</formula>
    </cfRule>
  </conditionalFormatting>
  <conditionalFormatting sqref="K50">
    <cfRule type="cellIs" dxfId="367" priority="433" operator="equal">
      <formula>K48</formula>
    </cfRule>
  </conditionalFormatting>
  <conditionalFormatting sqref="M50">
    <cfRule type="cellIs" dxfId="366" priority="432" operator="equal">
      <formula>M48</formula>
    </cfRule>
  </conditionalFormatting>
  <conditionalFormatting sqref="O50">
    <cfRule type="cellIs" dxfId="365" priority="431" operator="equal">
      <formula>O48</formula>
    </cfRule>
  </conditionalFormatting>
  <conditionalFormatting sqref="P50">
    <cfRule type="cellIs" dxfId="364" priority="430" operator="equal">
      <formula>P48</formula>
    </cfRule>
  </conditionalFormatting>
  <conditionalFormatting sqref="Q50">
    <cfRule type="cellIs" dxfId="363" priority="429" operator="equal">
      <formula>Q48</formula>
    </cfRule>
  </conditionalFormatting>
  <conditionalFormatting sqref="G60:H60 G172 G117">
    <cfRule type="cellIs" dxfId="362" priority="428" operator="equal">
      <formula>#REF!</formula>
    </cfRule>
  </conditionalFormatting>
  <conditionalFormatting sqref="I60">
    <cfRule type="cellIs" dxfId="361" priority="427" operator="equal">
      <formula>#REF!</formula>
    </cfRule>
  </conditionalFormatting>
  <conditionalFormatting sqref="J60">
    <cfRule type="cellIs" dxfId="360" priority="426" operator="equal">
      <formula>#REF!</formula>
    </cfRule>
  </conditionalFormatting>
  <conditionalFormatting sqref="K60">
    <cfRule type="cellIs" dxfId="359" priority="425" operator="equal">
      <formula>#REF!</formula>
    </cfRule>
  </conditionalFormatting>
  <conditionalFormatting sqref="L60">
    <cfRule type="cellIs" dxfId="358" priority="424" operator="equal">
      <formula>#REF!</formula>
    </cfRule>
  </conditionalFormatting>
  <conditionalFormatting sqref="M60">
    <cfRule type="cellIs" dxfId="357" priority="423" operator="equal">
      <formula>#REF!</formula>
    </cfRule>
  </conditionalFormatting>
  <conditionalFormatting sqref="O60">
    <cfRule type="cellIs" dxfId="356" priority="422" operator="equal">
      <formula>#REF!</formula>
    </cfRule>
  </conditionalFormatting>
  <conditionalFormatting sqref="P60">
    <cfRule type="cellIs" dxfId="355" priority="421" operator="equal">
      <formula>#REF!</formula>
    </cfRule>
  </conditionalFormatting>
  <conditionalFormatting sqref="Q60">
    <cfRule type="cellIs" dxfId="354" priority="420" operator="equal">
      <formula>#REF!</formula>
    </cfRule>
  </conditionalFormatting>
  <conditionalFormatting sqref="G66:H66">
    <cfRule type="cellIs" dxfId="353" priority="419" operator="equal">
      <formula>#REF!</formula>
    </cfRule>
  </conditionalFormatting>
  <conditionalFormatting sqref="I66">
    <cfRule type="cellIs" dxfId="352" priority="418" operator="equal">
      <formula>#REF!</formula>
    </cfRule>
  </conditionalFormatting>
  <conditionalFormatting sqref="J66">
    <cfRule type="cellIs" dxfId="351" priority="417" operator="equal">
      <formula>#REF!</formula>
    </cfRule>
  </conditionalFormatting>
  <conditionalFormatting sqref="K66">
    <cfRule type="cellIs" dxfId="350" priority="416" operator="equal">
      <formula>#REF!</formula>
    </cfRule>
  </conditionalFormatting>
  <conditionalFormatting sqref="M66">
    <cfRule type="cellIs" dxfId="349" priority="414" operator="equal">
      <formula>#REF!</formula>
    </cfRule>
  </conditionalFormatting>
  <conditionalFormatting sqref="N66">
    <cfRule type="cellIs" dxfId="348" priority="413" operator="equal">
      <formula>#REF!</formula>
    </cfRule>
  </conditionalFormatting>
  <conditionalFormatting sqref="O66">
    <cfRule type="cellIs" dxfId="347" priority="412" operator="equal">
      <formula>#REF!</formula>
    </cfRule>
  </conditionalFormatting>
  <conditionalFormatting sqref="P66">
    <cfRule type="cellIs" dxfId="346" priority="411" operator="equal">
      <formula>#REF!</formula>
    </cfRule>
  </conditionalFormatting>
  <conditionalFormatting sqref="Q66">
    <cfRule type="cellIs" dxfId="345" priority="410" operator="equal">
      <formula>#REF!</formula>
    </cfRule>
  </conditionalFormatting>
  <conditionalFormatting sqref="G80:H80">
    <cfRule type="cellIs" dxfId="344" priority="409" operator="equal">
      <formula>#REF!</formula>
    </cfRule>
  </conditionalFormatting>
  <conditionalFormatting sqref="I80">
    <cfRule type="cellIs" dxfId="343" priority="408" operator="equal">
      <formula>#REF!</formula>
    </cfRule>
  </conditionalFormatting>
  <conditionalFormatting sqref="J80">
    <cfRule type="cellIs" dxfId="342" priority="407" operator="equal">
      <formula>#REF!</formula>
    </cfRule>
  </conditionalFormatting>
  <conditionalFormatting sqref="K80">
    <cfRule type="cellIs" dxfId="341" priority="406" operator="equal">
      <formula>#REF!</formula>
    </cfRule>
  </conditionalFormatting>
  <conditionalFormatting sqref="L80">
    <cfRule type="cellIs" dxfId="340" priority="405" operator="equal">
      <formula>#REF!</formula>
    </cfRule>
  </conditionalFormatting>
  <conditionalFormatting sqref="M80">
    <cfRule type="cellIs" dxfId="339" priority="404" operator="equal">
      <formula>#REF!</formula>
    </cfRule>
  </conditionalFormatting>
  <conditionalFormatting sqref="N80">
    <cfRule type="cellIs" dxfId="338" priority="403" operator="equal">
      <formula>#REF!</formula>
    </cfRule>
  </conditionalFormatting>
  <conditionalFormatting sqref="O80">
    <cfRule type="cellIs" dxfId="337" priority="402" operator="equal">
      <formula>#REF!</formula>
    </cfRule>
  </conditionalFormatting>
  <conditionalFormatting sqref="P80">
    <cfRule type="cellIs" dxfId="336" priority="401" operator="equal">
      <formula>#REF!</formula>
    </cfRule>
  </conditionalFormatting>
  <conditionalFormatting sqref="Q80">
    <cfRule type="cellIs" dxfId="335" priority="400" operator="equal">
      <formula>#REF!</formula>
    </cfRule>
  </conditionalFormatting>
  <conditionalFormatting sqref="G99:H99">
    <cfRule type="cellIs" dxfId="334" priority="399" operator="equal">
      <formula>#REF!</formula>
    </cfRule>
  </conditionalFormatting>
  <conditionalFormatting sqref="J99">
    <cfRule type="cellIs" dxfId="333" priority="398" operator="equal">
      <formula>#REF!</formula>
    </cfRule>
  </conditionalFormatting>
  <conditionalFormatting sqref="K99">
    <cfRule type="cellIs" dxfId="332" priority="397" operator="equal">
      <formula>#REF!</formula>
    </cfRule>
  </conditionalFormatting>
  <conditionalFormatting sqref="M99">
    <cfRule type="cellIs" dxfId="331" priority="396" operator="equal">
      <formula>#REF!</formula>
    </cfRule>
  </conditionalFormatting>
  <conditionalFormatting sqref="N99">
    <cfRule type="cellIs" dxfId="330" priority="395" operator="equal">
      <formula>#REF!</formula>
    </cfRule>
  </conditionalFormatting>
  <conditionalFormatting sqref="O99">
    <cfRule type="cellIs" dxfId="329" priority="394" operator="equal">
      <formula>#REF!</formula>
    </cfRule>
  </conditionalFormatting>
  <conditionalFormatting sqref="P99">
    <cfRule type="cellIs" dxfId="328" priority="393" operator="equal">
      <formula>#REF!</formula>
    </cfRule>
  </conditionalFormatting>
  <conditionalFormatting sqref="Q99">
    <cfRule type="cellIs" dxfId="327" priority="392" operator="equal">
      <formula>#REF!</formula>
    </cfRule>
  </conditionalFormatting>
  <conditionalFormatting sqref="J105:K105">
    <cfRule type="cellIs" dxfId="326" priority="391" operator="equal">
      <formula>$C$2</formula>
    </cfRule>
  </conditionalFormatting>
  <conditionalFormatting sqref="H105">
    <cfRule type="cellIs" dxfId="325" priority="390" operator="equal">
      <formula>H104</formula>
    </cfRule>
  </conditionalFormatting>
  <conditionalFormatting sqref="J105">
    <cfRule type="cellIs" dxfId="324" priority="389" operator="equal">
      <formula>J104</formula>
    </cfRule>
  </conditionalFormatting>
  <conditionalFormatting sqref="K105">
    <cfRule type="cellIs" dxfId="323" priority="388" operator="equal">
      <formula>K104</formula>
    </cfRule>
  </conditionalFormatting>
  <conditionalFormatting sqref="H111">
    <cfRule type="cellIs" dxfId="322" priority="382" operator="equal">
      <formula>H110</formula>
    </cfRule>
  </conditionalFormatting>
  <conditionalFormatting sqref="M105">
    <cfRule type="cellIs" dxfId="321" priority="387" operator="equal">
      <formula>M104</formula>
    </cfRule>
  </conditionalFormatting>
  <conditionalFormatting sqref="O105">
    <cfRule type="cellIs" dxfId="320" priority="386" operator="equal">
      <formula>O104</formula>
    </cfRule>
  </conditionalFormatting>
  <conditionalFormatting sqref="P105">
    <cfRule type="cellIs" dxfId="319" priority="385" operator="equal">
      <formula>P104</formula>
    </cfRule>
  </conditionalFormatting>
  <conditionalFormatting sqref="Q105">
    <cfRule type="cellIs" dxfId="318" priority="384" operator="equal">
      <formula>Q104</formula>
    </cfRule>
  </conditionalFormatting>
  <conditionalFormatting sqref="O111:Q111">
    <cfRule type="cellIs" dxfId="317" priority="383" operator="equal">
      <formula>$C$2</formula>
    </cfRule>
  </conditionalFormatting>
  <conditionalFormatting sqref="J111">
    <cfRule type="cellIs" dxfId="316" priority="381" operator="equal">
      <formula>J110</formula>
    </cfRule>
  </conditionalFormatting>
  <conditionalFormatting sqref="K111">
    <cfRule type="cellIs" dxfId="315" priority="380" operator="equal">
      <formula>K110</formula>
    </cfRule>
  </conditionalFormatting>
  <conditionalFormatting sqref="M111">
    <cfRule type="cellIs" dxfId="314" priority="379" operator="equal">
      <formula>M110</formula>
    </cfRule>
  </conditionalFormatting>
  <conditionalFormatting sqref="O111">
    <cfRule type="cellIs" dxfId="313" priority="378" operator="equal">
      <formula>O110</formula>
    </cfRule>
  </conditionalFormatting>
  <conditionalFormatting sqref="P111">
    <cfRule type="cellIs" dxfId="312" priority="377" operator="equal">
      <formula>P110</formula>
    </cfRule>
  </conditionalFormatting>
  <conditionalFormatting sqref="Q111">
    <cfRule type="cellIs" dxfId="311" priority="376" operator="equal">
      <formula>Q110</formula>
    </cfRule>
  </conditionalFormatting>
  <conditionalFormatting sqref="O117:Q117">
    <cfRule type="cellIs" dxfId="310" priority="375" operator="equal">
      <formula>$C$2</formula>
    </cfRule>
  </conditionalFormatting>
  <conditionalFormatting sqref="H117">
    <cfRule type="cellIs" dxfId="309" priority="374" operator="equal">
      <formula>#REF!</formula>
    </cfRule>
  </conditionalFormatting>
  <conditionalFormatting sqref="J117">
    <cfRule type="cellIs" dxfId="308" priority="373" operator="equal">
      <formula>#REF!</formula>
    </cfRule>
  </conditionalFormatting>
  <conditionalFormatting sqref="K117">
    <cfRule type="cellIs" dxfId="307" priority="372" operator="equal">
      <formula>#REF!</formula>
    </cfRule>
  </conditionalFormatting>
  <conditionalFormatting sqref="M117">
    <cfRule type="cellIs" dxfId="306" priority="371" operator="equal">
      <formula>#REF!</formula>
    </cfRule>
  </conditionalFormatting>
  <conditionalFormatting sqref="O117">
    <cfRule type="cellIs" dxfId="305" priority="370" operator="equal">
      <formula>#REF!</formula>
    </cfRule>
  </conditionalFormatting>
  <conditionalFormatting sqref="P117">
    <cfRule type="cellIs" dxfId="304" priority="369" operator="equal">
      <formula>#REF!</formula>
    </cfRule>
  </conditionalFormatting>
  <conditionalFormatting sqref="Q117">
    <cfRule type="cellIs" dxfId="303" priority="368" operator="equal">
      <formula>#REF!</formula>
    </cfRule>
  </conditionalFormatting>
  <conditionalFormatting sqref="P157">
    <cfRule type="cellIs" dxfId="302" priority="360" operator="equal">
      <formula>#REF!</formula>
    </cfRule>
  </conditionalFormatting>
  <conditionalFormatting sqref="J157:M157">
    <cfRule type="cellIs" dxfId="301" priority="367" operator="equal">
      <formula>$C$2</formula>
    </cfRule>
  </conditionalFormatting>
  <conditionalFormatting sqref="G157:H157">
    <cfRule type="cellIs" dxfId="300" priority="366" operator="equal">
      <formula>#REF!</formula>
    </cfRule>
  </conditionalFormatting>
  <conditionalFormatting sqref="J157">
    <cfRule type="cellIs" dxfId="299" priority="365" operator="equal">
      <formula>#REF!</formula>
    </cfRule>
  </conditionalFormatting>
  <conditionalFormatting sqref="K157">
    <cfRule type="cellIs" dxfId="298" priority="364" operator="equal">
      <formula>#REF!</formula>
    </cfRule>
  </conditionalFormatting>
  <conditionalFormatting sqref="L157">
    <cfRule type="cellIs" dxfId="297" priority="363" operator="equal">
      <formula>#REF!</formula>
    </cfRule>
  </conditionalFormatting>
  <conditionalFormatting sqref="M157">
    <cfRule type="cellIs" dxfId="296" priority="362" operator="equal">
      <formula>#REF!</formula>
    </cfRule>
  </conditionalFormatting>
  <conditionalFormatting sqref="O157">
    <cfRule type="cellIs" dxfId="295" priority="361" operator="equal">
      <formula>#REF!</formula>
    </cfRule>
  </conditionalFormatting>
  <conditionalFormatting sqref="Q157">
    <cfRule type="cellIs" dxfId="294" priority="359" operator="equal">
      <formula>#REF!</formula>
    </cfRule>
  </conditionalFormatting>
  <conditionalFormatting sqref="J172:K172">
    <cfRule type="cellIs" dxfId="293" priority="358" operator="equal">
      <formula>$C$2</formula>
    </cfRule>
  </conditionalFormatting>
  <conditionalFormatting sqref="H172">
    <cfRule type="cellIs" dxfId="292" priority="357" operator="equal">
      <formula>#REF!</formula>
    </cfRule>
  </conditionalFormatting>
  <conditionalFormatting sqref="J172">
    <cfRule type="cellIs" dxfId="291" priority="356" operator="equal">
      <formula>#REF!</formula>
    </cfRule>
  </conditionalFormatting>
  <conditionalFormatting sqref="K172">
    <cfRule type="cellIs" dxfId="290" priority="355" operator="equal">
      <formula>#REF!</formula>
    </cfRule>
  </conditionalFormatting>
  <conditionalFormatting sqref="M172">
    <cfRule type="cellIs" dxfId="289" priority="354" operator="equal">
      <formula>#REF!</formula>
    </cfRule>
  </conditionalFormatting>
  <conditionalFormatting sqref="O172">
    <cfRule type="cellIs" dxfId="288" priority="353" operator="equal">
      <formula>#REF!</formula>
    </cfRule>
  </conditionalFormatting>
  <conditionalFormatting sqref="P172">
    <cfRule type="cellIs" dxfId="287" priority="352" operator="equal">
      <formula>#REF!</formula>
    </cfRule>
  </conditionalFormatting>
  <conditionalFormatting sqref="Q172">
    <cfRule type="cellIs" dxfId="286" priority="351" operator="equal">
      <formula>#REF!</formula>
    </cfRule>
  </conditionalFormatting>
  <conditionalFormatting sqref="O192:Q192">
    <cfRule type="cellIs" dxfId="285" priority="350" operator="equal">
      <formula>$C$2</formula>
    </cfRule>
  </conditionalFormatting>
  <conditionalFormatting sqref="H192">
    <cfRule type="cellIs" dxfId="284" priority="349" operator="equal">
      <formula>H191</formula>
    </cfRule>
  </conditionalFormatting>
  <conditionalFormatting sqref="J192">
    <cfRule type="cellIs" dxfId="283" priority="348" operator="equal">
      <formula>J191</formula>
    </cfRule>
  </conditionalFormatting>
  <conditionalFormatting sqref="K192">
    <cfRule type="cellIs" dxfId="282" priority="347" operator="equal">
      <formula>K191</formula>
    </cfRule>
  </conditionalFormatting>
  <conditionalFormatting sqref="M192">
    <cfRule type="cellIs" dxfId="281" priority="346" operator="equal">
      <formula>M191</formula>
    </cfRule>
  </conditionalFormatting>
  <conditionalFormatting sqref="O192">
    <cfRule type="cellIs" dxfId="280" priority="345" operator="equal">
      <formula>O191</formula>
    </cfRule>
  </conditionalFormatting>
  <conditionalFormatting sqref="P192">
    <cfRule type="cellIs" dxfId="279" priority="344" operator="equal">
      <formula>P191</formula>
    </cfRule>
  </conditionalFormatting>
  <conditionalFormatting sqref="Q192">
    <cfRule type="cellIs" dxfId="278" priority="343" operator="equal">
      <formula>Q191</formula>
    </cfRule>
  </conditionalFormatting>
  <conditionalFormatting sqref="O197:Q197">
    <cfRule type="cellIs" dxfId="277" priority="342" operator="equal">
      <formula>$C$2</formula>
    </cfRule>
  </conditionalFormatting>
  <conditionalFormatting sqref="H197">
    <cfRule type="cellIs" dxfId="276" priority="341" operator="equal">
      <formula>H196</formula>
    </cfRule>
  </conditionalFormatting>
  <conditionalFormatting sqref="J197">
    <cfRule type="cellIs" dxfId="275" priority="340" operator="equal">
      <formula>J196</formula>
    </cfRule>
  </conditionalFormatting>
  <conditionalFormatting sqref="K197">
    <cfRule type="cellIs" dxfId="274" priority="339" operator="equal">
      <formula>K196</formula>
    </cfRule>
  </conditionalFormatting>
  <conditionalFormatting sqref="M197">
    <cfRule type="cellIs" dxfId="273" priority="338" operator="equal">
      <formula>M196</formula>
    </cfRule>
  </conditionalFormatting>
  <conditionalFormatting sqref="O197">
    <cfRule type="cellIs" dxfId="272" priority="337" operator="equal">
      <formula>O196</formula>
    </cfRule>
  </conditionalFormatting>
  <conditionalFormatting sqref="P197">
    <cfRule type="cellIs" dxfId="271" priority="336" operator="equal">
      <formula>P196</formula>
    </cfRule>
  </conditionalFormatting>
  <conditionalFormatting sqref="Q197">
    <cfRule type="cellIs" dxfId="270" priority="335" operator="equal">
      <formula>Q196</formula>
    </cfRule>
  </conditionalFormatting>
  <conditionalFormatting sqref="O227:Q227">
    <cfRule type="cellIs" dxfId="269" priority="334" operator="equal">
      <formula>$C$2</formula>
    </cfRule>
  </conditionalFormatting>
  <conditionalFormatting sqref="H227">
    <cfRule type="cellIs" dxfId="268" priority="333" operator="equal">
      <formula>H226</formula>
    </cfRule>
  </conditionalFormatting>
  <conditionalFormatting sqref="J227">
    <cfRule type="cellIs" dxfId="267" priority="332" operator="equal">
      <formula>J226</formula>
    </cfRule>
  </conditionalFormatting>
  <conditionalFormatting sqref="K227">
    <cfRule type="cellIs" dxfId="266" priority="331" operator="equal">
      <formula>K226</formula>
    </cfRule>
  </conditionalFormatting>
  <conditionalFormatting sqref="M227">
    <cfRule type="cellIs" dxfId="265" priority="330" operator="equal">
      <formula>M226</formula>
    </cfRule>
  </conditionalFormatting>
  <conditionalFormatting sqref="O227">
    <cfRule type="cellIs" dxfId="264" priority="329" operator="equal">
      <formula>O226</formula>
    </cfRule>
  </conditionalFormatting>
  <conditionalFormatting sqref="P227">
    <cfRule type="cellIs" dxfId="263" priority="328" operator="equal">
      <formula>P226</formula>
    </cfRule>
  </conditionalFormatting>
  <conditionalFormatting sqref="Q227">
    <cfRule type="cellIs" dxfId="262" priority="327" operator="equal">
      <formula>Q226</formula>
    </cfRule>
  </conditionalFormatting>
  <conditionalFormatting sqref="M234">
    <cfRule type="cellIs" dxfId="261" priority="326" operator="equal">
      <formula>$C$2</formula>
    </cfRule>
  </conditionalFormatting>
  <conditionalFormatting sqref="H234">
    <cfRule type="cellIs" dxfId="260" priority="325" operator="equal">
      <formula>H233</formula>
    </cfRule>
  </conditionalFormatting>
  <conditionalFormatting sqref="J234">
    <cfRule type="cellIs" dxfId="259" priority="324" operator="equal">
      <formula>J233</formula>
    </cfRule>
  </conditionalFormatting>
  <conditionalFormatting sqref="K234">
    <cfRule type="cellIs" dxfId="258" priority="323" operator="equal">
      <formula>K233</formula>
    </cfRule>
  </conditionalFormatting>
  <conditionalFormatting sqref="M234">
    <cfRule type="cellIs" dxfId="257" priority="322" operator="equal">
      <formula>M233</formula>
    </cfRule>
  </conditionalFormatting>
  <conditionalFormatting sqref="O234">
    <cfRule type="cellIs" dxfId="256" priority="321" operator="equal">
      <formula>O233</formula>
    </cfRule>
  </conditionalFormatting>
  <conditionalFormatting sqref="P234">
    <cfRule type="cellIs" dxfId="255" priority="320" operator="equal">
      <formula>P233</formula>
    </cfRule>
  </conditionalFormatting>
  <conditionalFormatting sqref="Q234">
    <cfRule type="cellIs" dxfId="254" priority="319" operator="equal">
      <formula>Q233</formula>
    </cfRule>
  </conditionalFormatting>
  <conditionalFormatting sqref="S114:U114">
    <cfRule type="containsBlanks" dxfId="253" priority="318">
      <formula>LEN(TRIM(S114))=0</formula>
    </cfRule>
  </conditionalFormatting>
  <conditionalFormatting sqref="U62">
    <cfRule type="containsBlanks" dxfId="252" priority="317">
      <formula>LEN(TRIM(U62))=0</formula>
    </cfRule>
  </conditionalFormatting>
  <conditionalFormatting sqref="U64">
    <cfRule type="containsBlanks" dxfId="251" priority="316">
      <formula>LEN(TRIM(U64))=0</formula>
    </cfRule>
  </conditionalFormatting>
  <conditionalFormatting sqref="U65">
    <cfRule type="containsBlanks" dxfId="250" priority="315">
      <formula>LEN(TRIM(U65))=0</formula>
    </cfRule>
  </conditionalFormatting>
  <conditionalFormatting sqref="U231">
    <cfRule type="containsBlanks" dxfId="249" priority="312">
      <formula>LEN(TRIM(U231))=0</formula>
    </cfRule>
  </conditionalFormatting>
  <conditionalFormatting sqref="S231:T231">
    <cfRule type="containsBlanks" dxfId="248" priority="311">
      <formula>LEN(TRIM(S231))=0</formula>
    </cfRule>
  </conditionalFormatting>
  <conditionalFormatting sqref="U150">
    <cfRule type="containsBlanks" dxfId="247" priority="310">
      <formula>LEN(TRIM(U150))=0</formula>
    </cfRule>
  </conditionalFormatting>
  <conditionalFormatting sqref="V152">
    <cfRule type="containsBlanks" dxfId="246" priority="307">
      <formula>LEN(TRIM(V152))=0</formula>
    </cfRule>
  </conditionalFormatting>
  <conditionalFormatting sqref="V152">
    <cfRule type="cellIs" dxfId="245" priority="306" operator="equal">
      <formula>0</formula>
    </cfRule>
  </conditionalFormatting>
  <conditionalFormatting sqref="U152">
    <cfRule type="containsBlanks" dxfId="244" priority="305">
      <formula>LEN(TRIM(U152))=0</formula>
    </cfRule>
  </conditionalFormatting>
  <conditionalFormatting sqref="B49:F49">
    <cfRule type="cellIs" dxfId="243" priority="301" operator="equal">
      <formula>B48</formula>
    </cfRule>
  </conditionalFormatting>
  <conditionalFormatting sqref="B49:F49">
    <cfRule type="cellIs" dxfId="242" priority="300" operator="equal">
      <formula>$C$2</formula>
    </cfRule>
  </conditionalFormatting>
  <conditionalFormatting sqref="W49">
    <cfRule type="containsBlanks" dxfId="241" priority="302">
      <formula>LEN(TRIM(W49))=0</formula>
    </cfRule>
  </conditionalFormatting>
  <conditionalFormatting sqref="B49">
    <cfRule type="cellIs" dxfId="240" priority="299" operator="equal">
      <formula>B48</formula>
    </cfRule>
  </conditionalFormatting>
  <conditionalFormatting sqref="B49:F49">
    <cfRule type="cellIs" dxfId="239" priority="297" operator="equal">
      <formula>B47</formula>
    </cfRule>
  </conditionalFormatting>
  <conditionalFormatting sqref="B14:F14">
    <cfRule type="cellIs" dxfId="238" priority="295" operator="equal">
      <formula>B13</formula>
    </cfRule>
  </conditionalFormatting>
  <conditionalFormatting sqref="B14:F14">
    <cfRule type="cellIs" dxfId="237" priority="294" operator="equal">
      <formula>$C$2</formula>
    </cfRule>
  </conditionalFormatting>
  <conditionalFormatting sqref="S14:W14">
    <cfRule type="containsBlanks" dxfId="236" priority="296">
      <formula>LEN(TRIM(S14))=0</formula>
    </cfRule>
  </conditionalFormatting>
  <conditionalFormatting sqref="V14">
    <cfRule type="cellIs" dxfId="235" priority="293" operator="equal">
      <formula>0</formula>
    </cfRule>
  </conditionalFormatting>
  <conditionalFormatting sqref="B15:F15">
    <cfRule type="cellIs" dxfId="234" priority="291" operator="equal">
      <formula>B14</formula>
    </cfRule>
  </conditionalFormatting>
  <conditionalFormatting sqref="B15:F15">
    <cfRule type="cellIs" dxfId="233" priority="290" operator="equal">
      <formula>$C$2</formula>
    </cfRule>
  </conditionalFormatting>
  <conditionalFormatting sqref="S15:W15">
    <cfRule type="containsBlanks" dxfId="232" priority="292">
      <formula>LEN(TRIM(S15))=0</formula>
    </cfRule>
  </conditionalFormatting>
  <conditionalFormatting sqref="V15">
    <cfRule type="cellIs" dxfId="231" priority="289" operator="equal">
      <formula>0</formula>
    </cfRule>
  </conditionalFormatting>
  <conditionalFormatting sqref="U81">
    <cfRule type="containsBlanks" dxfId="230" priority="288">
      <formula>LEN(TRIM(U81))=0</formula>
    </cfRule>
  </conditionalFormatting>
  <conditionalFormatting sqref="U82">
    <cfRule type="containsBlanks" dxfId="229" priority="287">
      <formula>LEN(TRIM(U82))=0</formula>
    </cfRule>
  </conditionalFormatting>
  <conditionalFormatting sqref="U83">
    <cfRule type="containsBlanks" dxfId="228" priority="286">
      <formula>LEN(TRIM(U83))=0</formula>
    </cfRule>
  </conditionalFormatting>
  <conditionalFormatting sqref="U84:U96">
    <cfRule type="containsBlanks" dxfId="227" priority="285">
      <formula>LEN(TRIM(U84))=0</formula>
    </cfRule>
  </conditionalFormatting>
  <conditionalFormatting sqref="U97:U98">
    <cfRule type="containsBlanks" dxfId="226" priority="284">
      <formula>LEN(TRIM(U97))=0</formula>
    </cfRule>
  </conditionalFormatting>
  <conditionalFormatting sqref="S59:V59">
    <cfRule type="containsBlanks" dxfId="225" priority="283">
      <formula>LEN(TRIM(S59))=0</formula>
    </cfRule>
  </conditionalFormatting>
  <conditionalFormatting sqref="V59">
    <cfRule type="cellIs" dxfId="224" priority="282" operator="equal">
      <formula>0</formula>
    </cfRule>
  </conditionalFormatting>
  <conditionalFormatting sqref="S48">
    <cfRule type="containsBlanks" dxfId="223" priority="281">
      <formula>LEN(TRIM(S48))=0</formula>
    </cfRule>
  </conditionalFormatting>
  <conditionalFormatting sqref="S48">
    <cfRule type="cellIs" dxfId="222" priority="280" operator="equal">
      <formula>0</formula>
    </cfRule>
  </conditionalFormatting>
  <conditionalFormatting sqref="S49">
    <cfRule type="containsBlanks" dxfId="221" priority="279">
      <formula>LEN(TRIM(S49))=0</formula>
    </cfRule>
  </conditionalFormatting>
  <conditionalFormatting sqref="S49">
    <cfRule type="cellIs" dxfId="220" priority="278" operator="equal">
      <formula>0</formula>
    </cfRule>
  </conditionalFormatting>
  <conditionalFormatting sqref="S168:T168">
    <cfRule type="containsBlanks" dxfId="219" priority="271">
      <formula>LEN(TRIM(S168))=0</formula>
    </cfRule>
  </conditionalFormatting>
  <conditionalFormatting sqref="S169:T169">
    <cfRule type="containsBlanks" dxfId="218" priority="270">
      <formula>LEN(TRIM(S169))=0</formula>
    </cfRule>
  </conditionalFormatting>
  <conditionalFormatting sqref="S170:T170">
    <cfRule type="containsBlanks" dxfId="217" priority="269">
      <formula>LEN(TRIM(S170))=0</formula>
    </cfRule>
  </conditionalFormatting>
  <conditionalFormatting sqref="C213">
    <cfRule type="cellIs" dxfId="216" priority="256" operator="equal">
      <formula>C211</formula>
    </cfRule>
  </conditionalFormatting>
  <conditionalFormatting sqref="B156">
    <cfRule type="cellIs" dxfId="215" priority="262" operator="equal">
      <formula>#REF!</formula>
    </cfRule>
  </conditionalFormatting>
  <conditionalFormatting sqref="B150">
    <cfRule type="cellIs" dxfId="214" priority="268" operator="equal">
      <formula>#REF!</formula>
    </cfRule>
  </conditionalFormatting>
  <conditionalFormatting sqref="B151">
    <cfRule type="cellIs" dxfId="213" priority="267" operator="equal">
      <formula>#REF!</formula>
    </cfRule>
  </conditionalFormatting>
  <conditionalFormatting sqref="B152">
    <cfRule type="cellIs" dxfId="212" priority="266" operator="equal">
      <formula>#REF!</formula>
    </cfRule>
  </conditionalFormatting>
  <conditionalFormatting sqref="B153">
    <cfRule type="cellIs" dxfId="211" priority="265" operator="equal">
      <formula>#REF!</formula>
    </cfRule>
  </conditionalFormatting>
  <conditionalFormatting sqref="B154">
    <cfRule type="cellIs" dxfId="210" priority="264" operator="equal">
      <formula>#REF!</formula>
    </cfRule>
  </conditionalFormatting>
  <conditionalFormatting sqref="B155">
    <cfRule type="cellIs" dxfId="209" priority="263" operator="equal">
      <formula>#REF!</formula>
    </cfRule>
  </conditionalFormatting>
  <conditionalFormatting sqref="B212">
    <cfRule type="cellIs" dxfId="208" priority="261" operator="equal">
      <formula>$C$2</formula>
    </cfRule>
  </conditionalFormatting>
  <conditionalFormatting sqref="B212">
    <cfRule type="cellIs" dxfId="207" priority="260" operator="equal">
      <formula>B211</formula>
    </cfRule>
  </conditionalFormatting>
  <conditionalFormatting sqref="B213">
    <cfRule type="cellIs" dxfId="206" priority="259" operator="equal">
      <formula>$C$2</formula>
    </cfRule>
  </conditionalFormatting>
  <conditionalFormatting sqref="B213">
    <cfRule type="cellIs" dxfId="205" priority="258" operator="equal">
      <formula>B211</formula>
    </cfRule>
  </conditionalFormatting>
  <conditionalFormatting sqref="C212 B211:F211">
    <cfRule type="cellIs" dxfId="204" priority="257" operator="equal">
      <formula>B196</formula>
    </cfRule>
  </conditionalFormatting>
  <conditionalFormatting sqref="C214">
    <cfRule type="cellIs" dxfId="203" priority="255" operator="equal">
      <formula>C212</formula>
    </cfRule>
  </conditionalFormatting>
  <conditionalFormatting sqref="C215">
    <cfRule type="cellIs" dxfId="202" priority="254" operator="equal">
      <formula>C213</formula>
    </cfRule>
  </conditionalFormatting>
  <conditionalFormatting sqref="D125:F125 B139:F146 D147:F147 B134:D134 B138:D138 F138 F134:F136 B135:E136">
    <cfRule type="cellIs" dxfId="201" priority="253" operator="equal">
      <formula>B124</formula>
    </cfRule>
  </conditionalFormatting>
  <conditionalFormatting sqref="D125:F125">
    <cfRule type="cellIs" dxfId="200" priority="252" operator="equal">
      <formula>$C$2</formula>
    </cfRule>
  </conditionalFormatting>
  <conditionalFormatting sqref="B81:F81 B170 B130 B175">
    <cfRule type="cellIs" dxfId="199" priority="575" operator="equal">
      <formula>#REF!</formula>
    </cfRule>
  </conditionalFormatting>
  <conditionalFormatting sqref="B169:F169 B129:F129">
    <cfRule type="cellIs" dxfId="198" priority="576" operator="equal">
      <formula>#REF!</formula>
    </cfRule>
  </conditionalFormatting>
  <conditionalFormatting sqref="S127:T127">
    <cfRule type="containsBlanks" dxfId="197" priority="250">
      <formula>LEN(TRIM(S127))=0</formula>
    </cfRule>
  </conditionalFormatting>
  <conditionalFormatting sqref="L50">
    <cfRule type="cellIs" dxfId="196" priority="249" operator="equal">
      <formula>$C$2</formula>
    </cfRule>
  </conditionalFormatting>
  <conditionalFormatting sqref="L50">
    <cfRule type="cellIs" dxfId="195" priority="248" operator="equal">
      <formula>#REF!</formula>
    </cfRule>
  </conditionalFormatting>
  <conditionalFormatting sqref="B169">
    <cfRule type="cellIs" dxfId="194" priority="247" operator="equal">
      <formula>#REF!</formula>
    </cfRule>
  </conditionalFormatting>
  <conditionalFormatting sqref="B170">
    <cfRule type="cellIs" dxfId="193" priority="246" operator="equal">
      <formula>#REF!</formula>
    </cfRule>
  </conditionalFormatting>
  <conditionalFormatting sqref="B171">
    <cfRule type="cellIs" dxfId="192" priority="245" operator="equal">
      <formula>#REF!</formula>
    </cfRule>
  </conditionalFormatting>
  <conditionalFormatting sqref="B169">
    <cfRule type="cellIs" dxfId="191" priority="244" operator="equal">
      <formula>#REF!</formula>
    </cfRule>
  </conditionalFormatting>
  <conditionalFormatting sqref="B170">
    <cfRule type="cellIs" dxfId="190" priority="243" operator="equal">
      <formula>#REF!</formula>
    </cfRule>
  </conditionalFormatting>
  <conditionalFormatting sqref="B171">
    <cfRule type="cellIs" dxfId="189" priority="242" operator="equal">
      <formula>#REF!</formula>
    </cfRule>
  </conditionalFormatting>
  <conditionalFormatting sqref="C169">
    <cfRule type="cellIs" dxfId="188" priority="241" operator="equal">
      <formula>C168</formula>
    </cfRule>
  </conditionalFormatting>
  <conditionalFormatting sqref="F169">
    <cfRule type="cellIs" dxfId="187" priority="240" operator="equal">
      <formula>#REF!</formula>
    </cfRule>
  </conditionalFormatting>
  <conditionalFormatting sqref="F170">
    <cfRule type="cellIs" dxfId="186" priority="239" operator="equal">
      <formula>#REF!</formula>
    </cfRule>
  </conditionalFormatting>
  <conditionalFormatting sqref="F171">
    <cfRule type="cellIs" dxfId="185" priority="238" operator="equal">
      <formula>#REF!</formula>
    </cfRule>
  </conditionalFormatting>
  <conditionalFormatting sqref="F169">
    <cfRule type="cellIs" dxfId="184" priority="237" operator="equal">
      <formula>F168</formula>
    </cfRule>
  </conditionalFormatting>
  <conditionalFormatting sqref="F169">
    <cfRule type="cellIs" dxfId="183" priority="236" operator="equal">
      <formula>#REF!</formula>
    </cfRule>
  </conditionalFormatting>
  <conditionalFormatting sqref="C222:F222">
    <cfRule type="cellIs" dxfId="182" priority="235" operator="equal">
      <formula>C220</formula>
    </cfRule>
  </conditionalFormatting>
  <conditionalFormatting sqref="B222:F222">
    <cfRule type="cellIs" dxfId="181" priority="234" operator="equal">
      <formula>$C$2</formula>
    </cfRule>
  </conditionalFormatting>
  <conditionalFormatting sqref="B222:C222">
    <cfRule type="cellIs" dxfId="180" priority="233" operator="equal">
      <formula>B219</formula>
    </cfRule>
  </conditionalFormatting>
  <conditionalFormatting sqref="C223:F223">
    <cfRule type="cellIs" dxfId="179" priority="232" operator="equal">
      <formula>C222</formula>
    </cfRule>
  </conditionalFormatting>
  <conditionalFormatting sqref="B223:F223">
    <cfRule type="cellIs" dxfId="178" priority="231" operator="equal">
      <formula>$C$2</formula>
    </cfRule>
  </conditionalFormatting>
  <conditionalFormatting sqref="B223:C223">
    <cfRule type="cellIs" dxfId="177" priority="230" operator="equal">
      <formula>B220</formula>
    </cfRule>
  </conditionalFormatting>
  <conditionalFormatting sqref="B176:F176">
    <cfRule type="cellIs" dxfId="176" priority="229" operator="equal">
      <formula>B175</formula>
    </cfRule>
  </conditionalFormatting>
  <conditionalFormatting sqref="B176:F176">
    <cfRule type="cellIs" dxfId="175" priority="228" operator="equal">
      <formula>$C$2</formula>
    </cfRule>
  </conditionalFormatting>
  <conditionalFormatting sqref="B176">
    <cfRule type="cellIs" dxfId="174" priority="227" operator="equal">
      <formula>B174</formula>
    </cfRule>
  </conditionalFormatting>
  <conditionalFormatting sqref="B177:F177">
    <cfRule type="cellIs" dxfId="173" priority="226" operator="equal">
      <formula>B176</formula>
    </cfRule>
  </conditionalFormatting>
  <conditionalFormatting sqref="B177:F177">
    <cfRule type="cellIs" dxfId="172" priority="225" operator="equal">
      <formula>$C$2</formula>
    </cfRule>
  </conditionalFormatting>
  <conditionalFormatting sqref="B177">
    <cfRule type="cellIs" dxfId="171" priority="224" operator="equal">
      <formula>B175</formula>
    </cfRule>
  </conditionalFormatting>
  <conditionalFormatting sqref="B129">
    <cfRule type="cellIs" dxfId="170" priority="223" operator="equal">
      <formula>B127</formula>
    </cfRule>
  </conditionalFormatting>
  <conditionalFormatting sqref="B174:F174">
    <cfRule type="cellIs" dxfId="169" priority="221" operator="equal">
      <formula>B173</formula>
    </cfRule>
  </conditionalFormatting>
  <conditionalFormatting sqref="B174:F174">
    <cfRule type="cellIs" dxfId="168" priority="220" operator="equal">
      <formula>$C$2</formula>
    </cfRule>
  </conditionalFormatting>
  <conditionalFormatting sqref="B174">
    <cfRule type="cellIs" dxfId="167" priority="222" operator="equal">
      <formula>#REF!</formula>
    </cfRule>
  </conditionalFormatting>
  <conditionalFormatting sqref="B138">
    <cfRule type="cellIs" dxfId="166" priority="577" operator="equal">
      <formula>B134</formula>
    </cfRule>
  </conditionalFormatting>
  <conditionalFormatting sqref="E134">
    <cfRule type="cellIs" dxfId="165" priority="219" operator="equal">
      <formula>$C$2</formula>
    </cfRule>
  </conditionalFormatting>
  <conditionalFormatting sqref="E134">
    <cfRule type="cellIs" dxfId="164" priority="218" operator="equal">
      <formula>E131</formula>
    </cfRule>
  </conditionalFormatting>
  <conditionalFormatting sqref="E138">
    <cfRule type="cellIs" dxfId="163" priority="217" operator="equal">
      <formula>$C$2</formula>
    </cfRule>
  </conditionalFormatting>
  <conditionalFormatting sqref="E138">
    <cfRule type="cellIs" dxfId="162" priority="216" operator="equal">
      <formula>E136</formula>
    </cfRule>
  </conditionalFormatting>
  <conditionalFormatting sqref="B121">
    <cfRule type="cellIs" dxfId="161" priority="215" operator="equal">
      <formula>B117</formula>
    </cfRule>
  </conditionalFormatting>
  <conditionalFormatting sqref="B122">
    <cfRule type="cellIs" dxfId="160" priority="214" operator="equal">
      <formula>B118</formula>
    </cfRule>
  </conditionalFormatting>
  <conditionalFormatting sqref="B123">
    <cfRule type="cellIs" dxfId="159" priority="213" operator="equal">
      <formula>B120</formula>
    </cfRule>
  </conditionalFormatting>
  <conditionalFormatting sqref="B124">
    <cfRule type="cellIs" dxfId="158" priority="212" operator="equal">
      <formula>B121</formula>
    </cfRule>
  </conditionalFormatting>
  <conditionalFormatting sqref="C121">
    <cfRule type="cellIs" dxfId="157" priority="211" operator="equal">
      <formula>C117</formula>
    </cfRule>
  </conditionalFormatting>
  <conditionalFormatting sqref="C122">
    <cfRule type="cellIs" dxfId="156" priority="210" operator="equal">
      <formula>C118</formula>
    </cfRule>
  </conditionalFormatting>
  <conditionalFormatting sqref="C123">
    <cfRule type="cellIs" dxfId="155" priority="209" operator="equal">
      <formula>C120</formula>
    </cfRule>
  </conditionalFormatting>
  <conditionalFormatting sqref="C124">
    <cfRule type="cellIs" dxfId="154" priority="208" operator="equal">
      <formula>C121</formula>
    </cfRule>
  </conditionalFormatting>
  <conditionalFormatting sqref="F129 B113:F113">
    <cfRule type="cellIs" dxfId="153" priority="207" operator="equal">
      <formula>#REF!</formula>
    </cfRule>
  </conditionalFormatting>
  <conditionalFormatting sqref="S112:T112">
    <cfRule type="containsBlanks" dxfId="152" priority="206">
      <formula>LEN(TRIM(S112))=0</formula>
    </cfRule>
  </conditionalFormatting>
  <conditionalFormatting sqref="S115:T115">
    <cfRule type="containsBlanks" dxfId="151" priority="205">
      <formula>LEN(TRIM(S115))=0</formula>
    </cfRule>
  </conditionalFormatting>
  <conditionalFormatting sqref="S116:T116">
    <cfRule type="containsBlanks" dxfId="150" priority="204">
      <formula>LEN(TRIM(S116))=0</formula>
    </cfRule>
  </conditionalFormatting>
  <conditionalFormatting sqref="B120:F120">
    <cfRule type="cellIs" dxfId="149" priority="199" operator="equal">
      <formula>B119</formula>
    </cfRule>
  </conditionalFormatting>
  <conditionalFormatting sqref="B120:F120">
    <cfRule type="cellIs" dxfId="148" priority="198" operator="equal">
      <formula>$C$2</formula>
    </cfRule>
  </conditionalFormatting>
  <conditionalFormatting sqref="W119">
    <cfRule type="containsBlanks" dxfId="147" priority="203">
      <formula>LEN(TRIM(W119))=0</formula>
    </cfRule>
  </conditionalFormatting>
  <conditionalFormatting sqref="B120">
    <cfRule type="cellIs" dxfId="146" priority="197" operator="equal">
      <formula>B117</formula>
    </cfRule>
  </conditionalFormatting>
  <conditionalFormatting sqref="B120">
    <cfRule type="cellIs" dxfId="145" priority="196" operator="equal">
      <formula>B116</formula>
    </cfRule>
  </conditionalFormatting>
  <conditionalFormatting sqref="C120">
    <cfRule type="cellIs" dxfId="144" priority="195" operator="equal">
      <formula>C116</formula>
    </cfRule>
  </conditionalFormatting>
  <conditionalFormatting sqref="B119:F119">
    <cfRule type="cellIs" dxfId="143" priority="194" operator="equal">
      <formula>B118</formula>
    </cfRule>
  </conditionalFormatting>
  <conditionalFormatting sqref="B119:F119">
    <cfRule type="cellIs" dxfId="142" priority="193" operator="equal">
      <formula>$C$2</formula>
    </cfRule>
  </conditionalFormatting>
  <conditionalFormatting sqref="B119">
    <cfRule type="cellIs" dxfId="141" priority="192" operator="equal">
      <formula>B116</formula>
    </cfRule>
  </conditionalFormatting>
  <conditionalFormatting sqref="B119">
    <cfRule type="cellIs" dxfId="140" priority="191" operator="equal">
      <formula>B115</formula>
    </cfRule>
  </conditionalFormatting>
  <conditionalFormatting sqref="C119">
    <cfRule type="cellIs" dxfId="139" priority="190" operator="equal">
      <formula>C115</formula>
    </cfRule>
  </conditionalFormatting>
  <conditionalFormatting sqref="L4:L13">
    <cfRule type="containsBlanks" dxfId="138" priority="188">
      <formula>LEN(TRIM(L4))=0</formula>
    </cfRule>
  </conditionalFormatting>
  <conditionalFormatting sqref="I4:I13">
    <cfRule type="containsBlanks" dxfId="137" priority="187">
      <formula>LEN(TRIM(I4))=0</formula>
    </cfRule>
  </conditionalFormatting>
  <conditionalFormatting sqref="L26:L34">
    <cfRule type="containsBlanks" dxfId="136" priority="186">
      <formula>LEN(TRIM(L26))=0</formula>
    </cfRule>
  </conditionalFormatting>
  <conditionalFormatting sqref="L36:L44">
    <cfRule type="containsBlanks" dxfId="135" priority="185">
      <formula>LEN(TRIM(L36))=0</formula>
    </cfRule>
  </conditionalFormatting>
  <conditionalFormatting sqref="L51:L59">
    <cfRule type="containsBlanks" dxfId="134" priority="184">
      <formula>LEN(TRIM(L51))=0</formula>
    </cfRule>
  </conditionalFormatting>
  <conditionalFormatting sqref="L61:L79">
    <cfRule type="containsBlanks" dxfId="133" priority="183">
      <formula>LEN(TRIM(L61))=0</formula>
    </cfRule>
  </conditionalFormatting>
  <conditionalFormatting sqref="S46:V46">
    <cfRule type="containsBlanks" dxfId="132" priority="182">
      <formula>LEN(TRIM(S46))=0</formula>
    </cfRule>
  </conditionalFormatting>
  <conditionalFormatting sqref="S46:V46">
    <cfRule type="cellIs" dxfId="131" priority="181" operator="equal">
      <formula>0</formula>
    </cfRule>
  </conditionalFormatting>
  <conditionalFormatting sqref="V48">
    <cfRule type="containsBlanks" dxfId="130" priority="180">
      <formula>LEN(TRIM(V48))=0</formula>
    </cfRule>
  </conditionalFormatting>
  <conditionalFormatting sqref="V48">
    <cfRule type="cellIs" dxfId="129" priority="179" operator="equal">
      <formula>0</formula>
    </cfRule>
  </conditionalFormatting>
  <conditionalFormatting sqref="U48">
    <cfRule type="containsBlanks" dxfId="128" priority="178">
      <formula>LEN(TRIM(U48))=0</formula>
    </cfRule>
  </conditionalFormatting>
  <conditionalFormatting sqref="V49">
    <cfRule type="containsBlanks" dxfId="127" priority="177">
      <formula>LEN(TRIM(V49))=0</formula>
    </cfRule>
  </conditionalFormatting>
  <conditionalFormatting sqref="V49">
    <cfRule type="cellIs" dxfId="126" priority="176" operator="equal">
      <formula>0</formula>
    </cfRule>
  </conditionalFormatting>
  <conditionalFormatting sqref="U49">
    <cfRule type="containsBlanks" dxfId="125" priority="175">
      <formula>LEN(TRIM(U49))=0</formula>
    </cfRule>
  </conditionalFormatting>
  <conditionalFormatting sqref="W47">
    <cfRule type="containsBlanks" dxfId="124" priority="174">
      <formula>LEN(TRIM(W47))=0</formula>
    </cfRule>
  </conditionalFormatting>
  <conditionalFormatting sqref="S119:V119">
    <cfRule type="containsBlanks" dxfId="123" priority="173">
      <formula>LEN(TRIM(S119))=0</formula>
    </cfRule>
  </conditionalFormatting>
  <conditionalFormatting sqref="V119">
    <cfRule type="cellIs" dxfId="122" priority="172" operator="equal">
      <formula>0</formula>
    </cfRule>
  </conditionalFormatting>
  <conditionalFormatting sqref="W120">
    <cfRule type="containsBlanks" dxfId="121" priority="171">
      <formula>LEN(TRIM(W120))=0</formula>
    </cfRule>
  </conditionalFormatting>
  <conditionalFormatting sqref="U131:W131">
    <cfRule type="containsBlanks" dxfId="120" priority="170">
      <formula>LEN(TRIM(U131))=0</formula>
    </cfRule>
  </conditionalFormatting>
  <conditionalFormatting sqref="V131">
    <cfRule type="cellIs" dxfId="119" priority="169" operator="equal">
      <formula>0</formula>
    </cfRule>
  </conditionalFormatting>
  <conditionalFormatting sqref="S131:T131">
    <cfRule type="containsBlanks" dxfId="118" priority="168">
      <formula>LEN(TRIM(S131))=0</formula>
    </cfRule>
  </conditionalFormatting>
  <conditionalFormatting sqref="U128:V128">
    <cfRule type="containsBlanks" dxfId="117" priority="167">
      <formula>LEN(TRIM(U128))=0</formula>
    </cfRule>
  </conditionalFormatting>
  <conditionalFormatting sqref="V128">
    <cfRule type="cellIs" dxfId="116" priority="166" operator="equal">
      <formula>0</formula>
    </cfRule>
  </conditionalFormatting>
  <conditionalFormatting sqref="U125:W125">
    <cfRule type="cellIs" dxfId="115" priority="161" operator="equal">
      <formula>$C$2</formula>
    </cfRule>
  </conditionalFormatting>
  <conditionalFormatting sqref="U125:W125">
    <cfRule type="cellIs" dxfId="114" priority="160" operator="equal">
      <formula>U123</formula>
    </cfRule>
  </conditionalFormatting>
  <conditionalFormatting sqref="U133:W133">
    <cfRule type="cellIs" dxfId="113" priority="159" operator="equal">
      <formula>$C$2</formula>
    </cfRule>
  </conditionalFormatting>
  <conditionalFormatting sqref="U133:W133">
    <cfRule type="cellIs" dxfId="112" priority="158" operator="equal">
      <formula>U130</formula>
    </cfRule>
  </conditionalFormatting>
  <conditionalFormatting sqref="U137:W137">
    <cfRule type="cellIs" dxfId="111" priority="157" operator="equal">
      <formula>$C$2</formula>
    </cfRule>
  </conditionalFormatting>
  <conditionalFormatting sqref="U137:W137">
    <cfRule type="cellIs" dxfId="110" priority="156" operator="equal">
      <formula>U135</formula>
    </cfRule>
  </conditionalFormatting>
  <conditionalFormatting sqref="U147:W147">
    <cfRule type="cellIs" dxfId="109" priority="155" operator="equal">
      <formula>$C$2</formula>
    </cfRule>
  </conditionalFormatting>
  <conditionalFormatting sqref="U147:W147">
    <cfRule type="cellIs" dxfId="108" priority="154" operator="equal">
      <formula>U145</formula>
    </cfRule>
  </conditionalFormatting>
  <conditionalFormatting sqref="U171">
    <cfRule type="containsBlanks" dxfId="107" priority="153">
      <formula>LEN(TRIM(U171))=0</formula>
    </cfRule>
  </conditionalFormatting>
  <conditionalFormatting sqref="U156">
    <cfRule type="containsBlanks" dxfId="106" priority="152">
      <formula>LEN(TRIM(U156))=0</formula>
    </cfRule>
  </conditionalFormatting>
  <conditionalFormatting sqref="U155">
    <cfRule type="containsBlanks" dxfId="105" priority="151">
      <formula>LEN(TRIM(U155))=0</formula>
    </cfRule>
  </conditionalFormatting>
  <conditionalFormatting sqref="U154">
    <cfRule type="containsBlanks" dxfId="104" priority="150">
      <formula>LEN(TRIM(U154))=0</formula>
    </cfRule>
  </conditionalFormatting>
  <conditionalFormatting sqref="U153">
    <cfRule type="containsBlanks" dxfId="103" priority="149">
      <formula>LEN(TRIM(U153))=0</formula>
    </cfRule>
  </conditionalFormatting>
  <conditionalFormatting sqref="U151">
    <cfRule type="containsBlanks" dxfId="102" priority="148">
      <formula>LEN(TRIM(U151))=0</formula>
    </cfRule>
  </conditionalFormatting>
  <conditionalFormatting sqref="U149">
    <cfRule type="containsBlanks" dxfId="101" priority="147">
      <formula>LEN(TRIM(U149))=0</formula>
    </cfRule>
  </conditionalFormatting>
  <conditionalFormatting sqref="U148">
    <cfRule type="containsBlanks" dxfId="100" priority="146">
      <formula>LEN(TRIM(U148))=0</formula>
    </cfRule>
  </conditionalFormatting>
  <conditionalFormatting sqref="U232">
    <cfRule type="containsBlanks" dxfId="99" priority="145">
      <formula>LEN(TRIM(U232))=0</formula>
    </cfRule>
  </conditionalFormatting>
  <conditionalFormatting sqref="U233">
    <cfRule type="containsBlanks" dxfId="98" priority="143">
      <formula>LEN(TRIM(U233))=0</formula>
    </cfRule>
  </conditionalFormatting>
  <conditionalFormatting sqref="V232">
    <cfRule type="containsBlanks" dxfId="97" priority="141">
      <formula>LEN(TRIM(V232))=0</formula>
    </cfRule>
  </conditionalFormatting>
  <conditionalFormatting sqref="V232">
    <cfRule type="cellIs" dxfId="96" priority="140" operator="equal">
      <formula>0</formula>
    </cfRule>
  </conditionalFormatting>
  <conditionalFormatting sqref="V233">
    <cfRule type="containsBlanks" dxfId="95" priority="139">
      <formula>LEN(TRIM(V233))=0</formula>
    </cfRule>
  </conditionalFormatting>
  <conditionalFormatting sqref="V233">
    <cfRule type="cellIs" dxfId="94" priority="138" operator="equal">
      <formula>0</formula>
    </cfRule>
  </conditionalFormatting>
  <conditionalFormatting sqref="F198:F210">
    <cfRule type="cellIs" dxfId="93" priority="118" operator="equal">
      <formula>F197</formula>
    </cfRule>
  </conditionalFormatting>
  <conditionalFormatting sqref="F198:F210">
    <cfRule type="cellIs" dxfId="92" priority="117" operator="equal">
      <formula>$C$2</formula>
    </cfRule>
  </conditionalFormatting>
  <conditionalFormatting sqref="S198:W209">
    <cfRule type="containsBlanks" dxfId="91" priority="116">
      <formula>LEN(TRIM(S198))=0</formula>
    </cfRule>
  </conditionalFormatting>
  <conditionalFormatting sqref="V198:V209">
    <cfRule type="cellIs" dxfId="90" priority="115" operator="equal">
      <formula>0</formula>
    </cfRule>
  </conditionalFormatting>
  <conditionalFormatting sqref="C221:F221">
    <cfRule type="cellIs" dxfId="89" priority="114" operator="equal">
      <formula>C220</formula>
    </cfRule>
  </conditionalFormatting>
  <conditionalFormatting sqref="B221:F221">
    <cfRule type="cellIs" dxfId="88" priority="113" operator="equal">
      <formula>$C$2</formula>
    </cfRule>
  </conditionalFormatting>
  <conditionalFormatting sqref="B221:C221">
    <cfRule type="cellIs" dxfId="87" priority="112" operator="equal">
      <formula>B219</formula>
    </cfRule>
  </conditionalFormatting>
  <conditionalFormatting sqref="S81:T98 S100:T104">
    <cfRule type="containsBlanks" dxfId="86" priority="111">
      <formula>LEN(TRIM(S81))=0</formula>
    </cfRule>
  </conditionalFormatting>
  <conditionalFormatting sqref="S134:T136 S138:T146">
    <cfRule type="containsBlanks" dxfId="85" priority="110">
      <formula>LEN(TRIM(S134))=0</formula>
    </cfRule>
  </conditionalFormatting>
  <conditionalFormatting sqref="S148:T156">
    <cfRule type="containsBlanks" dxfId="84" priority="109">
      <formula>LEN(TRIM(S148))=0</formula>
    </cfRule>
  </conditionalFormatting>
  <conditionalFormatting sqref="S171:T171">
    <cfRule type="containsBlanks" dxfId="83" priority="108">
      <formula>LEN(TRIM(S171))=0</formula>
    </cfRule>
  </conditionalFormatting>
  <conditionalFormatting sqref="S99:T99">
    <cfRule type="cellIs" dxfId="82" priority="107" operator="equal">
      <formula>$C$2</formula>
    </cfRule>
  </conditionalFormatting>
  <conditionalFormatting sqref="S99:T99">
    <cfRule type="cellIs" dxfId="81" priority="106" operator="equal">
      <formula>S97</formula>
    </cfRule>
  </conditionalFormatting>
  <conditionalFormatting sqref="S137:T137">
    <cfRule type="cellIs" dxfId="80" priority="105" operator="equal">
      <formula>$C$2</formula>
    </cfRule>
  </conditionalFormatting>
  <conditionalFormatting sqref="S137:T137">
    <cfRule type="cellIs" dxfId="79" priority="104" operator="equal">
      <formula>S135</formula>
    </cfRule>
  </conditionalFormatting>
  <conditionalFormatting sqref="B113:C113">
    <cfRule type="cellIs" dxfId="78" priority="102" operator="equal">
      <formula>B112</formula>
    </cfRule>
  </conditionalFormatting>
  <conditionalFormatting sqref="S221:V221">
    <cfRule type="containsBlanks" dxfId="77" priority="99">
      <formula>LEN(TRIM(S221))=0</formula>
    </cfRule>
  </conditionalFormatting>
  <conditionalFormatting sqref="V221">
    <cfRule type="cellIs" dxfId="76" priority="98" operator="equal">
      <formula>0</formula>
    </cfRule>
  </conditionalFormatting>
  <conditionalFormatting sqref="V158:W158">
    <cfRule type="cellIs" dxfId="75" priority="68" operator="equal">
      <formula>0</formula>
    </cfRule>
  </conditionalFormatting>
  <conditionalFormatting sqref="V158:W158">
    <cfRule type="cellIs" dxfId="74" priority="65" operator="equal">
      <formula>0</formula>
    </cfRule>
  </conditionalFormatting>
  <conditionalFormatting sqref="F158">
    <cfRule type="cellIs" dxfId="73" priority="44" operator="equal">
      <formula>F157</formula>
    </cfRule>
  </conditionalFormatting>
  <conditionalFormatting sqref="F158">
    <cfRule type="cellIs" dxfId="72" priority="43" operator="equal">
      <formula>$C$2</formula>
    </cfRule>
  </conditionalFormatting>
  <conditionalFormatting sqref="F159:F166">
    <cfRule type="cellIs" dxfId="71" priority="42" operator="equal">
      <formula>F158</formula>
    </cfRule>
  </conditionalFormatting>
  <conditionalFormatting sqref="F159:F166">
    <cfRule type="cellIs" dxfId="70" priority="41" operator="equal">
      <formula>$C$2</formula>
    </cfRule>
  </conditionalFormatting>
  <conditionalFormatting sqref="F167">
    <cfRule type="cellIs" dxfId="69" priority="40" operator="equal">
      <formula>F166</formula>
    </cfRule>
  </conditionalFormatting>
  <conditionalFormatting sqref="F167">
    <cfRule type="cellIs" dxfId="68" priority="39" operator="equal">
      <formula>$C$2</formula>
    </cfRule>
  </conditionalFormatting>
  <conditionalFormatting sqref="V159:V166 W162 S160:U166">
    <cfRule type="cellIs" dxfId="67" priority="37" operator="equal">
      <formula>0</formula>
    </cfRule>
  </conditionalFormatting>
  <conditionalFormatting sqref="V159:V166 W162 S160:U166">
    <cfRule type="cellIs" dxfId="66" priority="34" operator="equal">
      <formula>0</formula>
    </cfRule>
  </conditionalFormatting>
  <conditionalFormatting sqref="B132:F132">
    <cfRule type="cellIs" dxfId="65" priority="10" operator="equal">
      <formula>B131</formula>
    </cfRule>
  </conditionalFormatting>
  <conditionalFormatting sqref="B132:F132">
    <cfRule type="cellIs" dxfId="64" priority="9" operator="equal">
      <formula>$C$2</formula>
    </cfRule>
  </conditionalFormatting>
  <conditionalFormatting sqref="B132">
    <cfRule type="cellIs" dxfId="63" priority="8" operator="equal">
      <formula>B130</formula>
    </cfRule>
  </conditionalFormatting>
  <conditionalFormatting sqref="U132:W132">
    <cfRule type="containsBlanks" dxfId="62" priority="7">
      <formula>LEN(TRIM(U132))=0</formula>
    </cfRule>
  </conditionalFormatting>
  <conditionalFormatting sqref="V132">
    <cfRule type="cellIs" dxfId="61" priority="6" operator="equal">
      <formula>0</formula>
    </cfRule>
  </conditionalFormatting>
  <conditionalFormatting sqref="S132:T132">
    <cfRule type="containsBlanks" dxfId="60" priority="5">
      <formula>LEN(TRIM(S132))=0</formula>
    </cfRule>
  </conditionalFormatting>
  <dataValidations count="2">
    <dataValidation type="list" allowBlank="1" showInputMessage="1" showErrorMessage="1" sqref="S118 S232:S233 L81:L98 L228:L233 L134:L136 L118:L124 L26:L34 S122:S124 I4:I13 L48:L49 L3:L15 L100:L104 L46 L148:L156 L112:L116 S128:S130 L168:L171 L51:L59 L198:L209 L211:L226 L173:L191 S126 L36:L44 L61:L79 L106:L110 L193:L196 L158:L166 L126:L132" xr:uid="{00000000-0002-0000-0900-000000000000}">
      <formula1>SMX</formula1>
    </dataValidation>
    <dataValidation type="list" allowBlank="1" showInputMessage="1" showErrorMessage="1" sqref="Q193:Q196 Q168:Q171 Q46:Q49 Q3:R15 Q106:Q110 Q81:Q98 Q100:Q104 Q67:Q79 Q61:Q65 H36:H44 H81:H98 H67:H79 Q36:Q44 Q26:Q34 Q17:Q24 Q126:Q132 H3:H15 H17:H24 H26:H34 Q51:Q59 H61:H65 H51:H59 H100:H104 H106:H110 Q158:Q166 H46:H49 H148:H156 H193:H196 H138:H146 Q148:Q156 H168:H171 H211:H226 Q198:Q209 H173:H191 Q173:Q191 Q118:Q124 H118:H124 Q112:Q116 H112:H116 Q228:Q231 H198:H209 Q211:Q226 H158:H166 H126:H132" xr:uid="{00000000-0002-0000-0900-000001000000}">
      <formula1>"Yes, No"</formula1>
    </dataValidation>
  </dataValidations>
  <pageMargins left="0.7" right="0.7" top="0.75" bottom="0.75" header="0.3" footer="0.3"/>
  <pageSetup paperSize="9" orientation="portrait" r:id="rId1"/>
  <ignoredErrors>
    <ignoredError sqref="J222:K234 M222:P234 M168:P197 T232:T233 J133:J157 J198:Q210 M211:P220 J211:K220 J221 J168:K197 X168:X229 X133:X157 K133:K157 M133:P157 J167:P167 M16:P131 K16:K131 X3:X125 J3:J125 J126:J132 X131" calculatedColumn="1"/>
    <ignoredError sqref="X127:X130 X126 X158" unlockedFormula="1" calculatedColumn="1"/>
    <ignoredError sqref="Q127:W130 Q126:W126" unlockedFormula="1"/>
  </ignoredErrors>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137" operator="equal" id="{8DE2B429-6B03-428D-9555-D321732ECBF9}">
            <xm:f>FMEDA_OP!B158</xm:f>
            <x14:dxf>
              <numFmt numFmtId="171" formatCode=";;;"/>
            </x14:dxf>
          </x14:cfRule>
          <xm:sqref>B199:C209 D199:E210 G210:H210 J210:K210 O210:W210 B159:E166</xm:sqref>
        </x14:conditionalFormatting>
        <x14:conditionalFormatting xmlns:xm="http://schemas.microsoft.com/office/excel/2006/main">
          <x14:cfRule type="cellIs" priority="133" operator="equal" id="{3BF0068B-649B-42E1-834E-19D53C5F4CB8}">
            <xm:f>FMEDA_OP!$C$3</xm:f>
            <x14:dxf>
              <numFmt numFmtId="171" formatCode=";;;"/>
            </x14:dxf>
          </x14:cfRule>
          <xm:sqref>R210:W210 D210:E210 B198:E209 G210:H210</xm:sqref>
        </x14:conditionalFormatting>
        <x14:conditionalFormatting xmlns:xm="http://schemas.microsoft.com/office/excel/2006/main">
          <x14:cfRule type="cellIs" priority="135" operator="equal" id="{DED1C5B1-BFC0-4B3C-B4EC-29DA005757E5}">
            <xm:f>FMEDA_OP!B155</xm:f>
            <x14:dxf>
              <numFmt numFmtId="171" formatCode=";;;"/>
            </x14:dxf>
          </x14:cfRule>
          <xm:sqref>B198:E198 B158:E158 B159:C166</xm:sqref>
        </x14:conditionalFormatting>
        <x14:conditionalFormatting xmlns:xm="http://schemas.microsoft.com/office/excel/2006/main">
          <x14:cfRule type="cellIs" priority="131" operator="equal" id="{215F0D43-9721-4413-8FC8-5F05D8BC2698}">
            <xm:f>FMEDA_OP!$C$3</xm:f>
            <x14:dxf>
              <numFmt numFmtId="171" formatCode=";;;"/>
            </x14:dxf>
          </x14:cfRule>
          <xm:sqref>O210:Q210 J210:K210</xm:sqref>
        </x14:conditionalFormatting>
        <x14:conditionalFormatting xmlns:xm="http://schemas.microsoft.com/office/excel/2006/main">
          <x14:cfRule type="cellIs" priority="1984" operator="equal" id="{9914CA75-B451-46F7-B29E-16EA312BFED0}">
            <xm:f>FMEDA_OP!B157</xm:f>
            <x14:dxf>
              <numFmt numFmtId="171" formatCode=";;;"/>
            </x14:dxf>
          </x14:cfRule>
          <xm:sqref>B159:C166</xm:sqref>
        </x14:conditionalFormatting>
        <x14:conditionalFormatting xmlns:xm="http://schemas.microsoft.com/office/excel/2006/main">
          <x14:cfRule type="cellIs" priority="95" operator="equal" id="{3B304D55-9C38-4392-998B-EF252A345EF5}">
            <xm:f>FMEDA_OP!$C$3</xm:f>
            <x14:dxf>
              <numFmt numFmtId="171" formatCode=";;;"/>
            </x14:dxf>
          </x14:cfRule>
          <xm:sqref>D158:E167</xm:sqref>
        </x14:conditionalFormatting>
        <x14:conditionalFormatting xmlns:xm="http://schemas.microsoft.com/office/excel/2006/main">
          <x14:cfRule type="cellIs" priority="92" operator="equal" id="{C28A6055-610D-4040-AF4A-B35D078F3574}">
            <xm:f>FMEDA_OP!$C$3</xm:f>
            <x14:dxf>
              <numFmt numFmtId="171" formatCode=";;;"/>
            </x14:dxf>
          </x14:cfRule>
          <xm:sqref>G167:H167 R167:W167 B158:C166</xm:sqref>
        </x14:conditionalFormatting>
        <x14:conditionalFormatting xmlns:xm="http://schemas.microsoft.com/office/excel/2006/main">
          <x14:cfRule type="containsBlanks" priority="93" id="{F29E3AD9-061D-4D59-8715-76C7525023A1}">
            <xm:f>LEN(TRIM(FMEDA_OP!S158))=0</xm:f>
            <x14:dxf>
              <fill>
                <patternFill patternType="gray125"/>
              </fill>
            </x14:dxf>
          </x14:cfRule>
          <xm:sqref>S158:W166</xm:sqref>
        </x14:conditionalFormatting>
        <x14:conditionalFormatting xmlns:xm="http://schemas.microsoft.com/office/excel/2006/main">
          <x14:cfRule type="cellIs" priority="91" operator="equal" id="{91335FF0-E405-475D-B5B1-49BD63D4BC1F}">
            <xm:f>FMEDA_OP!#REF!</xm:f>
            <x14:dxf>
              <numFmt numFmtId="171" formatCode=";;;"/>
            </x14:dxf>
          </x14:cfRule>
          <xm:sqref>D167:E167</xm:sqref>
        </x14:conditionalFormatting>
        <x14:conditionalFormatting xmlns:xm="http://schemas.microsoft.com/office/excel/2006/main">
          <x14:cfRule type="cellIs" priority="90" operator="equal" id="{EB03C6DE-1C9A-44D7-B991-A059FAAD83BB}">
            <xm:f>FMEDA_OP!#REF!</xm:f>
            <x14:dxf>
              <numFmt numFmtId="171" formatCode=";;;"/>
            </x14:dxf>
          </x14:cfRule>
          <xm:sqref>R167:W167</xm:sqref>
        </x14:conditionalFormatting>
        <x14:conditionalFormatting xmlns:xm="http://schemas.microsoft.com/office/excel/2006/main">
          <x14:cfRule type="cellIs" priority="73" operator="equal" id="{0ADF29B3-F072-4AAF-98CA-2402E5C03C97}">
            <xm:f>FMEDA_OP!#REF!</xm:f>
            <x14:dxf>
              <numFmt numFmtId="171" formatCode=";;;"/>
            </x14:dxf>
          </x14:cfRule>
          <xm:sqref>G167</xm:sqref>
        </x14:conditionalFormatting>
        <x14:conditionalFormatting xmlns:xm="http://schemas.microsoft.com/office/excel/2006/main">
          <x14:cfRule type="cellIs" priority="72" operator="equal" id="{B4DFEE3B-551A-4F7D-B1D4-2094D821C151}">
            <xm:f>FMEDA_OP!#REF!</xm:f>
            <x14:dxf>
              <numFmt numFmtId="171" formatCode=";;;"/>
            </x14:dxf>
          </x14:cfRule>
          <xm:sqref>H167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54"/>
  <sheetViews>
    <sheetView topLeftCell="A27" zoomScale="85" zoomScaleNormal="85" workbookViewId="0">
      <selection activeCell="G30" sqref="G30"/>
    </sheetView>
  </sheetViews>
  <sheetFormatPr defaultColWidth="9.109375" defaultRowHeight="14.4"/>
  <cols>
    <col min="1" max="1" width="4.6640625" style="199" customWidth="1"/>
    <col min="2" max="2" width="20.6640625" style="199" customWidth="1"/>
    <col min="3" max="4" width="30.6640625" style="241" customWidth="1"/>
    <col min="5" max="5" width="30.6640625" style="199" customWidth="1"/>
    <col min="6" max="6" width="31.109375" style="199" bestFit="1" customWidth="1"/>
    <col min="7" max="7" width="11.33203125" style="199" bestFit="1" customWidth="1"/>
    <col min="8" max="8" width="10.33203125" style="199" bestFit="1" customWidth="1"/>
    <col min="9" max="9" width="8.6640625" style="199" bestFit="1" customWidth="1"/>
    <col min="10" max="10" width="15.33203125" style="199" bestFit="1" customWidth="1"/>
    <col min="11" max="11" width="13.33203125" style="199" bestFit="1" customWidth="1"/>
    <col min="12" max="16384" width="9.109375" style="199"/>
  </cols>
  <sheetData>
    <row r="1" spans="2:4" s="142" customFormat="1" ht="13.2"/>
    <row r="2" spans="2:4" s="237" customFormat="1" ht="15">
      <c r="B2" s="237" t="s">
        <v>544</v>
      </c>
      <c r="C2" s="238"/>
      <c r="D2" s="238"/>
    </row>
    <row r="3" spans="2:4" s="235" customFormat="1" ht="15.6">
      <c r="C3" s="236"/>
      <c r="D3" s="236"/>
    </row>
    <row r="4" spans="2:4" s="235" customFormat="1" ht="15.6">
      <c r="C4" s="236"/>
      <c r="D4" s="236"/>
    </row>
    <row r="5" spans="2:4" s="235" customFormat="1" ht="15.6">
      <c r="C5" s="236"/>
      <c r="D5" s="236"/>
    </row>
    <row r="6" spans="2:4" s="235" customFormat="1" ht="15.6">
      <c r="C6" s="236"/>
      <c r="D6" s="236"/>
    </row>
    <row r="7" spans="2:4" s="235" customFormat="1" ht="15.6">
      <c r="B7" s="343" t="s">
        <v>1140</v>
      </c>
      <c r="C7" s="342" t="s">
        <v>1139</v>
      </c>
      <c r="D7" s="236"/>
    </row>
    <row r="8" spans="2:4" s="235" customFormat="1" ht="15.6">
      <c r="B8" s="343" t="s">
        <v>1137</v>
      </c>
      <c r="C8" s="342" t="s">
        <v>1136</v>
      </c>
      <c r="D8" s="236"/>
    </row>
    <row r="9" spans="2:4" s="235" customFormat="1" ht="15.6">
      <c r="B9" s="344" t="s">
        <v>1138</v>
      </c>
      <c r="C9" s="342" t="s">
        <v>1141</v>
      </c>
      <c r="D9" s="236"/>
    </row>
    <row r="10" spans="2:4" s="237" customFormat="1" ht="15.6">
      <c r="B10" s="343" t="s">
        <v>1134</v>
      </c>
      <c r="C10" s="238">
        <v>20</v>
      </c>
      <c r="D10" s="342" t="s">
        <v>1135</v>
      </c>
    </row>
    <row r="11" spans="2:4" s="235" customFormat="1" ht="15.6">
      <c r="C11" s="236"/>
      <c r="D11" s="236"/>
    </row>
    <row r="12" spans="2:4" s="240" customFormat="1" ht="15"/>
    <row r="13" spans="2:4" s="239" customFormat="1" ht="15.6">
      <c r="B13" s="239" t="s">
        <v>1133</v>
      </c>
    </row>
    <row r="14" spans="2:4" ht="15" thickBot="1"/>
    <row r="15" spans="2:4" s="243" customFormat="1" ht="24.9" customHeight="1" thickBot="1">
      <c r="B15" s="242"/>
      <c r="C15" s="255" t="s">
        <v>540</v>
      </c>
      <c r="D15" s="252" t="s">
        <v>541</v>
      </c>
    </row>
    <row r="16" spans="2:4" s="243" customFormat="1" ht="17.399999999999999">
      <c r="B16" s="244" t="s">
        <v>542</v>
      </c>
      <c r="C16" s="256">
        <f>FMEDA_OP!P1</f>
        <v>0.99323435042735042</v>
      </c>
      <c r="D16" s="253">
        <f>FMEDA_PWRUP!P1</f>
        <v>0.99661514018691588</v>
      </c>
    </row>
    <row r="17" spans="2:11" s="243" customFormat="1" ht="18" thickBot="1">
      <c r="B17" s="245" t="s">
        <v>543</v>
      </c>
      <c r="C17" s="257">
        <f>FMEDA_OP!V1</f>
        <v>0.96881437615355881</v>
      </c>
      <c r="D17" s="254">
        <f>FMEDA_PWRUP!V1</f>
        <v>0.98085620672897866</v>
      </c>
    </row>
    <row r="18" spans="2:11" s="243" customFormat="1" ht="18" thickBot="1">
      <c r="B18" s="246" t="s">
        <v>590</v>
      </c>
      <c r="C18" s="274">
        <f>K27</f>
        <v>0.72099939642331645</v>
      </c>
      <c r="D18" s="251"/>
    </row>
    <row r="19" spans="2:11" s="247" customFormat="1" ht="13.2">
      <c r="C19" s="137"/>
      <c r="D19" s="137"/>
    </row>
    <row r="20" spans="2:11" s="239" customFormat="1" ht="15" customHeight="1">
      <c r="B20" s="239" t="s">
        <v>563</v>
      </c>
      <c r="C20" s="299"/>
      <c r="D20" s="299"/>
      <c r="E20" s="299"/>
    </row>
    <row r="21" spans="2:11" s="239" customFormat="1" ht="15" customHeight="1">
      <c r="B21" s="239" t="s">
        <v>1096</v>
      </c>
      <c r="C21" s="299"/>
      <c r="D21" s="299"/>
      <c r="E21" s="299"/>
    </row>
    <row r="22" spans="2:11" s="247" customFormat="1" ht="15" customHeight="1">
      <c r="C22" s="137"/>
      <c r="D22" s="137"/>
      <c r="E22" s="137"/>
    </row>
    <row r="23" spans="2:11" s="142" customFormat="1" ht="15" customHeight="1"/>
    <row r="24" spans="2:11" s="247" customFormat="1" ht="15" customHeight="1">
      <c r="C24" s="137"/>
      <c r="D24" s="241"/>
      <c r="E24" s="241"/>
    </row>
    <row r="25" spans="2:11" s="247" customFormat="1" ht="15.6">
      <c r="B25" s="398" t="s">
        <v>564</v>
      </c>
      <c r="C25" s="399"/>
      <c r="D25" s="399"/>
      <c r="E25" s="399"/>
      <c r="F25" s="399"/>
      <c r="G25" s="399"/>
      <c r="H25" s="399"/>
      <c r="I25" s="399"/>
      <c r="J25" s="399"/>
      <c r="K25" s="400"/>
    </row>
    <row r="26" spans="2:11" ht="28.8">
      <c r="B26" s="258" t="s">
        <v>266</v>
      </c>
      <c r="C26" s="258" t="s">
        <v>565</v>
      </c>
      <c r="D26" s="258" t="s">
        <v>0</v>
      </c>
      <c r="E26" s="266" t="s">
        <v>583</v>
      </c>
      <c r="F26" s="258" t="s">
        <v>566</v>
      </c>
      <c r="G26" s="266" t="s">
        <v>585</v>
      </c>
      <c r="H26" s="266" t="s">
        <v>586</v>
      </c>
      <c r="I26" s="266" t="s">
        <v>587</v>
      </c>
      <c r="J26" s="266" t="s">
        <v>588</v>
      </c>
      <c r="K26" s="271" t="s">
        <v>567</v>
      </c>
    </row>
    <row r="27" spans="2:11" ht="28.8">
      <c r="B27" s="259" t="s">
        <v>194</v>
      </c>
      <c r="C27" s="259" t="s">
        <v>568</v>
      </c>
      <c r="D27" s="259" t="s">
        <v>569</v>
      </c>
      <c r="E27" s="267">
        <f>SUM(E28:E51)</f>
        <v>53.59999999999998</v>
      </c>
      <c r="F27" s="259" t="s">
        <v>570</v>
      </c>
      <c r="G27" s="267">
        <f>SUM(G28:G51)</f>
        <v>21.003154661678607</v>
      </c>
      <c r="H27" s="267">
        <f t="shared" ref="H27:J27" si="0">SUM(H28:H51)</f>
        <v>25.049937655945659</v>
      </c>
      <c r="I27" s="267">
        <f t="shared" si="0"/>
        <v>0.70084257706456821</v>
      </c>
      <c r="J27" s="267">
        <f t="shared" si="0"/>
        <v>37.800284054228534</v>
      </c>
      <c r="K27" s="267">
        <f>SUM(K28:K51)</f>
        <v>0.72099939642331645</v>
      </c>
    </row>
    <row r="28" spans="2:11" ht="57.6">
      <c r="B28" s="272" t="s">
        <v>3</v>
      </c>
      <c r="C28" s="262" t="s">
        <v>571</v>
      </c>
      <c r="D28" s="264" t="s">
        <v>361</v>
      </c>
      <c r="E28" s="280">
        <f>'Block Failure Rate'!E4</f>
        <v>8.9517882504841815</v>
      </c>
      <c r="F28" s="260" t="s">
        <v>572</v>
      </c>
      <c r="G28" s="268">
        <f>FMEDA_OP!K14+FMEDA_OP!K15</f>
        <v>0.17903576500968363</v>
      </c>
      <c r="H28" s="269">
        <f>SUM(FMEDA_OP!K3:K13)</f>
        <v>8.7727524854745003</v>
      </c>
      <c r="I28" s="269">
        <f>SUM(FMEDA_OP!P3:P15)</f>
        <v>8.772752485474504E-2</v>
      </c>
      <c r="J28" s="269">
        <f>(FMEDA_OP!K46+FMEDA_OP!F112+FMEDA_OP!F118+IF(FMEDA_OP!X126="Yes",FMEDA_OP!F126,0)) + (FMEDA_OP!K46+FMEDA_OP!F112+FMEDA_OP!F118+IF(FMEDA_OP!X126="Yes",FMEDA_OP!F126,0))*10^-9*FMEDA_OP!F171*10^-9</f>
        <v>4.7250355067785659</v>
      </c>
      <c r="K28" s="269">
        <f>(I28*10^-9+((H28-I28)*10^-9*J28*10^-9)*(Tlifetime*365*24))*10^9</f>
        <v>9.4917216245340913E-2</v>
      </c>
    </row>
    <row r="29" spans="2:11" ht="43.2">
      <c r="B29" s="273" t="s">
        <v>4</v>
      </c>
      <c r="C29" s="263" t="s">
        <v>573</v>
      </c>
      <c r="D29" s="273" t="s">
        <v>324</v>
      </c>
      <c r="E29" s="281">
        <f>'Block Failure Rate'!E5</f>
        <v>12.533195610071012</v>
      </c>
      <c r="F29" s="261" t="s">
        <v>572</v>
      </c>
      <c r="G29" s="270">
        <f>FMEDA_OP!K18</f>
        <v>1.5666494512588764</v>
      </c>
      <c r="H29" s="270">
        <f>FMEDA_OP!K17+SUM(FMEDA_OP!K19:K24)</f>
        <v>10.966546158812136</v>
      </c>
      <c r="I29" s="270">
        <f>SUM(FMEDA_OP!P17:P24)</f>
        <v>0.10966546158812146</v>
      </c>
      <c r="J29" s="270">
        <f>(FMEDA_OP!K46+FMEDA_OP!F112+FMEDA_OP!F118+IF(FMEDA_OP!X126="Yes",FMEDA_OP!F126,0))</f>
        <v>4.7250355067785659</v>
      </c>
      <c r="K29" s="270">
        <f>(I29*10^-9+((H29-I29)*10^-9*J29*10^-9)*(Tlifetime*365*24))*10^9</f>
        <v>0.11865307210524631</v>
      </c>
    </row>
    <row r="30" spans="2:11" ht="43.2">
      <c r="B30" s="272" t="s">
        <v>5</v>
      </c>
      <c r="C30" s="262" t="s">
        <v>574</v>
      </c>
      <c r="D30" s="272" t="s">
        <v>325</v>
      </c>
      <c r="E30" s="280">
        <f>'Block Failure Rate'!E6</f>
        <v>2.3876049063912199</v>
      </c>
      <c r="F30" s="260" t="s">
        <v>572</v>
      </c>
      <c r="G30" s="268">
        <v>0</v>
      </c>
      <c r="H30" s="268">
        <f>SUM(FMEDA_OP!K26:K34)</f>
        <v>2.3876049063912199</v>
      </c>
      <c r="I30" s="268">
        <f>SUM(FMEDA_OP!P26:P34)</f>
        <v>2.3876049063912216E-2</v>
      </c>
      <c r="J30" s="269">
        <f>(FMEDA_OP!K46+FMEDA_OP!F112+FMEDA_OP!F118+IF(FMEDA_OP!X126="Yes",FMEDA_OP!F126,0))</f>
        <v>4.7250355067785659</v>
      </c>
      <c r="K30" s="268">
        <f>(I30*10^-9+((H30-I30)*10^-9*J30*10^-9)*(Tlifetime*365*24))*10^9</f>
        <v>2.5832805790840088E-2</v>
      </c>
    </row>
    <row r="31" spans="2:11" ht="43.2">
      <c r="B31" s="273" t="s">
        <v>6</v>
      </c>
      <c r="C31" s="263" t="s">
        <v>575</v>
      </c>
      <c r="D31" s="273" t="s">
        <v>326</v>
      </c>
      <c r="E31" s="281">
        <f>'Block Failure Rate'!E7</f>
        <v>2.3876049063912199</v>
      </c>
      <c r="F31" s="261" t="s">
        <v>572</v>
      </c>
      <c r="G31" s="270">
        <v>0</v>
      </c>
      <c r="H31" s="270">
        <f>SUM(FMEDA_OP!K36:K44)</f>
        <v>2.3876049063912199</v>
      </c>
      <c r="I31" s="270">
        <f>SUM(FMEDA_OP!P36:P44)</f>
        <v>2.3876049063912216E-2</v>
      </c>
      <c r="J31" s="270">
        <f>(FMEDA_OP!K46+FMEDA_OP!F112+FMEDA_OP!F118+IF(FMEDA_OP!X126="Yes",FMEDA_OP!F126,0))</f>
        <v>4.7250355067785659</v>
      </c>
      <c r="K31" s="270">
        <f>(I31*10^-9+((H31-I31)*10^-9*J31*10^-9)*(Tlifetime*365*24))*10^9</f>
        <v>2.5832805790840088E-2</v>
      </c>
    </row>
    <row r="32" spans="2:11" ht="43.2">
      <c r="B32" s="272" t="s">
        <v>7</v>
      </c>
      <c r="C32" s="262" t="s">
        <v>576</v>
      </c>
      <c r="D32" s="272" t="s">
        <v>327</v>
      </c>
      <c r="E32" s="280">
        <f>'Block Failure Rate'!E8</f>
        <v>3.38417043253712</v>
      </c>
      <c r="F32" s="260" t="s">
        <v>577</v>
      </c>
      <c r="G32" s="268" t="s">
        <v>63</v>
      </c>
      <c r="H32" s="269" t="s">
        <v>63</v>
      </c>
      <c r="I32" s="269" t="s">
        <v>63</v>
      </c>
      <c r="J32" s="269" t="s">
        <v>63</v>
      </c>
      <c r="K32" s="269" t="s">
        <v>63</v>
      </c>
    </row>
    <row r="33" spans="2:11" ht="43.2">
      <c r="B33" s="273" t="s">
        <v>222</v>
      </c>
      <c r="C33" s="263" t="s">
        <v>578</v>
      </c>
      <c r="D33" s="273" t="s">
        <v>318</v>
      </c>
      <c r="E33" s="281">
        <f>'Block Failure Rate'!E9</f>
        <v>0.28028405422853453</v>
      </c>
      <c r="F33" s="261" t="s">
        <v>572</v>
      </c>
      <c r="G33" s="270">
        <v>0</v>
      </c>
      <c r="H33" s="270">
        <f>SUM(FMEDA_OP!K51:K59)</f>
        <v>0.28028405422853453</v>
      </c>
      <c r="I33" s="270">
        <f>FMEDA_OP!P58+SUM(FMEDA_OP!K51:K57)+ FMEDA_OP!K59</f>
        <v>0.24064388084478464</v>
      </c>
      <c r="J33" s="270">
        <f>(FMEDA_OP!K46+FMEDA_OP!F112+FMEDA_OP!F118+IF(FMEDA_OP!X126="Yes",FMEDA_OP!F126,0))</f>
        <v>4.7250355067785659</v>
      </c>
      <c r="K33" s="270">
        <f>(I33*10^-9+((H33-I33)*10^-9*J33*10^-9)*(Tlifetime*365*24))*10^9</f>
        <v>0.24067669601970829</v>
      </c>
    </row>
    <row r="34" spans="2:11" ht="57.6">
      <c r="B34" s="272" t="s">
        <v>224</v>
      </c>
      <c r="C34" s="262" t="s">
        <v>578</v>
      </c>
      <c r="D34" s="272" t="s">
        <v>319</v>
      </c>
      <c r="E34" s="280">
        <f>'Block Failure Rate'!E10</f>
        <v>7.2666236281471924E-2</v>
      </c>
      <c r="F34" s="260" t="s">
        <v>584</v>
      </c>
      <c r="G34" s="268">
        <v>0</v>
      </c>
      <c r="H34" s="268">
        <f>SUM(FMEDA_OP!K61:K65)</f>
        <v>7.2666236281471924E-2</v>
      </c>
      <c r="I34" s="268">
        <f>SUM(FMEDA_OP!K61:K65)</f>
        <v>7.2666236281471924E-2</v>
      </c>
      <c r="J34" s="269">
        <f>(FMEDA_OP!K46+FMEDA_OP!F112+FMEDA_OP!F118+IF(FMEDA_OP!X126="Yes",FMEDA_OP!F126,0))</f>
        <v>4.7250355067785659</v>
      </c>
      <c r="K34" s="268">
        <f>(I34*10^-9+((H34-I34)*10^-9*J34*10^-9)*(Tlifetime*365*24))*10^9</f>
        <v>7.2666236281471924E-2</v>
      </c>
    </row>
    <row r="35" spans="2:11" ht="43.2">
      <c r="B35" s="273" t="s">
        <v>229</v>
      </c>
      <c r="C35" s="263" t="s">
        <v>578</v>
      </c>
      <c r="D35" s="273" t="s">
        <v>320</v>
      </c>
      <c r="E35" s="281">
        <f>'Block Failure Rate'!E11</f>
        <v>0.14187217559715945</v>
      </c>
      <c r="F35" s="261" t="s">
        <v>572</v>
      </c>
      <c r="G35" s="270">
        <f>FMEDA_OP!K77</f>
        <v>1.0913244276704573E-2</v>
      </c>
      <c r="H35" s="270">
        <f>SUM(FMEDA_OP!K67:K76)+SUM(FMEDA_OP!K78:K79)</f>
        <v>0.13095893132045491</v>
      </c>
      <c r="I35" s="270">
        <f>+SUM(FMEDA_OP!K67:K79)</f>
        <v>0.14187217559715948</v>
      </c>
      <c r="J35" s="270">
        <f>(FMEDA_OP!K46+FMEDA_OP!F112+FMEDA_OP!F118+IF(FMEDA_OP!X126="Yes",FMEDA_OP!F126,0))</f>
        <v>4.7250355067785659</v>
      </c>
      <c r="K35" s="270">
        <f>(I35*10^-9+((H35-I35)*10^-9*J35*10^-9)*(Tlifetime*365*24))*10^9</f>
        <v>0.14186314132739336</v>
      </c>
    </row>
    <row r="36" spans="2:11" ht="28.8">
      <c r="B36" s="272" t="s">
        <v>230</v>
      </c>
      <c r="C36" s="262" t="s">
        <v>576</v>
      </c>
      <c r="D36" s="272" t="s">
        <v>398</v>
      </c>
      <c r="E36" s="280">
        <f>'Block Failure Rate'!E12</f>
        <v>1.2699289864428662</v>
      </c>
      <c r="F36" s="260" t="s">
        <v>577</v>
      </c>
      <c r="G36" s="268" t="s">
        <v>63</v>
      </c>
      <c r="H36" s="269" t="s">
        <v>63</v>
      </c>
      <c r="I36" s="269" t="s">
        <v>63</v>
      </c>
      <c r="J36" s="269" t="s">
        <v>63</v>
      </c>
      <c r="K36" s="269" t="s">
        <v>63</v>
      </c>
    </row>
    <row r="37" spans="2:11" ht="28.8">
      <c r="B37" s="273" t="s">
        <v>231</v>
      </c>
      <c r="C37" s="263" t="s">
        <v>576</v>
      </c>
      <c r="D37" s="273" t="s">
        <v>399</v>
      </c>
      <c r="E37" s="281">
        <f>'Block Failure Rate'!E13</f>
        <v>1.2699289864428662</v>
      </c>
      <c r="F37" s="261" t="s">
        <v>577</v>
      </c>
      <c r="G37" s="270" t="s">
        <v>63</v>
      </c>
      <c r="H37" s="270" t="s">
        <v>63</v>
      </c>
      <c r="I37" s="270" t="s">
        <v>63</v>
      </c>
      <c r="J37" s="270" t="s">
        <v>63</v>
      </c>
      <c r="K37" s="270" t="s">
        <v>63</v>
      </c>
    </row>
    <row r="38" spans="2:11" ht="43.2">
      <c r="B38" s="264" t="s">
        <v>397</v>
      </c>
      <c r="C38" s="262" t="s">
        <v>576</v>
      </c>
      <c r="D38" s="264" t="s">
        <v>503</v>
      </c>
      <c r="E38" s="280">
        <f>'Block Failure Rate'!E14</f>
        <v>1.3391349257585539</v>
      </c>
      <c r="F38" s="260" t="s">
        <v>577</v>
      </c>
      <c r="G38" s="268" t="s">
        <v>63</v>
      </c>
      <c r="H38" s="269" t="s">
        <v>63</v>
      </c>
      <c r="I38" s="269" t="s">
        <v>63</v>
      </c>
      <c r="J38" s="269" t="s">
        <v>63</v>
      </c>
      <c r="K38" s="269" t="s">
        <v>63</v>
      </c>
    </row>
    <row r="39" spans="2:11" ht="28.8">
      <c r="B39" s="265" t="s">
        <v>406</v>
      </c>
      <c r="C39" s="263" t="s">
        <v>581</v>
      </c>
      <c r="D39" s="265" t="s">
        <v>207</v>
      </c>
      <c r="E39" s="281">
        <f>'Block Failure Rate'!E15</f>
        <v>0.38063266623628145</v>
      </c>
      <c r="F39" s="261" t="s">
        <v>582</v>
      </c>
      <c r="G39" s="270">
        <f>E39</f>
        <v>0.38063266623628145</v>
      </c>
      <c r="H39" s="270" t="s">
        <v>63</v>
      </c>
      <c r="I39" s="270" t="s">
        <v>63</v>
      </c>
      <c r="J39" s="270" t="s">
        <v>63</v>
      </c>
      <c r="K39" s="270" t="s">
        <v>63</v>
      </c>
    </row>
    <row r="40" spans="2:11" ht="28.8">
      <c r="B40" s="264" t="s">
        <v>405</v>
      </c>
      <c r="C40" s="262" t="s">
        <v>581</v>
      </c>
      <c r="D40" s="264" t="s">
        <v>510</v>
      </c>
      <c r="E40" s="280">
        <f>'Block Failure Rate'!E16</f>
        <v>0.38063266623628145</v>
      </c>
      <c r="F40" s="260" t="s">
        <v>582</v>
      </c>
      <c r="G40" s="268">
        <f>E40</f>
        <v>0.38063266623628145</v>
      </c>
      <c r="H40" s="269" t="s">
        <v>63</v>
      </c>
      <c r="I40" s="269" t="s">
        <v>63</v>
      </c>
      <c r="J40" s="269" t="s">
        <v>63</v>
      </c>
      <c r="K40" s="269" t="s">
        <v>63</v>
      </c>
    </row>
    <row r="41" spans="2:11" ht="43.2">
      <c r="B41" s="265" t="s">
        <v>8</v>
      </c>
      <c r="C41" s="263" t="s">
        <v>579</v>
      </c>
      <c r="D41" s="273" t="s">
        <v>400</v>
      </c>
      <c r="E41" s="281">
        <f>'Block Failure Rate'!E17</f>
        <v>0.92735958683021302</v>
      </c>
      <c r="F41" s="261" t="s">
        <v>572</v>
      </c>
      <c r="G41" s="270">
        <f>SUM(FMEDA_OP!K82:K98)</f>
        <v>0.87583960978409037</v>
      </c>
      <c r="H41" s="270">
        <f>FMEDA_OP!K81</f>
        <v>5.151997704612294E-2</v>
      </c>
      <c r="I41" s="270">
        <f>FMEDA_OP!P81</f>
        <v>5.151997704612299E-4</v>
      </c>
      <c r="J41" s="270">
        <f>(FMEDA_OP!K46+FMEDA_OP!F112+FMEDA_OP!F118+IF(FMEDA_OP!X126="Yes",FMEDA_OP!F126,0))</f>
        <v>4.7250355067785659</v>
      </c>
      <c r="K41" s="270">
        <f>(I41*10^-9+((H41-I41)*10^-9*J41*10^-9)*(Tlifetime*365*24))*10^9</f>
        <v>5.5742286247545446E-4</v>
      </c>
    </row>
    <row r="42" spans="2:11" ht="28.8">
      <c r="B42" s="272" t="s">
        <v>9</v>
      </c>
      <c r="C42" s="262" t="s">
        <v>580</v>
      </c>
      <c r="D42" s="272" t="s">
        <v>321</v>
      </c>
      <c r="E42" s="280">
        <f>'Block Failure Rate'!E18</f>
        <v>1.69208521626856</v>
      </c>
      <c r="F42" s="260" t="s">
        <v>577</v>
      </c>
      <c r="G42" s="268">
        <f>E42</f>
        <v>1.69208521626856</v>
      </c>
      <c r="H42" s="269" t="s">
        <v>63</v>
      </c>
      <c r="I42" s="269" t="s">
        <v>63</v>
      </c>
      <c r="J42" s="269" t="s">
        <v>63</v>
      </c>
      <c r="K42" s="269" t="s">
        <v>63</v>
      </c>
    </row>
    <row r="43" spans="2:11" ht="43.2">
      <c r="B43" s="273" t="s">
        <v>128</v>
      </c>
      <c r="C43" s="263" t="s">
        <v>581</v>
      </c>
      <c r="D43" s="273" t="s">
        <v>344</v>
      </c>
      <c r="E43" s="281">
        <f>'Block Failure Rate'!E19</f>
        <v>0.46367979341510651</v>
      </c>
      <c r="F43" s="261" t="s">
        <v>582</v>
      </c>
      <c r="G43" s="270">
        <f>E43</f>
        <v>0.46367979341510651</v>
      </c>
      <c r="H43" s="270" t="s">
        <v>63</v>
      </c>
      <c r="I43" s="270" t="s">
        <v>63</v>
      </c>
      <c r="J43" s="270" t="s">
        <v>63</v>
      </c>
      <c r="K43" s="270" t="s">
        <v>63</v>
      </c>
    </row>
    <row r="44" spans="2:11" ht="43.2">
      <c r="B44" s="272" t="s">
        <v>418</v>
      </c>
      <c r="C44" s="262" t="s">
        <v>580</v>
      </c>
      <c r="D44" s="272" t="s">
        <v>419</v>
      </c>
      <c r="E44" s="280">
        <f>'Block Failure Rate'!E20</f>
        <v>0.50866365397030333</v>
      </c>
      <c r="F44" s="260" t="s">
        <v>577</v>
      </c>
      <c r="G44" s="268">
        <f>E44</f>
        <v>0.50866365397030333</v>
      </c>
      <c r="H44" s="269" t="s">
        <v>63</v>
      </c>
      <c r="I44" s="269" t="s">
        <v>63</v>
      </c>
      <c r="J44" s="269" t="s">
        <v>63</v>
      </c>
      <c r="K44" s="269" t="s">
        <v>63</v>
      </c>
    </row>
    <row r="45" spans="2:11" ht="57.6">
      <c r="B45" s="273" t="s">
        <v>527</v>
      </c>
      <c r="C45" s="263" t="s">
        <v>580</v>
      </c>
      <c r="D45" s="273" t="s">
        <v>528</v>
      </c>
      <c r="E45" s="281">
        <f>'Block Failure Rate'!E21</f>
        <v>0.65053582956746281</v>
      </c>
      <c r="F45" s="261" t="s">
        <v>577</v>
      </c>
      <c r="G45" s="270">
        <f>E45</f>
        <v>0.65053582956746281</v>
      </c>
      <c r="H45" s="270" t="s">
        <v>63</v>
      </c>
      <c r="I45" s="270" t="s">
        <v>63</v>
      </c>
      <c r="J45" s="270" t="s">
        <v>63</v>
      </c>
      <c r="K45" s="270" t="s">
        <v>63</v>
      </c>
    </row>
    <row r="46" spans="2:11" ht="43.2">
      <c r="B46" s="272" t="s">
        <v>474</v>
      </c>
      <c r="C46" s="262" t="s">
        <v>576</v>
      </c>
      <c r="D46" s="272" t="s">
        <v>475</v>
      </c>
      <c r="E46" s="280">
        <f>'Block Failure Rate'!E22</f>
        <v>0.2837443511943189</v>
      </c>
      <c r="F46" s="260" t="s">
        <v>577</v>
      </c>
      <c r="G46" s="268" t="s">
        <v>63</v>
      </c>
      <c r="H46" s="269" t="s">
        <v>63</v>
      </c>
      <c r="I46" s="269" t="s">
        <v>63</v>
      </c>
      <c r="J46" s="269" t="s">
        <v>63</v>
      </c>
      <c r="K46" s="269" t="s">
        <v>63</v>
      </c>
    </row>
    <row r="47" spans="2:11" ht="57.6">
      <c r="B47" s="273" t="s">
        <v>232</v>
      </c>
      <c r="C47" s="263" t="s">
        <v>581</v>
      </c>
      <c r="D47" s="273" t="s">
        <v>343</v>
      </c>
      <c r="E47" s="281">
        <f>'Block Failure Rate'!E23</f>
        <v>2.3737637185280827</v>
      </c>
      <c r="F47" s="261" t="s">
        <v>582</v>
      </c>
      <c r="G47" s="270">
        <f>E47</f>
        <v>2.3737637185280827</v>
      </c>
      <c r="H47" s="270" t="s">
        <v>63</v>
      </c>
      <c r="I47" s="270" t="s">
        <v>63</v>
      </c>
      <c r="J47" s="270" t="s">
        <v>63</v>
      </c>
      <c r="K47" s="270" t="s">
        <v>63</v>
      </c>
    </row>
    <row r="48" spans="2:11" ht="28.8">
      <c r="B48" s="272" t="s">
        <v>10</v>
      </c>
      <c r="C48" s="262" t="s">
        <v>581</v>
      </c>
      <c r="D48" s="272" t="s">
        <v>322</v>
      </c>
      <c r="E48" s="280">
        <f>'Block Failure Rate'!E24</f>
        <v>1.69208521626856</v>
      </c>
      <c r="F48" s="260" t="s">
        <v>582</v>
      </c>
      <c r="G48" s="268">
        <f>E48</f>
        <v>1.69208521626856</v>
      </c>
      <c r="H48" s="269" t="s">
        <v>63</v>
      </c>
      <c r="I48" s="269" t="s">
        <v>63</v>
      </c>
      <c r="J48" s="269" t="s">
        <v>63</v>
      </c>
      <c r="K48" s="269" t="s">
        <v>63</v>
      </c>
    </row>
    <row r="49" spans="1:12" ht="57.6">
      <c r="B49" s="273" t="s">
        <v>403</v>
      </c>
      <c r="C49" s="263" t="s">
        <v>581</v>
      </c>
      <c r="D49" s="273" t="s">
        <v>404</v>
      </c>
      <c r="E49" s="281">
        <f>'Block Failure Rate'!E25</f>
        <v>8.3220142027114257</v>
      </c>
      <c r="F49" s="261" t="s">
        <v>582</v>
      </c>
      <c r="G49" s="270">
        <f>E49</f>
        <v>8.3220142027114257</v>
      </c>
      <c r="H49" s="270" t="s">
        <v>63</v>
      </c>
      <c r="I49" s="270" t="s">
        <v>63</v>
      </c>
      <c r="J49" s="270" t="s">
        <v>63</v>
      </c>
      <c r="K49" s="270" t="s">
        <v>63</v>
      </c>
    </row>
    <row r="50" spans="1:12" ht="43.2">
      <c r="B50" s="272" t="s">
        <v>499</v>
      </c>
      <c r="C50" s="262" t="s">
        <v>581</v>
      </c>
      <c r="D50" s="272" t="s">
        <v>500</v>
      </c>
      <c r="E50" s="280">
        <f>'Block Failure Rate'!E26</f>
        <v>1.69208521626856</v>
      </c>
      <c r="F50" s="260" t="s">
        <v>582</v>
      </c>
      <c r="G50" s="268">
        <f>E50</f>
        <v>1.69208521626856</v>
      </c>
      <c r="H50" s="269" t="s">
        <v>63</v>
      </c>
      <c r="I50" s="269" t="s">
        <v>63</v>
      </c>
      <c r="J50" s="269" t="s">
        <v>63</v>
      </c>
      <c r="K50" s="269" t="s">
        <v>63</v>
      </c>
    </row>
    <row r="51" spans="1:12">
      <c r="B51" s="273" t="s">
        <v>228</v>
      </c>
      <c r="C51" s="263" t="s">
        <v>579</v>
      </c>
      <c r="D51" s="273" t="s">
        <v>228</v>
      </c>
      <c r="E51" s="281">
        <f>'Block Failure Rate'!E27</f>
        <v>0.21453841187863137</v>
      </c>
      <c r="F51" s="261" t="s">
        <v>577</v>
      </c>
      <c r="G51" s="270">
        <f>E51</f>
        <v>0.21453841187863137</v>
      </c>
      <c r="H51" s="270" t="s">
        <v>63</v>
      </c>
      <c r="I51" s="270" t="s">
        <v>63</v>
      </c>
      <c r="J51" s="270" t="s">
        <v>63</v>
      </c>
      <c r="K51" s="270" t="s">
        <v>63</v>
      </c>
    </row>
    <row r="53" spans="1:12">
      <c r="A53" s="276"/>
      <c r="B53" s="276"/>
      <c r="C53" s="277"/>
      <c r="D53" s="277"/>
      <c r="E53" s="276"/>
      <c r="F53" s="276"/>
      <c r="G53" s="276"/>
      <c r="H53" s="276"/>
      <c r="I53" s="276"/>
      <c r="J53" s="276"/>
      <c r="K53" s="276"/>
      <c r="L53" s="276"/>
    </row>
    <row r="54" spans="1:12" s="142" customFormat="1" ht="15" customHeight="1">
      <c r="A54" s="275"/>
      <c r="B54" s="278"/>
      <c r="C54" s="275"/>
      <c r="D54" s="275"/>
      <c r="E54" s="275"/>
      <c r="F54" s="275"/>
      <c r="G54" s="275"/>
      <c r="H54" s="275"/>
      <c r="I54" s="275"/>
      <c r="J54" s="275"/>
      <c r="K54" s="275"/>
      <c r="L54" s="275"/>
    </row>
  </sheetData>
  <sheetProtection algorithmName="SHA-512" hashValue="a1x1QlBOS7CQCqVzxsvY/aJ5xxynksK03D1nj+bS6Pi1bcobgdj/giBkrDyxrqzDvPnFOFPdveNRHGTOK1fmGA==" saltValue="M90dIyAC+l3oBMQRrxtfxA==" spinCount="100000" sheet="1" objects="1" scenarios="1"/>
  <mergeCells count="1">
    <mergeCell ref="B25:K25"/>
  </mergeCells>
  <phoneticPr fontId="69" type="noConversion"/>
  <pageMargins left="0.7" right="0.7" top="0.75" bottom="0.75" header="0.3" footer="0.3"/>
  <pageSetup paperSize="9" orientation="portrait" verticalDpi="0" r:id="rId1"/>
  <ignoredErrors>
    <ignoredError sqref="G41" formula="1"/>
  </ignoredError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roduct_x0020_Family xmlns="bc0dbfbe-3d01-4193-9c77-df95750a0735">SPM - Safety SBC</Product_x0020_Family>
    <Series xmlns="bc0dbfbe-3d01-4193-9c77-df95750a0735">Safety SBC - MedPower</Series>
    <Product_x0020_line xmlns="bc0dbfbe-3d01-4193-9c77-df95750a0735">Safety and Power Management</Product_x0020_line>
    <Product xmlns="bc0dbfbe-3d01-4193-9c77-df95750a0735">FS6500_4500</Product>
    <Content_x0020_Group xmlns="bc0dbfbe-3d01-4193-9c77-df95750a0735">3 -Product</Content_x0020_Group>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FE256836E8651459990BF5B13FE0674" ma:contentTypeVersion="14" ma:contentTypeDescription="Create a new document." ma:contentTypeScope="" ma:versionID="3779aeeca09ad1631de4ac2fde819f4c">
  <xsd:schema xmlns:xsd="http://www.w3.org/2001/XMLSchema" xmlns:xs="http://www.w3.org/2001/XMLSchema" xmlns:p="http://schemas.microsoft.com/office/2006/metadata/properties" xmlns:ns2="581a80d1-d65a-4c55-ad9b-3f115bad915e" xmlns:ns3="bc0dbfbe-3d01-4193-9c77-df95750a0735" targetNamespace="http://schemas.microsoft.com/office/2006/metadata/properties" ma:root="true" ma:fieldsID="5e5e236ffc8cc098c0fbe63e39d530aa" ns2:_="" ns3:_="">
    <xsd:import namespace="581a80d1-d65a-4c55-ad9b-3f115bad915e"/>
    <xsd:import namespace="bc0dbfbe-3d01-4193-9c77-df95750a0735"/>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Product_x0020_line" minOccurs="0"/>
                <xsd:element ref="ns3:Product_x0020_Family" minOccurs="0"/>
                <xsd:element ref="ns3:Product" minOccurs="0"/>
                <xsd:element ref="ns3:Content_x0020_Group" minOccurs="0"/>
                <xsd:element ref="ns3:Series"/>
                <xsd:element ref="ns3:MediaServiceMetadata" minOccurs="0"/>
                <xsd:element ref="ns3:MediaServiceFastMetadata" minOccurs="0"/>
                <xsd:element ref="ns3:MediaServiceDateTaken" minOccurs="0"/>
                <xsd:element ref="ns3:MediaServiceAutoTag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1a80d1-d65a-4c55-ad9b-3f115bad915e"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bc0dbfbe-3d01-4193-9c77-df95750a0735" elementFormDefault="qualified">
    <xsd:import namespace="http://schemas.microsoft.com/office/2006/documentManagement/types"/>
    <xsd:import namespace="http://schemas.microsoft.com/office/infopath/2007/PartnerControls"/>
    <xsd:element name="Product_x0020_line" ma:index="12" nillable="true" ma:displayName="ProductLine1" ma:format="Dropdown" ma:internalName="Product_x0020_line">
      <xsd:simpleType>
        <xsd:restriction base="dms:Choice">
          <xsd:enumeration value="AAA General Information"/>
          <xsd:enumeration value="Driver and Energy Systems"/>
          <xsd:enumeration value="Networking"/>
          <xsd:enumeration value="Safety and Power Management"/>
          <xsd:enumeration value="Secure Car Access"/>
        </xsd:restriction>
      </xsd:simpleType>
    </xsd:element>
    <xsd:element name="Product_x0020_Family" ma:index="13" nillable="true" ma:displayName="Product Family" ma:format="Dropdown" ma:internalName="Product_x0020_Family">
      <xsd:simpleType>
        <xsd:restriction base="dms:Choice">
          <xsd:enumeration value="AAA - General"/>
          <xsd:enumeration value="DES - Batt. Management"/>
          <xsd:enumeration value="DES - Drivers"/>
          <xsd:enumeration value="DES - Controllers"/>
          <xsd:enumeration value="DES - Smart Switches"/>
          <xsd:enumeration value="DES - General PL Information"/>
          <xsd:enumeration value="IVN - SBC"/>
          <xsd:enumeration value="IVN - CAN"/>
          <xsd:enumeration value="IVN - LIN"/>
          <xsd:enumeration value="IVN - FlexRay"/>
          <xsd:enumeration value="IVN - Ethernet"/>
          <xsd:enumeration value="IVN - General PL Information"/>
          <xsd:enumeration value="SCA - Remote"/>
          <xsd:enumeration value="SCA - Passive"/>
          <xsd:enumeration value="SCA - Smart RF"/>
          <xsd:enumeration value="SCA - Advanced"/>
          <xsd:enumeration value="SCA - General PL Information"/>
          <xsd:enumeration value="SPM - System Power"/>
          <xsd:enumeration value="SPM - Safety SBC"/>
          <xsd:enumeration value="SPM - Safety"/>
          <xsd:enumeration value="SPM - Catalog"/>
          <xsd:enumeration value="SPM - General PL Information"/>
        </xsd:restriction>
      </xsd:simpleType>
    </xsd:element>
    <xsd:element name="Product" ma:index="14" nillable="true" ma:displayName="Product" ma:internalName="Product">
      <xsd:simpleType>
        <xsd:restriction base="dms:Text">
          <xsd:maxLength value="255"/>
        </xsd:restriction>
      </xsd:simpleType>
    </xsd:element>
    <xsd:element name="Content_x0020_Group" ma:index="15" nillable="true" ma:displayName="Content Group" ma:format="Dropdown" ma:internalName="Content_x0020_Group">
      <xsd:simpleType>
        <xsd:restriction base="dms:Choice">
          <xsd:enumeration value="AAA general information"/>
          <xsd:enumeration value="1 -Product Line"/>
          <xsd:enumeration value="2 -Segment"/>
          <xsd:enumeration value="3 -Product"/>
        </xsd:restriction>
      </xsd:simpleType>
    </xsd:element>
    <xsd:element name="Series" ma:index="16" ma:displayName="Series" ma:format="Dropdown" ma:internalName="Series">
      <xsd:simpleType>
        <xsd:restriction base="dms:Choice">
          <xsd:enumeration value="AAA - General"/>
          <xsd:enumeration value="Advanced - NFC"/>
          <xsd:enumeration value="Advanced - Security"/>
          <xsd:enumeration value="Advanced - UWB"/>
          <xsd:enumeration value="Batt MGT - Alt-Reg"/>
          <xsd:enumeration value="Batt MGT - BCC AFE"/>
          <xsd:enumeration value="Batt MGT - Sensor"/>
          <xsd:enumeration value="Batt MGT - TPL Comm"/>
          <xsd:enumeration value="CAN - 12 V Dual"/>
          <xsd:enumeration value="CAN - 12V Single"/>
          <xsd:enumeration value="CAN - 24 V Single"/>
          <xsd:enumeration value="CAN - 24V Dual"/>
          <xsd:enumeration value="CAN - Fault tolerant"/>
          <xsd:enumeration value="CAN - Special"/>
          <xsd:enumeration value="Catalog - Battery"/>
          <xsd:enumeration value="Catalog - Interface"/>
          <xsd:enumeration value="Controllers - Engine"/>
          <xsd:enumeration value="Controllers - Solenoid"/>
          <xsd:enumeration value="Drivers - BLDC"/>
          <xsd:enumeration value="Drivers - Gate"/>
          <xsd:enumeration value="Drivers - Low volt H-B"/>
          <xsd:enumeration value="Drivers - Mid volt H-B"/>
          <xsd:enumeration value="Drivers - Solid state Lighting"/>
          <xsd:enumeration value="Drivers - General Purpose"/>
          <xsd:enumeration value="Ethernet - PHY"/>
          <xsd:enumeration value="Ethernet - Switch"/>
          <xsd:enumeration value="FlexRay - Standby Transceiver"/>
          <xsd:enumeration value="FlexRay - Sleep Transceiver"/>
          <xsd:enumeration value="FlexRay - Active Star"/>
          <xsd:enumeration value="LIN - Multi"/>
          <xsd:enumeration value="LIN - Single"/>
          <xsd:enumeration value="Passive - Combi Key"/>
          <xsd:enumeration value="Passive - Key FOB"/>
          <xsd:enumeration value="Passive - Reader"/>
          <xsd:enumeration value="Remote - Combi Key"/>
          <xsd:enumeration value="Remote - Immo LF"/>
          <xsd:enumeration value="Remote - RF Key"/>
          <xsd:enumeration value="Remote - RF Reader"/>
          <xsd:enumeration value="Safety - Braking"/>
          <xsd:enumeration value="Safety - Valve"/>
          <xsd:enumeration value="Safety SBC - High Power"/>
          <xsd:enumeration value="Safety SBC - Low Power"/>
          <xsd:enumeration value="Safety SBC - MedPower"/>
          <xsd:enumeration value="Safety SBC - General Purpose"/>
          <xsd:enumeration value="SBC - Combo"/>
          <xsd:enumeration value="SBC - Mini-CAN"/>
          <xsd:enumeration value="SBC - Mini-LIN"/>
          <xsd:enumeration value="SBC - Networking"/>
          <xsd:enumeration value="Smart RF - Auto"/>
          <xsd:enumeration value="Smart RF - IOT"/>
          <xsd:enumeration value="Smart Switches - 12V eSwitch"/>
          <xsd:enumeration value="Smart Switches - 24V eSwitch"/>
          <xsd:enumeration value="Smart Switches - Low/Hi side"/>
          <xsd:enumeration value="System Power - High Volt PMIC"/>
          <xsd:enumeration value="System Power - Low Volt PMIC"/>
          <xsd:enumeration value="System Power - Regulator"/>
          <xsd:enumeration value="System Power - Ultra Low Volt PMIC"/>
          <xsd:enumeration value="System Power - General Purpose"/>
        </xsd:restriction>
      </xsd:simpleType>
    </xsd:element>
    <xsd:element name="MediaServiceMetadata" ma:index="17" nillable="true" ma:displayName="MediaServiceMetadata" ma:description="" ma:hidden="true" ma:internalName="MediaServiceMetadata" ma:readOnly="true">
      <xsd:simpleType>
        <xsd:restriction base="dms:Note"/>
      </xsd:simpleType>
    </xsd:element>
    <xsd:element name="MediaServiceFastMetadata" ma:index="18" nillable="true" ma:displayName="MediaServiceFastMetadata" ma:description="" ma:hidden="true" ma:internalName="MediaServiceFastMetadata" ma:readOnly="true">
      <xsd:simpleType>
        <xsd:restriction base="dms:Note"/>
      </xsd:simpleType>
    </xsd:element>
    <xsd:element name="MediaServiceDateTaken" ma:index="19" nillable="true" ma:displayName="MediaServiceDateTaken" ma:description="" ma:hidden="true" ma:internalName="MediaServiceDateTaken" ma:readOnly="true">
      <xsd:simpleType>
        <xsd:restriction base="dms:Text"/>
      </xsd:simpleType>
    </xsd:element>
    <xsd:element name="MediaServiceAutoTags" ma:index="20" nillable="true" ma:displayName="MediaServiceAutoTags" ma:description="" ma:internalName="MediaServiceAutoTags" ma:readOnly="true">
      <xsd:simpleType>
        <xsd:restriction base="dms:Text"/>
      </xsd:simpleType>
    </xsd:element>
    <xsd:element name="MediaServiceLocation" ma:index="21" nillable="true" ma:displayName="MediaServic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7AFE92D-AB3C-45EF-BD22-953DB02FC013}">
  <ds:schemaRefs>
    <ds:schemaRef ds:uri="http://schemas.microsoft.com/sharepoint/v3/contenttype/forms"/>
  </ds:schemaRefs>
</ds:datastoreItem>
</file>

<file path=customXml/itemProps2.xml><?xml version="1.0" encoding="utf-8"?>
<ds:datastoreItem xmlns:ds="http://schemas.openxmlformats.org/officeDocument/2006/customXml" ds:itemID="{3C5BBEE7-8855-4594-B34B-800EC7B54B62}">
  <ds:schemaRefs>
    <ds:schemaRef ds:uri="http://schemas.microsoft.com/office/infopath/2007/PartnerControls"/>
    <ds:schemaRef ds:uri="http://schemas.microsoft.com/office/2006/documentManagement/types"/>
    <ds:schemaRef ds:uri="http://www.w3.org/XML/1998/namespace"/>
    <ds:schemaRef ds:uri="bc0dbfbe-3d01-4193-9c77-df95750a0735"/>
    <ds:schemaRef ds:uri="http://purl.org/dc/dcmitype/"/>
    <ds:schemaRef ds:uri="http://purl.org/dc/elements/1.1/"/>
    <ds:schemaRef ds:uri="http://schemas.microsoft.com/office/2006/metadata/properties"/>
    <ds:schemaRef ds:uri="http://schemas.openxmlformats.org/package/2006/metadata/core-properties"/>
    <ds:schemaRef ds:uri="581a80d1-d65a-4c55-ad9b-3f115bad915e"/>
    <ds:schemaRef ds:uri="http://purl.org/dc/terms/"/>
  </ds:schemaRefs>
</ds:datastoreItem>
</file>

<file path=customXml/itemProps3.xml><?xml version="1.0" encoding="utf-8"?>
<ds:datastoreItem xmlns:ds="http://schemas.openxmlformats.org/officeDocument/2006/customXml" ds:itemID="{7AC20612-5273-4413-91D4-F5D0E23E87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1a80d1-d65a-4c55-ad9b-3f115bad915e"/>
    <ds:schemaRef ds:uri="bc0dbfbe-3d01-4193-9c77-df95750a07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11</vt:i4>
      </vt:variant>
      <vt:variant>
        <vt:lpstr>Named Ranges</vt:lpstr>
      </vt:variant>
      <vt:variant>
        <vt:i4>13</vt:i4>
      </vt:variant>
    </vt:vector>
  </HeadingPairs>
  <TitlesOfParts>
    <vt:vector size="24" baseType="lpstr">
      <vt:lpstr>Cover sheet</vt:lpstr>
      <vt:lpstr>Change History</vt:lpstr>
      <vt:lpstr>User guide</vt:lpstr>
      <vt:lpstr>Simplified Functional Block</vt:lpstr>
      <vt:lpstr>Block Failure Rate</vt:lpstr>
      <vt:lpstr>System Assumptions</vt:lpstr>
      <vt:lpstr>Safety Functions</vt:lpstr>
      <vt:lpstr>Safety Mechanisms</vt:lpstr>
      <vt:lpstr>FMEDA_OP</vt:lpstr>
      <vt:lpstr>FMEDA_PWRUP</vt:lpstr>
      <vt:lpstr>Metrics_summary</vt:lpstr>
      <vt:lpstr>'Cover sheet'!Author</vt:lpstr>
      <vt:lpstr>'Cover sheet'!Author_Dept</vt:lpstr>
      <vt:lpstr>'Cover sheet'!Date</vt:lpstr>
      <vt:lpstr>'Cover sheet'!Document_Name</vt:lpstr>
      <vt:lpstr>'Cover sheet'!Print_Area</vt:lpstr>
      <vt:lpstr>'Cover sheet'!Project_Name</vt:lpstr>
      <vt:lpstr>FMEDA_PWRUP!SMX</vt:lpstr>
      <vt:lpstr>'User guide'!SMX</vt:lpstr>
      <vt:lpstr>SMX</vt:lpstr>
      <vt:lpstr>FMEDA_PWRUP!SMY</vt:lpstr>
      <vt:lpstr>SMY</vt:lpstr>
      <vt:lpstr>'Cover sheet'!Status</vt:lpstr>
      <vt:lpstr>Tlifetime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RegisGubian</dc:creator>
  <cp:lastModifiedBy>Allan An</cp:lastModifiedBy>
  <dcterms:created xsi:type="dcterms:W3CDTF">2013-03-06T16:25:55Z</dcterms:created>
  <dcterms:modified xsi:type="dcterms:W3CDTF">2020-03-03T06:07:45Z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0x0101000FE256836E8651459990BF5B13FE0674</vt:lpwstr>
  </property>
</Properties>
</file>